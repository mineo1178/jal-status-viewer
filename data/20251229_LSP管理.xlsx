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raizumitatsuya/Desktop/"/>
    </mc:Choice>
  </mc:AlternateContent>
  <xr:revisionPtr revIDLastSave="3278" documentId="13_ncr:1_{118E22AB-A700-4546-AC50-A03A5FE8C08A}" xr6:coauthVersionLast="47" xr6:coauthVersionMax="47" xr10:uidLastSave="{34C2A018-3B5E-44AD-9CB6-B4B21DF9FC8A}"/>
  <bookViews>
    <workbookView xWindow="0" yWindow="500" windowWidth="33600" windowHeight="20500" firstSheet="1" activeTab="2" xr2:uid="{00000000-000D-0000-FFFF-FFFF00000000}"/>
  </bookViews>
  <sheets>
    <sheet name="マイル管理" sheetId="5" r:id="rId1"/>
    <sheet name="LSP管理" sheetId="8" r:id="rId2"/>
    <sheet name="計画" sheetId="6" r:id="rId3"/>
  </sheets>
  <definedNames>
    <definedName name="_xlnm._FilterDatabase" localSheetId="1" hidden="1">LSP管理!$B$2:$G$193</definedName>
    <definedName name="_xlnm._FilterDatabase" localSheetId="0" hidden="1">マイル管理!$A$1:$O$1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1" i="5" l="1"/>
  <c r="M861" i="5"/>
  <c r="L862" i="5"/>
  <c r="M862" i="5"/>
  <c r="L863" i="5"/>
  <c r="M863" i="5"/>
  <c r="L864" i="5"/>
  <c r="M864" i="5"/>
  <c r="L865" i="5"/>
  <c r="M865" i="5"/>
  <c r="L866" i="5"/>
  <c r="M866" i="5"/>
  <c r="L867" i="5"/>
  <c r="M867" i="5"/>
  <c r="L868" i="5"/>
  <c r="M868" i="5"/>
  <c r="L869" i="5"/>
  <c r="M869" i="5"/>
  <c r="L870" i="5"/>
  <c r="M870" i="5"/>
  <c r="L871" i="5"/>
  <c r="M871" i="5"/>
  <c r="L848" i="5"/>
  <c r="M848" i="5"/>
  <c r="L849" i="5"/>
  <c r="M849" i="5"/>
  <c r="L850" i="5"/>
  <c r="M850" i="5"/>
  <c r="L851" i="5"/>
  <c r="M851" i="5"/>
  <c r="L852" i="5"/>
  <c r="M852" i="5"/>
  <c r="L853" i="5"/>
  <c r="M853" i="5"/>
  <c r="L854" i="5"/>
  <c r="M854" i="5"/>
  <c r="L855" i="5"/>
  <c r="M855" i="5"/>
  <c r="L856" i="5"/>
  <c r="M856" i="5"/>
  <c r="L857" i="5"/>
  <c r="M857" i="5"/>
  <c r="L858" i="5"/>
  <c r="M858" i="5"/>
  <c r="L859" i="5"/>
  <c r="M859" i="5"/>
  <c r="L860" i="5"/>
  <c r="M860" i="5"/>
  <c r="L811" i="5"/>
  <c r="M811" i="5"/>
  <c r="L812" i="5"/>
  <c r="M812" i="5"/>
  <c r="L813" i="5"/>
  <c r="M813" i="5"/>
  <c r="L814" i="5"/>
  <c r="M814" i="5"/>
  <c r="L815" i="5"/>
  <c r="M815" i="5"/>
  <c r="L816" i="5"/>
  <c r="M816" i="5"/>
  <c r="L817" i="5"/>
  <c r="M817" i="5"/>
  <c r="L818" i="5"/>
  <c r="M818" i="5"/>
  <c r="L819" i="5"/>
  <c r="M819" i="5"/>
  <c r="L820" i="5"/>
  <c r="M820" i="5"/>
  <c r="L821" i="5"/>
  <c r="M821" i="5"/>
  <c r="L822" i="5"/>
  <c r="M822" i="5"/>
  <c r="L823" i="5"/>
  <c r="M823" i="5"/>
  <c r="L824" i="5"/>
  <c r="M824" i="5"/>
  <c r="L825" i="5"/>
  <c r="M825" i="5"/>
  <c r="L826" i="5"/>
  <c r="M826" i="5"/>
  <c r="L827" i="5"/>
  <c r="M827" i="5"/>
  <c r="L828" i="5"/>
  <c r="M828" i="5"/>
  <c r="L829" i="5"/>
  <c r="M829" i="5"/>
  <c r="L830" i="5"/>
  <c r="M830" i="5"/>
  <c r="L831" i="5"/>
  <c r="M831" i="5"/>
  <c r="L832" i="5"/>
  <c r="M832" i="5"/>
  <c r="L833" i="5"/>
  <c r="M833" i="5"/>
  <c r="L834" i="5"/>
  <c r="M834" i="5"/>
  <c r="L835" i="5"/>
  <c r="M835" i="5"/>
  <c r="L836" i="5"/>
  <c r="M836" i="5"/>
  <c r="L837" i="5"/>
  <c r="M837" i="5"/>
  <c r="L838" i="5"/>
  <c r="M838" i="5"/>
  <c r="L839" i="5"/>
  <c r="M839" i="5"/>
  <c r="L840" i="5"/>
  <c r="M840" i="5"/>
  <c r="L841" i="5"/>
  <c r="M841" i="5"/>
  <c r="L842" i="5"/>
  <c r="M842" i="5"/>
  <c r="L843" i="5"/>
  <c r="M843" i="5"/>
  <c r="L844" i="5"/>
  <c r="M844" i="5"/>
  <c r="L845" i="5"/>
  <c r="M845" i="5"/>
  <c r="L846" i="5"/>
  <c r="M846" i="5"/>
  <c r="L847" i="5"/>
  <c r="M847" i="5"/>
  <c r="L794" i="5"/>
  <c r="M794" i="5"/>
  <c r="L795" i="5"/>
  <c r="M795" i="5"/>
  <c r="L796" i="5"/>
  <c r="M796" i="5"/>
  <c r="L797" i="5"/>
  <c r="M797" i="5"/>
  <c r="L798" i="5"/>
  <c r="M798" i="5"/>
  <c r="L799" i="5"/>
  <c r="M799" i="5"/>
  <c r="L800" i="5"/>
  <c r="M800" i="5"/>
  <c r="L801" i="5"/>
  <c r="M801" i="5"/>
  <c r="L802" i="5"/>
  <c r="M802" i="5"/>
  <c r="L803" i="5"/>
  <c r="M803" i="5"/>
  <c r="L804" i="5"/>
  <c r="M804" i="5"/>
  <c r="L805" i="5"/>
  <c r="M805" i="5"/>
  <c r="L806" i="5"/>
  <c r="M806" i="5"/>
  <c r="L807" i="5"/>
  <c r="M807" i="5"/>
  <c r="L808" i="5"/>
  <c r="M808" i="5"/>
  <c r="L809" i="5"/>
  <c r="M809" i="5"/>
  <c r="L810" i="5"/>
  <c r="M810" i="5"/>
  <c r="L790" i="5"/>
  <c r="M790" i="5"/>
  <c r="L791" i="5"/>
  <c r="M791" i="5"/>
  <c r="L792" i="5"/>
  <c r="M792" i="5"/>
  <c r="L793" i="5"/>
  <c r="M793" i="5"/>
  <c r="L769" i="5"/>
  <c r="M769" i="5"/>
  <c r="L770" i="5"/>
  <c r="M770" i="5"/>
  <c r="L771" i="5"/>
  <c r="M771" i="5"/>
  <c r="L772" i="5"/>
  <c r="M772" i="5"/>
  <c r="L773" i="5"/>
  <c r="M773" i="5"/>
  <c r="L774" i="5"/>
  <c r="M774" i="5"/>
  <c r="L775" i="5"/>
  <c r="M775" i="5"/>
  <c r="L776" i="5"/>
  <c r="M776" i="5"/>
  <c r="L777" i="5"/>
  <c r="M777" i="5"/>
  <c r="L778" i="5"/>
  <c r="M778" i="5"/>
  <c r="L779" i="5"/>
  <c r="M779" i="5"/>
  <c r="L780" i="5"/>
  <c r="M780" i="5"/>
  <c r="L781" i="5"/>
  <c r="M781" i="5"/>
  <c r="L782" i="5"/>
  <c r="M782" i="5"/>
  <c r="L783" i="5"/>
  <c r="M783" i="5"/>
  <c r="L784" i="5"/>
  <c r="M784" i="5"/>
  <c r="L785" i="5"/>
  <c r="M785" i="5"/>
  <c r="L786" i="5"/>
  <c r="M786" i="5"/>
  <c r="L787" i="5"/>
  <c r="M787" i="5"/>
  <c r="L788" i="5"/>
  <c r="M788" i="5"/>
  <c r="L789" i="5"/>
  <c r="M789" i="5"/>
  <c r="L758" i="5"/>
  <c r="M758" i="5"/>
  <c r="L759" i="5"/>
  <c r="M759" i="5"/>
  <c r="L760" i="5"/>
  <c r="M760" i="5"/>
  <c r="L761" i="5"/>
  <c r="M761" i="5"/>
  <c r="L762" i="5"/>
  <c r="M762" i="5"/>
  <c r="L763" i="5"/>
  <c r="M763" i="5"/>
  <c r="L764" i="5"/>
  <c r="M764" i="5"/>
  <c r="L765" i="5"/>
  <c r="M765" i="5"/>
  <c r="L766" i="5"/>
  <c r="M766" i="5"/>
  <c r="L767" i="5"/>
  <c r="M767" i="5"/>
  <c r="L768" i="5"/>
  <c r="M768" i="5"/>
  <c r="L748" i="5"/>
  <c r="M748" i="5"/>
  <c r="L749" i="5"/>
  <c r="M749" i="5"/>
  <c r="L750" i="5"/>
  <c r="M750" i="5"/>
  <c r="L751" i="5"/>
  <c r="M751" i="5"/>
  <c r="L752" i="5"/>
  <c r="M752" i="5"/>
  <c r="L753" i="5"/>
  <c r="M753" i="5"/>
  <c r="L754" i="5"/>
  <c r="M754" i="5"/>
  <c r="L755" i="5"/>
  <c r="M755" i="5"/>
  <c r="L756" i="5"/>
  <c r="M756" i="5"/>
  <c r="L757" i="5"/>
  <c r="M757" i="5"/>
  <c r="L736" i="5"/>
  <c r="M736" i="5"/>
  <c r="L737" i="5"/>
  <c r="M737" i="5"/>
  <c r="L738" i="5"/>
  <c r="M738" i="5"/>
  <c r="L739" i="5"/>
  <c r="M739" i="5"/>
  <c r="L740" i="5"/>
  <c r="M740" i="5"/>
  <c r="L741" i="5"/>
  <c r="M741" i="5"/>
  <c r="L742" i="5"/>
  <c r="M742" i="5"/>
  <c r="L743" i="5"/>
  <c r="M743" i="5"/>
  <c r="L744" i="5"/>
  <c r="M744" i="5"/>
  <c r="L745" i="5"/>
  <c r="M745" i="5"/>
  <c r="L746" i="5"/>
  <c r="M746" i="5"/>
  <c r="L747" i="5"/>
  <c r="M747" i="5"/>
  <c r="L734" i="5"/>
  <c r="M734" i="5"/>
  <c r="L735" i="5"/>
  <c r="M735" i="5"/>
  <c r="L727" i="5"/>
  <c r="M727" i="5"/>
  <c r="L728" i="5"/>
  <c r="M728" i="5"/>
  <c r="L729" i="5"/>
  <c r="M729" i="5"/>
  <c r="L730" i="5"/>
  <c r="M730" i="5"/>
  <c r="L731" i="5"/>
  <c r="M731" i="5"/>
  <c r="L732" i="5"/>
  <c r="M732" i="5"/>
  <c r="L733" i="5"/>
  <c r="M733" i="5"/>
  <c r="K275" i="6"/>
  <c r="L703" i="5"/>
  <c r="M703" i="5"/>
  <c r="L704" i="5"/>
  <c r="M704" i="5"/>
  <c r="L705" i="5"/>
  <c r="M705" i="5"/>
  <c r="L706" i="5"/>
  <c r="M706" i="5"/>
  <c r="L707" i="5"/>
  <c r="M707" i="5"/>
  <c r="L708" i="5"/>
  <c r="M708" i="5"/>
  <c r="L709" i="5"/>
  <c r="M709" i="5"/>
  <c r="L710" i="5"/>
  <c r="M710" i="5"/>
  <c r="L711" i="5"/>
  <c r="M711" i="5"/>
  <c r="L712" i="5"/>
  <c r="M712" i="5"/>
  <c r="L713" i="5"/>
  <c r="M713" i="5"/>
  <c r="L714" i="5"/>
  <c r="M714" i="5"/>
  <c r="L715" i="5"/>
  <c r="M715" i="5"/>
  <c r="L716" i="5"/>
  <c r="M716" i="5"/>
  <c r="L717" i="5"/>
  <c r="M717" i="5"/>
  <c r="L718" i="5"/>
  <c r="M718" i="5"/>
  <c r="L719" i="5"/>
  <c r="M719" i="5"/>
  <c r="L720" i="5"/>
  <c r="M720" i="5"/>
  <c r="L721" i="5"/>
  <c r="M721" i="5"/>
  <c r="L722" i="5"/>
  <c r="M722" i="5"/>
  <c r="L723" i="5"/>
  <c r="M723" i="5"/>
  <c r="L724" i="5"/>
  <c r="M724" i="5"/>
  <c r="L725" i="5"/>
  <c r="M725" i="5"/>
  <c r="L726" i="5"/>
  <c r="M726" i="5"/>
  <c r="L694" i="5"/>
  <c r="M694" i="5"/>
  <c r="L695" i="5"/>
  <c r="M695" i="5"/>
  <c r="L696" i="5"/>
  <c r="M696" i="5"/>
  <c r="L697" i="5"/>
  <c r="M697" i="5"/>
  <c r="L698" i="5"/>
  <c r="M698" i="5"/>
  <c r="L699" i="5"/>
  <c r="M699" i="5"/>
  <c r="L700" i="5"/>
  <c r="M700" i="5"/>
  <c r="L701" i="5"/>
  <c r="M701" i="5"/>
  <c r="L702" i="5"/>
  <c r="M702" i="5"/>
  <c r="J10" i="8"/>
  <c r="J9" i="8"/>
  <c r="J8" i="8"/>
  <c r="J7" i="8"/>
  <c r="J6" i="8"/>
  <c r="J5" i="8"/>
  <c r="J4" i="8"/>
  <c r="O19" i="5"/>
  <c r="O18" i="5"/>
  <c r="O17" i="5"/>
  <c r="O16" i="5"/>
  <c r="O15" i="5"/>
  <c r="O14" i="5"/>
  <c r="O13" i="5"/>
  <c r="O12" i="5"/>
  <c r="K139" i="6"/>
  <c r="K71" i="6"/>
  <c r="J11" i="8"/>
  <c r="J113" i="8"/>
  <c r="G191" i="8"/>
  <c r="G190" i="8" s="1"/>
  <c r="G189" i="8" s="1"/>
  <c r="G188" i="8" s="1"/>
  <c r="G187" i="8" s="1"/>
  <c r="G186" i="8" s="1"/>
  <c r="G185" i="8" s="1"/>
  <c r="G184" i="8" s="1"/>
  <c r="G183" i="8" s="1"/>
  <c r="G182" i="8" s="1"/>
  <c r="G181" i="8" s="1"/>
  <c r="G180" i="8" s="1"/>
  <c r="G179" i="8" s="1"/>
  <c r="G178" i="8" s="1"/>
  <c r="G177" i="8" s="1"/>
  <c r="G176" i="8" s="1"/>
  <c r="G175" i="8" s="1"/>
  <c r="G174" i="8" s="1"/>
  <c r="G173" i="8" s="1"/>
  <c r="G172" i="8" s="1"/>
  <c r="G171" i="8" s="1"/>
  <c r="G170" i="8" s="1"/>
  <c r="G169" i="8" s="1"/>
  <c r="G168" i="8" s="1"/>
  <c r="G167" i="8" s="1"/>
  <c r="G166" i="8" s="1"/>
  <c r="G165" i="8" s="1"/>
  <c r="G164" i="8" s="1"/>
  <c r="G163" i="8" s="1"/>
  <c r="G162" i="8" s="1"/>
  <c r="G161" i="8" s="1"/>
  <c r="G160" i="8" s="1"/>
  <c r="G159" i="8" s="1"/>
  <c r="G158" i="8" s="1"/>
  <c r="G157" i="8" s="1"/>
  <c r="G156" i="8" s="1"/>
  <c r="G155" i="8" s="1"/>
  <c r="G154" i="8" s="1"/>
  <c r="G153" i="8" s="1"/>
  <c r="G152" i="8" s="1"/>
  <c r="G151" i="8" s="1"/>
  <c r="M10" i="5"/>
  <c r="M11" i="5"/>
  <c r="M12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M332" i="5" s="1"/>
  <c r="M333" i="5" s="1"/>
  <c r="M334" i="5" s="1"/>
  <c r="M335" i="5" s="1"/>
  <c r="M336" i="5" s="1"/>
  <c r="M337" i="5" s="1"/>
  <c r="M338" i="5" s="1"/>
  <c r="M339" i="5" s="1"/>
  <c r="M340" i="5" s="1"/>
  <c r="M341" i="5" s="1"/>
  <c r="M342" i="5" s="1"/>
  <c r="M343" i="5" s="1"/>
  <c r="M344" i="5" s="1"/>
  <c r="M345" i="5" s="1"/>
  <c r="M346" i="5" s="1"/>
  <c r="M347" i="5" s="1"/>
  <c r="M348" i="5" s="1"/>
  <c r="M349" i="5" s="1"/>
  <c r="M350" i="5" s="1"/>
  <c r="M351" i="5" s="1"/>
  <c r="M352" i="5" s="1"/>
  <c r="M353" i="5" s="1"/>
  <c r="M354" i="5" s="1"/>
  <c r="M355" i="5" s="1"/>
  <c r="M356" i="5" s="1"/>
  <c r="M357" i="5" s="1"/>
  <c r="M358" i="5" s="1"/>
  <c r="M359" i="5" s="1"/>
  <c r="M360" i="5" s="1"/>
  <c r="M361" i="5" s="1"/>
  <c r="M362" i="5" s="1"/>
  <c r="M363" i="5" s="1"/>
  <c r="M364" i="5" s="1"/>
  <c r="M365" i="5" s="1"/>
  <c r="M366" i="5" s="1"/>
  <c r="M367" i="5" s="1"/>
  <c r="M368" i="5" s="1"/>
  <c r="M369" i="5" s="1"/>
  <c r="M370" i="5" s="1"/>
  <c r="M371" i="5" s="1"/>
  <c r="M372" i="5" s="1"/>
  <c r="M373" i="5" s="1"/>
  <c r="M374" i="5" s="1"/>
  <c r="M375" i="5" s="1"/>
  <c r="M376" i="5" s="1"/>
  <c r="M377" i="5" s="1"/>
  <c r="M378" i="5" s="1"/>
  <c r="M379" i="5" s="1"/>
  <c r="M380" i="5" s="1"/>
  <c r="M381" i="5" s="1"/>
  <c r="M382" i="5" s="1"/>
  <c r="M383" i="5" s="1"/>
  <c r="M384" i="5" s="1"/>
  <c r="M385" i="5" s="1"/>
  <c r="M386" i="5" s="1"/>
  <c r="M387" i="5" s="1"/>
  <c r="M388" i="5" s="1"/>
  <c r="M389" i="5" s="1"/>
  <c r="M390" i="5" s="1"/>
  <c r="M391" i="5" s="1"/>
  <c r="M392" i="5" s="1"/>
  <c r="M393" i="5" s="1"/>
  <c r="M394" i="5" s="1"/>
  <c r="M395" i="5" s="1"/>
  <c r="M396" i="5" s="1"/>
  <c r="M397" i="5" s="1"/>
  <c r="M398" i="5" s="1"/>
  <c r="M399" i="5" s="1"/>
  <c r="M400" i="5" s="1"/>
  <c r="M401" i="5" s="1"/>
  <c r="M402" i="5" s="1"/>
  <c r="M403" i="5" s="1"/>
  <c r="M404" i="5" s="1"/>
  <c r="M405" i="5" s="1"/>
  <c r="M406" i="5" s="1"/>
  <c r="M407" i="5" s="1"/>
  <c r="M408" i="5" s="1"/>
  <c r="M409" i="5" s="1"/>
  <c r="M410" i="5" s="1"/>
  <c r="M411" i="5" s="1"/>
  <c r="M412" i="5" s="1"/>
  <c r="M413" i="5" s="1"/>
  <c r="M414" i="5" s="1"/>
  <c r="M415" i="5" s="1"/>
  <c r="M416" i="5" s="1"/>
  <c r="M417" i="5" s="1"/>
  <c r="M418" i="5" s="1"/>
  <c r="M419" i="5" s="1"/>
  <c r="M420" i="5" s="1"/>
  <c r="M421" i="5" s="1"/>
  <c r="M422" i="5" s="1"/>
  <c r="M423" i="5" s="1"/>
  <c r="M424" i="5" s="1"/>
  <c r="M425" i="5" s="1"/>
  <c r="M426" i="5" s="1"/>
  <c r="M427" i="5" s="1"/>
  <c r="M428" i="5" s="1"/>
  <c r="M429" i="5" s="1"/>
  <c r="M430" i="5" s="1"/>
  <c r="M431" i="5" s="1"/>
  <c r="M432" i="5" s="1"/>
  <c r="M433" i="5" s="1"/>
  <c r="M434" i="5" s="1"/>
  <c r="M435" i="5" s="1"/>
  <c r="M436" i="5" s="1"/>
  <c r="M437" i="5" s="1"/>
  <c r="M438" i="5" s="1"/>
  <c r="M439" i="5" s="1"/>
  <c r="M440" i="5" s="1"/>
  <c r="M441" i="5" s="1"/>
  <c r="M442" i="5" s="1"/>
  <c r="M443" i="5" s="1"/>
  <c r="M444" i="5" s="1"/>
  <c r="M445" i="5" s="1"/>
  <c r="M446" i="5" s="1"/>
  <c r="M447" i="5" s="1"/>
  <c r="M448" i="5" s="1"/>
  <c r="M449" i="5" s="1"/>
  <c r="M450" i="5" s="1"/>
  <c r="M451" i="5" s="1"/>
  <c r="M452" i="5" s="1"/>
  <c r="M453" i="5" s="1"/>
  <c r="M454" i="5" s="1"/>
  <c r="M455" i="5" s="1"/>
  <c r="M456" i="5" s="1"/>
  <c r="M457" i="5" s="1"/>
  <c r="M458" i="5" s="1"/>
  <c r="M459" i="5" s="1"/>
  <c r="M460" i="5" s="1"/>
  <c r="M461" i="5" s="1"/>
  <c r="M462" i="5" s="1"/>
  <c r="M463" i="5" s="1"/>
  <c r="M464" i="5" s="1"/>
  <c r="M465" i="5" s="1"/>
  <c r="M466" i="5" s="1"/>
  <c r="M467" i="5" s="1"/>
  <c r="M468" i="5" s="1"/>
  <c r="M469" i="5" s="1"/>
  <c r="M470" i="5" s="1"/>
  <c r="M471" i="5" s="1"/>
  <c r="M472" i="5" s="1"/>
  <c r="M473" i="5" s="1"/>
  <c r="M474" i="5" s="1"/>
  <c r="M475" i="5" s="1"/>
  <c r="M476" i="5" s="1"/>
  <c r="M477" i="5" s="1"/>
  <c r="M478" i="5" s="1"/>
  <c r="M479" i="5" s="1"/>
  <c r="M480" i="5" s="1"/>
  <c r="M481" i="5" s="1"/>
  <c r="M482" i="5" s="1"/>
  <c r="M483" i="5" s="1"/>
  <c r="M484" i="5" s="1"/>
  <c r="M485" i="5" s="1"/>
  <c r="M486" i="5" s="1"/>
  <c r="M487" i="5" s="1"/>
  <c r="M488" i="5" s="1"/>
  <c r="M489" i="5" s="1"/>
  <c r="M490" i="5" s="1"/>
  <c r="M491" i="5" s="1"/>
  <c r="M492" i="5" s="1"/>
  <c r="M493" i="5" s="1"/>
  <c r="M494" i="5" s="1"/>
  <c r="M495" i="5" s="1"/>
  <c r="M496" i="5" s="1"/>
  <c r="M497" i="5" s="1"/>
  <c r="M498" i="5" s="1"/>
  <c r="M499" i="5" s="1"/>
  <c r="M500" i="5" s="1"/>
  <c r="M501" i="5" s="1"/>
  <c r="M502" i="5" s="1"/>
  <c r="M503" i="5" s="1"/>
  <c r="M504" i="5" s="1"/>
  <c r="M505" i="5" s="1"/>
  <c r="M506" i="5" s="1"/>
  <c r="M507" i="5" s="1"/>
  <c r="M508" i="5" s="1"/>
  <c r="M509" i="5" s="1"/>
  <c r="M510" i="5" s="1"/>
  <c r="M511" i="5" s="1"/>
  <c r="M512" i="5" s="1"/>
  <c r="M513" i="5" s="1"/>
  <c r="M514" i="5" s="1"/>
  <c r="M515" i="5" s="1"/>
  <c r="M516" i="5" s="1"/>
  <c r="M517" i="5" s="1"/>
  <c r="M518" i="5" s="1"/>
  <c r="M519" i="5" s="1"/>
  <c r="M520" i="5" s="1"/>
  <c r="M521" i="5" s="1"/>
  <c r="M522" i="5" s="1"/>
  <c r="M523" i="5" s="1"/>
  <c r="M524" i="5" s="1"/>
  <c r="M525" i="5" s="1"/>
  <c r="M526" i="5" s="1"/>
  <c r="M527" i="5" s="1"/>
  <c r="M528" i="5" s="1"/>
  <c r="M529" i="5" s="1"/>
  <c r="M530" i="5" s="1"/>
  <c r="M531" i="5" s="1"/>
  <c r="M532" i="5" s="1"/>
  <c r="M533" i="5" s="1"/>
  <c r="M534" i="5" s="1"/>
  <c r="M535" i="5" s="1"/>
  <c r="M536" i="5" s="1"/>
  <c r="M537" i="5" s="1"/>
  <c r="M538" i="5" s="1"/>
  <c r="M539" i="5" s="1"/>
  <c r="M540" i="5" s="1"/>
  <c r="M541" i="5" s="1"/>
  <c r="M542" i="5" s="1"/>
  <c r="M543" i="5" s="1"/>
  <c r="M544" i="5" s="1"/>
  <c r="M545" i="5" s="1"/>
  <c r="M546" i="5" s="1"/>
  <c r="M547" i="5" s="1"/>
  <c r="M548" i="5" s="1"/>
  <c r="M549" i="5" s="1"/>
  <c r="M550" i="5" s="1"/>
  <c r="M551" i="5" s="1"/>
  <c r="M552" i="5" s="1"/>
  <c r="M553" i="5" s="1"/>
  <c r="M554" i="5" s="1"/>
  <c r="M555" i="5" s="1"/>
  <c r="M556" i="5" s="1"/>
  <c r="M557" i="5" s="1"/>
  <c r="M558" i="5" s="1"/>
  <c r="M559" i="5" s="1"/>
  <c r="M560" i="5" s="1"/>
  <c r="M561" i="5" s="1"/>
  <c r="M562" i="5" s="1"/>
  <c r="M563" i="5" s="1"/>
  <c r="M564" i="5" s="1"/>
  <c r="M565" i="5" s="1"/>
  <c r="M566" i="5" s="1"/>
  <c r="M567" i="5" s="1"/>
  <c r="M568" i="5" s="1"/>
  <c r="M569" i="5" s="1"/>
  <c r="M570" i="5" s="1"/>
  <c r="M571" i="5" s="1"/>
  <c r="M572" i="5" s="1"/>
  <c r="M573" i="5" s="1"/>
  <c r="M574" i="5" s="1"/>
  <c r="M575" i="5" s="1"/>
  <c r="M576" i="5" s="1"/>
  <c r="M577" i="5" s="1"/>
  <c r="M578" i="5" s="1"/>
  <c r="M579" i="5" s="1"/>
  <c r="M580" i="5" s="1"/>
  <c r="M581" i="5" s="1"/>
  <c r="M582" i="5" s="1"/>
  <c r="M583" i="5" s="1"/>
  <c r="M584" i="5" s="1"/>
  <c r="M585" i="5" s="1"/>
  <c r="M586" i="5" s="1"/>
  <c r="M587" i="5" s="1"/>
  <c r="M588" i="5" s="1"/>
  <c r="M589" i="5" s="1"/>
  <c r="M590" i="5" s="1"/>
  <c r="M591" i="5" s="1"/>
  <c r="M592" i="5" s="1"/>
  <c r="M593" i="5" s="1"/>
  <c r="M594" i="5" s="1"/>
  <c r="M595" i="5" s="1"/>
  <c r="M596" i="5" s="1"/>
  <c r="M597" i="5" s="1"/>
  <c r="M598" i="5" s="1"/>
  <c r="M599" i="5" s="1"/>
  <c r="M600" i="5" s="1"/>
  <c r="M601" i="5" s="1"/>
  <c r="M602" i="5" s="1"/>
  <c r="M603" i="5" s="1"/>
  <c r="M604" i="5" s="1"/>
  <c r="M605" i="5" s="1"/>
  <c r="M606" i="5" s="1"/>
  <c r="M607" i="5" s="1"/>
  <c r="M608" i="5" s="1"/>
  <c r="M609" i="5" s="1"/>
  <c r="M610" i="5" s="1"/>
  <c r="M611" i="5" s="1"/>
  <c r="M612" i="5" s="1"/>
  <c r="M613" i="5" s="1"/>
  <c r="M614" i="5" s="1"/>
  <c r="M615" i="5" s="1"/>
  <c r="M616" i="5" s="1"/>
  <c r="M617" i="5" s="1"/>
  <c r="M618" i="5" s="1"/>
  <c r="M619" i="5" s="1"/>
  <c r="M620" i="5" s="1"/>
  <c r="M621" i="5" s="1"/>
  <c r="M622" i="5" s="1"/>
  <c r="M623" i="5" s="1"/>
  <c r="M624" i="5" s="1"/>
  <c r="M625" i="5" s="1"/>
  <c r="M626" i="5" s="1"/>
  <c r="M627" i="5" s="1"/>
  <c r="M628" i="5" s="1"/>
  <c r="M629" i="5" s="1"/>
  <c r="M630" i="5" s="1"/>
  <c r="M631" i="5" s="1"/>
  <c r="M632" i="5" s="1"/>
  <c r="M633" i="5" s="1"/>
  <c r="M634" i="5" s="1"/>
  <c r="M635" i="5" s="1"/>
  <c r="M636" i="5" s="1"/>
  <c r="M637" i="5" s="1"/>
  <c r="M638" i="5" s="1"/>
  <c r="M639" i="5" s="1"/>
  <c r="M640" i="5" s="1"/>
  <c r="M641" i="5" s="1"/>
  <c r="M642" i="5" s="1"/>
  <c r="M643" i="5" s="1"/>
  <c r="M644" i="5" s="1"/>
  <c r="M645" i="5" s="1"/>
  <c r="M646" i="5" s="1"/>
  <c r="M647" i="5" s="1"/>
  <c r="M648" i="5" s="1"/>
  <c r="M649" i="5" s="1"/>
  <c r="M650" i="5" s="1"/>
  <c r="M651" i="5" s="1"/>
  <c r="M652" i="5" s="1"/>
  <c r="M653" i="5" s="1"/>
  <c r="M654" i="5" s="1"/>
  <c r="M655" i="5" s="1"/>
  <c r="M656" i="5" s="1"/>
  <c r="M657" i="5" s="1"/>
  <c r="M658" i="5" s="1"/>
  <c r="M659" i="5" s="1"/>
  <c r="M660" i="5" s="1"/>
  <c r="M661" i="5" s="1"/>
  <c r="M662" i="5" s="1"/>
  <c r="M663" i="5" s="1"/>
  <c r="M664" i="5" s="1"/>
  <c r="M665" i="5" s="1"/>
  <c r="M666" i="5" s="1"/>
  <c r="M667" i="5" s="1"/>
  <c r="M668" i="5" s="1"/>
  <c r="M669" i="5" s="1"/>
  <c r="M670" i="5" s="1"/>
  <c r="M671" i="5" s="1"/>
  <c r="M672" i="5" s="1"/>
  <c r="M673" i="5" s="1"/>
  <c r="M674" i="5" s="1"/>
  <c r="M675" i="5" s="1"/>
  <c r="M676" i="5" s="1"/>
  <c r="M677" i="5" s="1"/>
  <c r="M678" i="5" s="1"/>
  <c r="M679" i="5" s="1"/>
  <c r="M680" i="5" s="1"/>
  <c r="M681" i="5" s="1"/>
  <c r="M682" i="5" s="1"/>
  <c r="M683" i="5" s="1"/>
  <c r="M684" i="5" s="1"/>
  <c r="M685" i="5" s="1"/>
  <c r="M686" i="5" s="1"/>
  <c r="M687" i="5" s="1"/>
  <c r="M688" i="5" s="1"/>
  <c r="M689" i="5" s="1"/>
  <c r="M690" i="5" s="1"/>
  <c r="M691" i="5" s="1"/>
  <c r="M692" i="5" s="1"/>
  <c r="M693" i="5" s="1"/>
  <c r="M2" i="5"/>
  <c r="M3" i="5" s="1"/>
  <c r="M4" i="5" s="1"/>
  <c r="M5" i="5" s="1"/>
  <c r="M6" i="5" s="1"/>
  <c r="M7" i="5" s="1"/>
  <c r="M8" i="5" s="1"/>
  <c r="L2" i="5"/>
  <c r="L3" i="5" s="1"/>
  <c r="L4" i="5" s="1"/>
  <c r="L5" i="5" s="1"/>
  <c r="L6" i="5" s="1"/>
  <c r="L7" i="5" s="1"/>
  <c r="L8" i="5" s="1"/>
  <c r="L9" i="5" s="1"/>
  <c r="L10" i="5" s="1"/>
  <c r="L11" i="5" s="1"/>
  <c r="L12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8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L256" i="5" s="1"/>
  <c r="L257" i="5" s="1"/>
  <c r="L258" i="5" s="1"/>
  <c r="L259" i="5" s="1"/>
  <c r="L260" i="5" s="1"/>
  <c r="L261" i="5" s="1"/>
  <c r="L262" i="5" s="1"/>
  <c r="L263" i="5" s="1"/>
  <c r="L264" i="5" s="1"/>
  <c r="L265" i="5" s="1"/>
  <c r="L266" i="5" s="1"/>
  <c r="L267" i="5" s="1"/>
  <c r="L268" i="5" s="1"/>
  <c r="L269" i="5" s="1"/>
  <c r="L270" i="5" s="1"/>
  <c r="L271" i="5" s="1"/>
  <c r="L272" i="5" s="1"/>
  <c r="L273" i="5" s="1"/>
  <c r="L274" i="5" s="1"/>
  <c r="L275" i="5" s="1"/>
  <c r="L276" i="5" s="1"/>
  <c r="L277" i="5" s="1"/>
  <c r="L278" i="5" s="1"/>
  <c r="L279" i="5" s="1"/>
  <c r="L280" i="5" s="1"/>
  <c r="L281" i="5" s="1"/>
  <c r="L282" i="5" s="1"/>
  <c r="L283" i="5" s="1"/>
  <c r="L284" i="5" s="1"/>
  <c r="L285" i="5" s="1"/>
  <c r="L286" i="5" s="1"/>
  <c r="L287" i="5" s="1"/>
  <c r="L288" i="5" s="1"/>
  <c r="L289" i="5" s="1"/>
  <c r="L290" i="5" s="1"/>
  <c r="L291" i="5" s="1"/>
  <c r="L292" i="5" s="1"/>
  <c r="L293" i="5" s="1"/>
  <c r="L294" i="5" s="1"/>
  <c r="L295" i="5" s="1"/>
  <c r="L296" i="5" s="1"/>
  <c r="L297" i="5" s="1"/>
  <c r="L298" i="5" s="1"/>
  <c r="L299" i="5" s="1"/>
  <c r="L300" i="5" s="1"/>
  <c r="L301" i="5" s="1"/>
  <c r="L302" i="5" s="1"/>
  <c r="L303" i="5" s="1"/>
  <c r="L304" i="5" s="1"/>
  <c r="L305" i="5" s="1"/>
  <c r="L306" i="5" s="1"/>
  <c r="L307" i="5" s="1"/>
  <c r="L308" i="5" s="1"/>
  <c r="L309" i="5" s="1"/>
  <c r="L310" i="5" s="1"/>
  <c r="L311" i="5" s="1"/>
  <c r="L312" i="5" s="1"/>
  <c r="L313" i="5" s="1"/>
  <c r="L314" i="5" s="1"/>
  <c r="L315" i="5" s="1"/>
  <c r="L316" i="5" s="1"/>
  <c r="L317" i="5" s="1"/>
  <c r="L318" i="5" s="1"/>
  <c r="L319" i="5" s="1"/>
  <c r="L321" i="5" s="1"/>
  <c r="L322" i="5" s="1"/>
  <c r="L323" i="5" s="1"/>
  <c r="L324" i="5" s="1"/>
  <c r="L325" i="5" s="1"/>
  <c r="L326" i="5" s="1"/>
  <c r="L327" i="5" s="1"/>
  <c r="L328" i="5" s="1"/>
  <c r="L329" i="5" s="1"/>
  <c r="L330" i="5" s="1"/>
  <c r="L331" i="5" s="1"/>
  <c r="L332" i="5" s="1"/>
  <c r="L333" i="5" s="1"/>
  <c r="L334" i="5" s="1"/>
  <c r="L335" i="5" s="1"/>
  <c r="L336" i="5" s="1"/>
  <c r="L337" i="5" s="1"/>
  <c r="L338" i="5" s="1"/>
  <c r="L339" i="5" s="1"/>
  <c r="L340" i="5" s="1"/>
  <c r="L341" i="5" s="1"/>
  <c r="L342" i="5" s="1"/>
  <c r="L343" i="5" s="1"/>
  <c r="L344" i="5" s="1"/>
  <c r="L345" i="5" s="1"/>
  <c r="L346" i="5" s="1"/>
  <c r="L347" i="5" s="1"/>
  <c r="L348" i="5" s="1"/>
  <c r="L349" i="5" s="1"/>
  <c r="L350" i="5" s="1"/>
  <c r="L351" i="5" s="1"/>
  <c r="L352" i="5" s="1"/>
  <c r="L353" i="5" s="1"/>
  <c r="L354" i="5" s="1"/>
  <c r="L355" i="5" s="1"/>
  <c r="L356" i="5" s="1"/>
  <c r="L357" i="5" s="1"/>
  <c r="L358" i="5" s="1"/>
  <c r="L359" i="5" s="1"/>
  <c r="L360" i="5" s="1"/>
  <c r="L361" i="5" s="1"/>
  <c r="L362" i="5" s="1"/>
  <c r="L363" i="5" s="1"/>
  <c r="L364" i="5" s="1"/>
  <c r="L365" i="5" s="1"/>
  <c r="L366" i="5" s="1"/>
  <c r="L367" i="5" s="1"/>
  <c r="L368" i="5" s="1"/>
  <c r="L369" i="5" s="1"/>
  <c r="L370" i="5" s="1"/>
  <c r="L371" i="5" s="1"/>
  <c r="L372" i="5" s="1"/>
  <c r="L373" i="5" s="1"/>
  <c r="L374" i="5" s="1"/>
  <c r="L375" i="5" s="1"/>
  <c r="L376" i="5" s="1"/>
  <c r="L377" i="5" s="1"/>
  <c r="L378" i="5" s="1"/>
  <c r="L379" i="5" s="1"/>
  <c r="L380" i="5" s="1"/>
  <c r="L381" i="5" s="1"/>
  <c r="L382" i="5" s="1"/>
  <c r="L383" i="5" s="1"/>
  <c r="L384" i="5" s="1"/>
  <c r="L385" i="5" s="1"/>
  <c r="L386" i="5" s="1"/>
  <c r="L387" i="5" s="1"/>
  <c r="L388" i="5" s="1"/>
  <c r="L389" i="5" s="1"/>
  <c r="L390" i="5" s="1"/>
  <c r="L391" i="5" s="1"/>
  <c r="L392" i="5" s="1"/>
  <c r="L393" i="5" s="1"/>
  <c r="L394" i="5" s="1"/>
  <c r="L395" i="5" s="1"/>
  <c r="L396" i="5" s="1"/>
  <c r="L397" i="5" s="1"/>
  <c r="L398" i="5" s="1"/>
  <c r="L399" i="5" s="1"/>
  <c r="L400" i="5" s="1"/>
  <c r="L401" i="5" s="1"/>
  <c r="L402" i="5" s="1"/>
  <c r="L403" i="5" s="1"/>
  <c r="L404" i="5" s="1"/>
  <c r="L405" i="5" s="1"/>
  <c r="L406" i="5" s="1"/>
  <c r="L407" i="5" s="1"/>
  <c r="L408" i="5" s="1"/>
  <c r="L409" i="5" s="1"/>
  <c r="L410" i="5" s="1"/>
  <c r="L411" i="5" s="1"/>
  <c r="L412" i="5" s="1"/>
  <c r="L413" i="5" s="1"/>
  <c r="L414" i="5" s="1"/>
  <c r="L415" i="5" s="1"/>
  <c r="L416" i="5" s="1"/>
  <c r="L417" i="5" s="1"/>
  <c r="L418" i="5" s="1"/>
  <c r="L419" i="5" s="1"/>
  <c r="L420" i="5" s="1"/>
  <c r="L421" i="5" s="1"/>
  <c r="L422" i="5" s="1"/>
  <c r="L423" i="5" s="1"/>
  <c r="L424" i="5" s="1"/>
  <c r="L425" i="5" s="1"/>
  <c r="L426" i="5" s="1"/>
  <c r="L427" i="5" s="1"/>
  <c r="L428" i="5" s="1"/>
  <c r="L429" i="5" s="1"/>
  <c r="L430" i="5" s="1"/>
  <c r="L431" i="5" s="1"/>
  <c r="L432" i="5" s="1"/>
  <c r="L433" i="5" s="1"/>
  <c r="L434" i="5" s="1"/>
  <c r="L435" i="5" s="1"/>
  <c r="L436" i="5" s="1"/>
  <c r="L437" i="5" s="1"/>
  <c r="L438" i="5" s="1"/>
  <c r="L439" i="5" s="1"/>
  <c r="L440" i="5" s="1"/>
  <c r="L441" i="5" s="1"/>
  <c r="L442" i="5" s="1"/>
  <c r="L443" i="5" s="1"/>
  <c r="L444" i="5" s="1"/>
  <c r="L445" i="5" s="1"/>
  <c r="L446" i="5" s="1"/>
  <c r="L447" i="5" s="1"/>
  <c r="L448" i="5" s="1"/>
  <c r="L449" i="5" s="1"/>
  <c r="L450" i="5" s="1"/>
  <c r="L451" i="5" s="1"/>
  <c r="L452" i="5" s="1"/>
  <c r="L453" i="5" s="1"/>
  <c r="L454" i="5" s="1"/>
  <c r="L455" i="5" s="1"/>
  <c r="L456" i="5" s="1"/>
  <c r="L457" i="5" s="1"/>
  <c r="L458" i="5" s="1"/>
  <c r="L459" i="5" s="1"/>
  <c r="L460" i="5" s="1"/>
  <c r="L461" i="5" s="1"/>
  <c r="L462" i="5" s="1"/>
  <c r="L463" i="5" s="1"/>
  <c r="L464" i="5" s="1"/>
  <c r="L465" i="5" s="1"/>
  <c r="L466" i="5" s="1"/>
  <c r="L467" i="5" s="1"/>
  <c r="L468" i="5" s="1"/>
  <c r="L469" i="5" s="1"/>
  <c r="L470" i="5" s="1"/>
  <c r="L471" i="5" s="1"/>
  <c r="L472" i="5" s="1"/>
  <c r="L473" i="5" s="1"/>
  <c r="L474" i="5" s="1"/>
  <c r="L475" i="5" s="1"/>
  <c r="L476" i="5" s="1"/>
  <c r="L477" i="5" s="1"/>
  <c r="L478" i="5" s="1"/>
  <c r="L479" i="5" s="1"/>
  <c r="L480" i="5" s="1"/>
  <c r="L481" i="5" s="1"/>
  <c r="L482" i="5" s="1"/>
  <c r="L483" i="5" s="1"/>
  <c r="L484" i="5" s="1"/>
  <c r="L485" i="5" s="1"/>
  <c r="L486" i="5" s="1"/>
  <c r="L487" i="5" s="1"/>
  <c r="L488" i="5" s="1"/>
  <c r="L489" i="5" s="1"/>
  <c r="L490" i="5" s="1"/>
  <c r="L491" i="5" s="1"/>
  <c r="L492" i="5" s="1"/>
  <c r="L493" i="5" s="1"/>
  <c r="L494" i="5" s="1"/>
  <c r="L495" i="5" s="1"/>
  <c r="L496" i="5" s="1"/>
  <c r="L497" i="5" s="1"/>
  <c r="L498" i="5" s="1"/>
  <c r="L499" i="5" s="1"/>
  <c r="L500" i="5" s="1"/>
  <c r="L501" i="5" s="1"/>
  <c r="L502" i="5" s="1"/>
  <c r="L503" i="5" s="1"/>
  <c r="L504" i="5" s="1"/>
  <c r="L505" i="5" s="1"/>
  <c r="L506" i="5" s="1"/>
  <c r="L507" i="5" s="1"/>
  <c r="L508" i="5" s="1"/>
  <c r="L509" i="5" s="1"/>
  <c r="L510" i="5" s="1"/>
  <c r="L511" i="5" s="1"/>
  <c r="L512" i="5" s="1"/>
  <c r="L513" i="5" s="1"/>
  <c r="L514" i="5" s="1"/>
  <c r="L515" i="5" s="1"/>
  <c r="L516" i="5" s="1"/>
  <c r="L517" i="5" s="1"/>
  <c r="L518" i="5" s="1"/>
  <c r="L519" i="5" s="1"/>
  <c r="L520" i="5" s="1"/>
  <c r="L521" i="5" s="1"/>
  <c r="L522" i="5" s="1"/>
  <c r="L523" i="5" s="1"/>
  <c r="L524" i="5" s="1"/>
  <c r="L525" i="5" s="1"/>
  <c r="L526" i="5" s="1"/>
  <c r="L527" i="5" s="1"/>
  <c r="L528" i="5" s="1"/>
  <c r="L529" i="5" s="1"/>
  <c r="L530" i="5" s="1"/>
  <c r="L531" i="5" s="1"/>
  <c r="L532" i="5" s="1"/>
  <c r="L533" i="5" s="1"/>
  <c r="L534" i="5" s="1"/>
  <c r="L535" i="5" s="1"/>
  <c r="L536" i="5" s="1"/>
  <c r="L537" i="5" s="1"/>
  <c r="L538" i="5" s="1"/>
  <c r="L539" i="5" s="1"/>
  <c r="L540" i="5" s="1"/>
  <c r="L541" i="5" s="1"/>
  <c r="L542" i="5" s="1"/>
  <c r="L543" i="5" s="1"/>
  <c r="L544" i="5" s="1"/>
  <c r="L545" i="5" s="1"/>
  <c r="L546" i="5" s="1"/>
  <c r="L547" i="5" s="1"/>
  <c r="L548" i="5" s="1"/>
  <c r="L549" i="5" s="1"/>
  <c r="L550" i="5" s="1"/>
  <c r="L551" i="5" s="1"/>
  <c r="L552" i="5" s="1"/>
  <c r="L553" i="5" s="1"/>
  <c r="L554" i="5" s="1"/>
  <c r="L555" i="5" s="1"/>
  <c r="L556" i="5" s="1"/>
  <c r="L557" i="5" s="1"/>
  <c r="L558" i="5" s="1"/>
  <c r="L559" i="5" s="1"/>
  <c r="L560" i="5" s="1"/>
  <c r="L561" i="5" s="1"/>
  <c r="L562" i="5" s="1"/>
  <c r="L563" i="5" s="1"/>
  <c r="L564" i="5" s="1"/>
  <c r="L565" i="5" s="1"/>
  <c r="L566" i="5" s="1"/>
  <c r="L567" i="5" s="1"/>
  <c r="L568" i="5" s="1"/>
  <c r="L569" i="5" s="1"/>
  <c r="L570" i="5" s="1"/>
  <c r="L571" i="5" s="1"/>
  <c r="L572" i="5" s="1"/>
  <c r="L573" i="5" s="1"/>
  <c r="L574" i="5" s="1"/>
  <c r="L575" i="5" s="1"/>
  <c r="L576" i="5" s="1"/>
  <c r="L577" i="5" s="1"/>
  <c r="L578" i="5" s="1"/>
  <c r="L579" i="5" s="1"/>
  <c r="L580" i="5" s="1"/>
  <c r="L581" i="5" s="1"/>
  <c r="L582" i="5" s="1"/>
  <c r="L583" i="5" s="1"/>
  <c r="L584" i="5" s="1"/>
  <c r="L585" i="5" s="1"/>
  <c r="L586" i="5" s="1"/>
  <c r="L587" i="5" s="1"/>
  <c r="L588" i="5" s="1"/>
  <c r="L589" i="5" s="1"/>
  <c r="L590" i="5" s="1"/>
  <c r="L591" i="5" s="1"/>
  <c r="L592" i="5" s="1"/>
  <c r="L593" i="5" s="1"/>
  <c r="L594" i="5" s="1"/>
  <c r="L595" i="5" s="1"/>
  <c r="L596" i="5" s="1"/>
  <c r="L597" i="5" s="1"/>
  <c r="L598" i="5" s="1"/>
  <c r="L599" i="5" s="1"/>
  <c r="L600" i="5" s="1"/>
  <c r="L601" i="5" s="1"/>
  <c r="L602" i="5" s="1"/>
  <c r="L603" i="5" s="1"/>
  <c r="L604" i="5" s="1"/>
  <c r="L605" i="5" s="1"/>
  <c r="L606" i="5" s="1"/>
  <c r="L607" i="5" s="1"/>
  <c r="L608" i="5" s="1"/>
  <c r="L609" i="5" s="1"/>
  <c r="L610" i="5" s="1"/>
  <c r="L611" i="5" s="1"/>
  <c r="L612" i="5" s="1"/>
  <c r="L613" i="5" s="1"/>
  <c r="L614" i="5" s="1"/>
  <c r="L615" i="5" s="1"/>
  <c r="L616" i="5" s="1"/>
  <c r="L617" i="5" s="1"/>
  <c r="L618" i="5" s="1"/>
  <c r="L619" i="5" s="1"/>
  <c r="L620" i="5" s="1"/>
  <c r="L621" i="5" s="1"/>
  <c r="L622" i="5" s="1"/>
  <c r="L623" i="5" s="1"/>
  <c r="L624" i="5" s="1"/>
  <c r="L625" i="5" s="1"/>
  <c r="L626" i="5" s="1"/>
  <c r="L627" i="5" s="1"/>
  <c r="L628" i="5" s="1"/>
  <c r="L629" i="5" s="1"/>
  <c r="L630" i="5" s="1"/>
  <c r="L631" i="5" s="1"/>
  <c r="L632" i="5" s="1"/>
  <c r="L633" i="5" s="1"/>
  <c r="L634" i="5" s="1"/>
  <c r="L635" i="5" s="1"/>
  <c r="L636" i="5" s="1"/>
  <c r="L637" i="5" s="1"/>
  <c r="L638" i="5" s="1"/>
  <c r="L639" i="5" s="1"/>
  <c r="L640" i="5" s="1"/>
  <c r="L641" i="5" s="1"/>
  <c r="L642" i="5" s="1"/>
  <c r="L643" i="5" s="1"/>
  <c r="L644" i="5" s="1"/>
  <c r="L645" i="5" s="1"/>
  <c r="L646" i="5" s="1"/>
  <c r="L647" i="5" s="1"/>
  <c r="L648" i="5" s="1"/>
  <c r="L649" i="5" s="1"/>
  <c r="L650" i="5" s="1"/>
  <c r="L651" i="5" s="1"/>
  <c r="L652" i="5" s="1"/>
  <c r="L653" i="5" s="1"/>
  <c r="L654" i="5" s="1"/>
  <c r="L655" i="5" s="1"/>
  <c r="L656" i="5" s="1"/>
  <c r="L657" i="5" s="1"/>
  <c r="L658" i="5" s="1"/>
  <c r="L659" i="5" s="1"/>
  <c r="L660" i="5" s="1"/>
  <c r="L661" i="5" s="1"/>
  <c r="L662" i="5" s="1"/>
  <c r="L663" i="5" s="1"/>
  <c r="L664" i="5" s="1"/>
  <c r="L665" i="5" s="1"/>
  <c r="L666" i="5" s="1"/>
  <c r="L667" i="5" s="1"/>
  <c r="L668" i="5" s="1"/>
  <c r="L669" i="5" s="1"/>
  <c r="L670" i="5" s="1"/>
  <c r="L671" i="5" s="1"/>
  <c r="L672" i="5" s="1"/>
  <c r="L673" i="5" s="1"/>
  <c r="L674" i="5" s="1"/>
  <c r="L675" i="5" s="1"/>
  <c r="L676" i="5" s="1"/>
  <c r="L677" i="5" s="1"/>
  <c r="L678" i="5" s="1"/>
  <c r="L679" i="5" s="1"/>
  <c r="L680" i="5" s="1"/>
  <c r="L681" i="5" s="1"/>
  <c r="L682" i="5" s="1"/>
  <c r="L683" i="5" s="1"/>
  <c r="L684" i="5" s="1"/>
  <c r="L685" i="5" s="1"/>
  <c r="L686" i="5" s="1"/>
  <c r="L687" i="5" s="1"/>
  <c r="L688" i="5" s="1"/>
  <c r="L689" i="5" s="1"/>
  <c r="L690" i="5" s="1"/>
  <c r="L691" i="5" s="1"/>
  <c r="L692" i="5" s="1"/>
  <c r="L693" i="5" s="1"/>
  <c r="O21" i="5"/>
  <c r="K274" i="6" l="1"/>
  <c r="K277" i="6" s="1"/>
  <c r="K276" i="6"/>
  <c r="G150" i="8"/>
  <c r="G149" i="8" s="1"/>
  <c r="G148" i="8" s="1"/>
  <c r="G147" i="8" s="1"/>
  <c r="G146" i="8" s="1"/>
  <c r="G145" i="8" s="1"/>
  <c r="G144" i="8" s="1"/>
  <c r="G143" i="8" s="1"/>
  <c r="G142" i="8" s="1"/>
  <c r="G141" i="8" s="1"/>
  <c r="G140" i="8" s="1"/>
  <c r="G139" i="8" s="1"/>
  <c r="G138" i="8" s="1"/>
  <c r="G137" i="8" s="1"/>
  <c r="G136" i="8" s="1"/>
  <c r="G135" i="8" s="1"/>
  <c r="G134" i="8" s="1"/>
  <c r="G133" i="8" s="1"/>
  <c r="G132" i="8" s="1"/>
  <c r="G131" i="8" s="1"/>
  <c r="G130" i="8" s="1"/>
  <c r="G129" i="8" s="1"/>
  <c r="G128" i="8" s="1"/>
  <c r="G127" i="8" s="1"/>
  <c r="G126" i="8" s="1"/>
  <c r="G125" i="8" s="1"/>
  <c r="G124" i="8" s="1"/>
  <c r="G123" i="8" s="1"/>
  <c r="G122" i="8" s="1"/>
  <c r="G121" i="8" s="1"/>
  <c r="G120" i="8" s="1"/>
  <c r="G119" i="8" s="1"/>
  <c r="G118" i="8" s="1"/>
  <c r="G117" i="8" s="1"/>
  <c r="G116" i="8" s="1"/>
  <c r="G115" i="8" s="1"/>
  <c r="G114" i="8" s="1"/>
  <c r="G113" i="8" s="1"/>
  <c r="G112" i="8" s="1"/>
  <c r="G111" i="8" s="1"/>
  <c r="G110" i="8" s="1"/>
  <c r="G109" i="8" s="1"/>
  <c r="G108" i="8" s="1"/>
  <c r="G107" i="8" s="1"/>
  <c r="G106" i="8" s="1"/>
  <c r="G105" i="8" s="1"/>
  <c r="G104" i="8" s="1"/>
  <c r="G103" i="8" s="1"/>
  <c r="G102" i="8" s="1"/>
  <c r="G101" i="8" s="1"/>
  <c r="G100" i="8" s="1"/>
  <c r="G99" i="8" s="1"/>
  <c r="G98" i="8" s="1"/>
  <c r="G97" i="8" l="1"/>
  <c r="G96" i="8" s="1"/>
  <c r="G95" i="8" s="1"/>
  <c r="G94" i="8" s="1"/>
  <c r="G93" i="8" s="1"/>
  <c r="G92" i="8" s="1"/>
  <c r="G91" i="8" s="1"/>
  <c r="G90" i="8" s="1"/>
  <c r="G89" i="8" s="1"/>
  <c r="G88" i="8" s="1"/>
  <c r="G87" i="8" s="1"/>
  <c r="G86" i="8" s="1"/>
  <c r="G85" i="8" s="1"/>
  <c r="G84" i="8" s="1"/>
  <c r="G83" i="8" s="1"/>
  <c r="G82" i="8" s="1"/>
  <c r="G81" i="8" s="1"/>
  <c r="G80" i="8" s="1"/>
  <c r="G79" i="8" s="1"/>
  <c r="G78" i="8" l="1"/>
  <c r="G77" i="8" s="1"/>
  <c r="G76" i="8" s="1"/>
  <c r="G75" i="8" s="1"/>
  <c r="G74" i="8" s="1"/>
  <c r="G73" i="8" s="1"/>
  <c r="G72" i="8" s="1"/>
  <c r="G71" i="8" s="1"/>
  <c r="G70" i="8" s="1"/>
  <c r="G69" i="8" s="1"/>
  <c r="G68" i="8" s="1"/>
  <c r="G67" i="8" s="1"/>
  <c r="G66" i="8" s="1"/>
  <c r="G65" i="8" s="1"/>
  <c r="G64" i="8" s="1"/>
  <c r="G63" i="8" s="1"/>
  <c r="G62" i="8" s="1"/>
  <c r="G61" i="8" s="1"/>
  <c r="G60" i="8" s="1"/>
  <c r="G59" i="8" s="1"/>
  <c r="G58" i="8" s="1"/>
  <c r="G57" i="8" s="1"/>
  <c r="G56" i="8" s="1"/>
  <c r="G55" i="8" s="1"/>
  <c r="G54" i="8" s="1"/>
  <c r="G53" i="8" s="1"/>
  <c r="G52" i="8" s="1"/>
  <c r="G51" i="8" s="1"/>
  <c r="G50" i="8" s="1"/>
  <c r="G49" i="8" s="1"/>
  <c r="G48" i="8" s="1"/>
  <c r="G47" i="8" s="1"/>
  <c r="G46" i="8" s="1"/>
  <c r="G45" i="8" s="1"/>
  <c r="G44" i="8" s="1"/>
  <c r="G43" i="8" s="1"/>
  <c r="G42" i="8" s="1"/>
  <c r="G41" i="8" s="1"/>
  <c r="G40" i="8" s="1"/>
  <c r="G39" i="8" s="1"/>
  <c r="G38" i="8" s="1"/>
  <c r="G37" i="8" s="1"/>
  <c r="G36" i="8" s="1"/>
  <c r="G35" i="8" s="1"/>
  <c r="G34" i="8" s="1"/>
  <c r="G33" i="8" s="1"/>
  <c r="G32" i="8" s="1"/>
  <c r="G31" i="8" s="1"/>
  <c r="G30" i="8" s="1"/>
  <c r="G29" i="8" s="1"/>
  <c r="G28" i="8" s="1"/>
  <c r="G27" i="8" s="1"/>
  <c r="G26" i="8" s="1"/>
  <c r="G25" i="8" s="1"/>
  <c r="G24" i="8" s="1"/>
  <c r="G23" i="8" s="1"/>
  <c r="G22" i="8" s="1"/>
  <c r="G21" i="8" s="1"/>
  <c r="G20" i="8" s="1"/>
  <c r="G19" i="8" s="1"/>
  <c r="G18" i="8" s="1"/>
  <c r="G17" i="8" s="1"/>
  <c r="G16" i="8" s="1"/>
  <c r="G15" i="8" s="1"/>
  <c r="G14" i="8" s="1"/>
  <c r="G13" i="8" s="1"/>
  <c r="G12" i="8" s="1"/>
  <c r="G11" i="8" s="1"/>
  <c r="G10" i="8" s="1"/>
  <c r="G9" i="8" s="1"/>
  <c r="G8" i="8" s="1"/>
  <c r="G7" i="8" s="1"/>
  <c r="G6" i="8" s="1"/>
  <c r="G5" i="8" s="1"/>
  <c r="G4" i="8" s="1"/>
  <c r="G3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378116-19C3-694E-A306-25EE3C1813C9}" keepAlive="1" name="クエリ - newly_confirmed_cases_daily_japanese" description="ブック内の 'newly_confirmed_cases_daily_japanese' クエリへの接続です。" type="5" refreshedVersion="8" background="1" saveData="1">
    <dbPr connection="Provider=Microsoft.Mashup.OleDb.1;Data Source=$Workbook$;Location=newly_confirmed_cases_daily_japanese;Extended Properties=&quot;&quot;" command="SELECT * FROM [newly_confirmed_cases_daily_japanese]"/>
  </connection>
</connections>
</file>

<file path=xl/sharedStrings.xml><?xml version="1.0" encoding="utf-8"?>
<sst xmlns="http://schemas.openxmlformats.org/spreadsheetml/2006/main" count="3303" uniqueCount="416">
  <si>
    <t>日付</t>
  </si>
  <si>
    <t>内容</t>
  </si>
  <si>
    <t>獲得マイル</t>
  </si>
  <si>
    <t>有効マイル</t>
  </si>
  <si>
    <t>FLYONポイント</t>
  </si>
  <si>
    <t>搭乗回数</t>
  </si>
  <si>
    <t>JL0751</t>
  </si>
  <si>
    <t>TOKYO-HANOI</t>
  </si>
  <si>
    <t>JL0752</t>
  </si>
  <si>
    <t>HANOI-TOKYO</t>
  </si>
  <si>
    <t>JL0903</t>
  </si>
  <si>
    <t>羽田-沖縄</t>
  </si>
  <si>
    <t>JL0305</t>
  </si>
  <si>
    <t>羽田-福岡</t>
  </si>
  <si>
    <t>JL0082</t>
  </si>
  <si>
    <t>SHANGHAI-TOKYO</t>
  </si>
  <si>
    <t>JL6402</t>
  </si>
  <si>
    <t>TOKYO-HONOLULU</t>
  </si>
  <si>
    <t>JL0073</t>
  </si>
  <si>
    <t>HONOLULU-TOKYO</t>
  </si>
  <si>
    <t> </t>
  </si>
  <si>
    <t>～2024年06月30日まで</t>
  </si>
  <si>
    <t>JL0323</t>
  </si>
  <si>
    <t>JL0330</t>
  </si>
  <si>
    <t>福岡-羽田</t>
  </si>
  <si>
    <t>JALチケット</t>
  </si>
  <si>
    <t>ＪＡＬカードＴＯＫＹＵＰＯＩＮＴＣｌｕｂＱ</t>
  </si>
  <si>
    <t>JL0319</t>
  </si>
  <si>
    <t>ＪＡＬカード入会搭乗ボーナス</t>
  </si>
  <si>
    <t>JL0318</t>
  </si>
  <si>
    <t>ふるさと納税マイル</t>
  </si>
  <si>
    <t>JL0431</t>
  </si>
  <si>
    <t>羽田-松山</t>
  </si>
  <si>
    <t>ＪＡＬ　ＷＥＬＬＮＥＳＳ＆ＴＲＡＶＥＬ</t>
  </si>
  <si>
    <t>JL0434</t>
  </si>
  <si>
    <t>松山-羽田</t>
  </si>
  <si>
    <t xml:space="preserve">ＪＭＢアプリ	</t>
  </si>
  <si>
    <t>ＪＡＬ国内線特典航空券交換</t>
  </si>
  <si>
    <t>JL0432</t>
  </si>
  <si>
    <t>特典交換</t>
  </si>
  <si>
    <t>JL0335</t>
  </si>
  <si>
    <t>JL0307</t>
  </si>
  <si>
    <t>◆</t>
  </si>
  <si>
    <t>J</t>
  </si>
  <si>
    <t>JL0306</t>
  </si>
  <si>
    <t>JL0311</t>
  </si>
  <si>
    <t>JL0304</t>
  </si>
  <si>
    <t>JL0331</t>
  </si>
  <si>
    <t>JL0314</t>
  </si>
  <si>
    <t>ＪＭＢアプリ　マイルチャンス５等</t>
  </si>
  <si>
    <t>Y</t>
  </si>
  <si>
    <t>JL0300</t>
  </si>
  <si>
    <t>JL0183</t>
  </si>
  <si>
    <t>羽田-小松</t>
  </si>
  <si>
    <t>JL0190</t>
  </si>
  <si>
    <t>小松-羽田</t>
  </si>
  <si>
    <t>JL0225</t>
  </si>
  <si>
    <t>羽田-関西</t>
  </si>
  <si>
    <t>JL0134</t>
  </si>
  <si>
    <t>伊丹-羽田</t>
  </si>
  <si>
    <t>JL0487</t>
  </si>
  <si>
    <t>羽田-高松</t>
  </si>
  <si>
    <t>JL0482</t>
  </si>
  <si>
    <t>高松-羽田</t>
  </si>
  <si>
    <t>JL0327</t>
  </si>
  <si>
    <t>ＪＡＬカードＴＯＫＹＵ　ＰＯＩＮＴＣｌｕｂＱ</t>
  </si>
  <si>
    <t>JL0321</t>
  </si>
  <si>
    <t>JL0316</t>
  </si>
  <si>
    <t>NU0061</t>
  </si>
  <si>
    <t>福岡-沖縄</t>
  </si>
  <si>
    <t>NU0060</t>
  </si>
  <si>
    <t>沖縄-福岡</t>
  </si>
  <si>
    <t>JL3630</t>
  </si>
  <si>
    <t>宮崎-福岡</t>
  </si>
  <si>
    <t>JL3629</t>
  </si>
  <si>
    <t>福岡-宮崎</t>
  </si>
  <si>
    <t>JL3564</t>
  </si>
  <si>
    <t>徳島-福岡</t>
  </si>
  <si>
    <t>JL3563</t>
  </si>
  <si>
    <t>福岡-徳島</t>
  </si>
  <si>
    <t>NU0898</t>
  </si>
  <si>
    <t>多良間島-宮古</t>
  </si>
  <si>
    <t>NU0897</t>
  </si>
  <si>
    <t>宮古-多良間島</t>
  </si>
  <si>
    <t>NU0834</t>
  </si>
  <si>
    <t>石垣-宮古</t>
  </si>
  <si>
    <t>NU0744</t>
  </si>
  <si>
    <t>与那国-石垣</t>
  </si>
  <si>
    <t>NU0743</t>
  </si>
  <si>
    <t>石垣-与那国</t>
  </si>
  <si>
    <t>NU0605</t>
  </si>
  <si>
    <t>沖縄-石垣</t>
  </si>
  <si>
    <t>NU0572</t>
  </si>
  <si>
    <t>宮古-沖縄</t>
  </si>
  <si>
    <t>NU0062</t>
  </si>
  <si>
    <t>NU0051</t>
  </si>
  <si>
    <t>JL0481</t>
  </si>
  <si>
    <t>JL0333</t>
  </si>
  <si>
    <t>NU0564</t>
  </si>
  <si>
    <t>JL0920</t>
  </si>
  <si>
    <t>沖縄-羽田</t>
  </si>
  <si>
    <t>JL0313</t>
  </si>
  <si>
    <t>JL0464</t>
  </si>
  <si>
    <t>徳島-羽田</t>
  </si>
  <si>
    <t>JL0453</t>
  </si>
  <si>
    <t>羽田-徳島</t>
  </si>
  <si>
    <t>JL0107</t>
  </si>
  <si>
    <t>羽田-伊丹</t>
  </si>
  <si>
    <t>JL3592</t>
  </si>
  <si>
    <t>松山-福岡</t>
  </si>
  <si>
    <t>JL0168</t>
  </si>
  <si>
    <t>秋田-羽田</t>
  </si>
  <si>
    <t>JL0161</t>
  </si>
  <si>
    <t>羽田-秋田</t>
  </si>
  <si>
    <t>JL0257</t>
  </si>
  <si>
    <t>羽田-広島</t>
  </si>
  <si>
    <t>JL0256</t>
  </si>
  <si>
    <t>広島-羽田</t>
  </si>
  <si>
    <t>JL0187</t>
  </si>
  <si>
    <t>JL0328</t>
  </si>
  <si>
    <t>NU0874</t>
  </si>
  <si>
    <t>久米島-沖縄</t>
  </si>
  <si>
    <t>NU0873</t>
  </si>
  <si>
    <t>沖縄-久米島</t>
  </si>
  <si>
    <t>NU0609</t>
  </si>
  <si>
    <t>JL0901</t>
  </si>
  <si>
    <t>ＦＬＹ　ＯＮ　ポイントキャンペーン</t>
  </si>
  <si>
    <t>JL0905</t>
  </si>
  <si>
    <t>博多華味鳥　マイルプレゼント　キャンペーン</t>
  </si>
  <si>
    <t>楽天トラベル　ご利用分</t>
  </si>
  <si>
    <t>JL0237</t>
  </si>
  <si>
    <t>羽田-岡山</t>
  </si>
  <si>
    <t>ＪＡＬカード毎年初回搭乗ボーナス</t>
  </si>
  <si>
    <t>JL0234</t>
  </si>
  <si>
    <t>岡山-羽田</t>
  </si>
  <si>
    <t>NU0608</t>
  </si>
  <si>
    <t>石垣-沖縄</t>
  </si>
  <si>
    <t>NU0571</t>
  </si>
  <si>
    <t>沖縄-宮古</t>
  </si>
  <si>
    <t>NU0212</t>
  </si>
  <si>
    <t>NU0211</t>
  </si>
  <si>
    <t>JL3654</t>
  </si>
  <si>
    <t>鹿児島-福岡</t>
  </si>
  <si>
    <t>JL3653</t>
  </si>
  <si>
    <t>福岡-鹿児島</t>
  </si>
  <si>
    <t>JL3626</t>
  </si>
  <si>
    <t>JL3623</t>
  </si>
  <si>
    <t>NU0880</t>
  </si>
  <si>
    <t>NU0879</t>
  </si>
  <si>
    <t>NU0816</t>
  </si>
  <si>
    <t>与論島-沖縄</t>
  </si>
  <si>
    <t>NU0815</t>
  </si>
  <si>
    <t>沖縄-与論島</t>
  </si>
  <si>
    <t>JL0918</t>
  </si>
  <si>
    <t>モッピーポイント交換分</t>
  </si>
  <si>
    <t>JL0184</t>
  </si>
  <si>
    <t>NU0864</t>
  </si>
  <si>
    <t>南大東-沖縄</t>
  </si>
  <si>
    <t>NU0863</t>
  </si>
  <si>
    <t>沖縄-南大東</t>
  </si>
  <si>
    <t>NU0558</t>
  </si>
  <si>
    <t>NU0557</t>
  </si>
  <si>
    <t>JL0922</t>
  </si>
  <si>
    <t>ＪＭＢアプリ　リニューアルキャンペーン</t>
  </si>
  <si>
    <t>JL0909</t>
  </si>
  <si>
    <t>JL0900</t>
  </si>
  <si>
    <t>ＪＡＬカード初回搭乗ＦＬＹＯＮポイント</t>
  </si>
  <si>
    <t>楽天市場ご利用分</t>
  </si>
  <si>
    <t>ＪＡＬモバイル　ご利用分</t>
  </si>
  <si>
    <t>タクシーアプリ『ＧＯ』</t>
  </si>
  <si>
    <t>JL0908</t>
  </si>
  <si>
    <t>JL0915</t>
  </si>
  <si>
    <t>NU0063</t>
  </si>
  <si>
    <t>JL3625</t>
  </si>
  <si>
    <t>JL3582</t>
  </si>
  <si>
    <t>高知（高知龍馬）-福岡</t>
  </si>
  <si>
    <t>JL3581</t>
  </si>
  <si>
    <t>福岡-高知（高知龍馬）</t>
  </si>
  <si>
    <t>JL0303</t>
  </si>
  <si>
    <t>NU0882</t>
  </si>
  <si>
    <t>NU0881</t>
  </si>
  <si>
    <t>NU0563</t>
  </si>
  <si>
    <t>NU0562</t>
  </si>
  <si>
    <t>NU0747</t>
  </si>
  <si>
    <t>NU0728</t>
  </si>
  <si>
    <t>与那国-沖縄</t>
  </si>
  <si>
    <t>NU0617</t>
  </si>
  <si>
    <t>NU0560</t>
  </si>
  <si>
    <t>NU0559</t>
  </si>
  <si>
    <t>JL0475</t>
  </si>
  <si>
    <t>JL0474</t>
  </si>
  <si>
    <t>NU0746</t>
  </si>
  <si>
    <t>NU0727</t>
  </si>
  <si>
    <t>沖縄-与那国</t>
  </si>
  <si>
    <t>JL0974</t>
  </si>
  <si>
    <t>石垣-羽田</t>
  </si>
  <si>
    <t>JL3642</t>
  </si>
  <si>
    <t>JL3639</t>
  </si>
  <si>
    <t>JL0325</t>
  </si>
  <si>
    <t>FAM POOL FROM 411537675</t>
  </si>
  <si>
    <t>FAM POOL FROM 411537789</t>
  </si>
  <si>
    <t>FAM POOL FROM 411537824</t>
  </si>
  <si>
    <t>ＪＡＬ国際線特典航空券交換</t>
  </si>
  <si>
    <t>NU0839</t>
  </si>
  <si>
    <t>宮古-石垣</t>
  </si>
  <si>
    <t>NU0610</t>
  </si>
  <si>
    <t>NU0607</t>
  </si>
  <si>
    <t>NU0565</t>
  </si>
  <si>
    <t>NU0057</t>
  </si>
  <si>
    <t>JL0189</t>
  </si>
  <si>
    <t>NU0626</t>
  </si>
  <si>
    <t>JL0121</t>
  </si>
  <si>
    <t>JL0128</t>
  </si>
  <si>
    <t>JL0326</t>
  </si>
  <si>
    <t>ホットペッパーグルメ　ご利用分</t>
  </si>
  <si>
    <t>JL0115</t>
  </si>
  <si>
    <t>国内線バースデーマイルキャンペーン</t>
  </si>
  <si>
    <t>JL0126</t>
  </si>
  <si>
    <t>JL2792</t>
  </si>
  <si>
    <t>奥尻-函館</t>
  </si>
  <si>
    <t>JL2791</t>
  </si>
  <si>
    <t>函館-奥尻</t>
  </si>
  <si>
    <t>JL2755</t>
  </si>
  <si>
    <t>札幌-函館</t>
  </si>
  <si>
    <t>JL2748</t>
  </si>
  <si>
    <t>函館-札幌</t>
  </si>
  <si>
    <t>JL2738</t>
  </si>
  <si>
    <t>中標津-札幌</t>
  </si>
  <si>
    <t>JL2737</t>
  </si>
  <si>
    <t>札幌-中標津</t>
  </si>
  <si>
    <t>JL0588</t>
  </si>
  <si>
    <t>函館-羽田</t>
  </si>
  <si>
    <t>JL0585</t>
  </si>
  <si>
    <t>羽田-函館</t>
  </si>
  <si>
    <t>JL0625</t>
  </si>
  <si>
    <t>羽田-熊本</t>
  </si>
  <si>
    <t>JL0484</t>
  </si>
  <si>
    <t>ＪＡＬふるさと納税キャンペーン</t>
  </si>
  <si>
    <t>JL0695</t>
  </si>
  <si>
    <t>羽田-宮崎</t>
  </si>
  <si>
    <t>JL0554</t>
  </si>
  <si>
    <t>旭川-羽田</t>
  </si>
  <si>
    <t>JL0553</t>
  </si>
  <si>
    <t>羽田-旭川</t>
  </si>
  <si>
    <t>NU0567</t>
  </si>
  <si>
    <t>NU0566</t>
  </si>
  <si>
    <t>羽田－小松　ボーナスマイルキャンペーン</t>
  </si>
  <si>
    <t>JL0113</t>
  </si>
  <si>
    <t>JL0479</t>
  </si>
  <si>
    <t>ＪＧＣ会員ボーナス</t>
  </si>
  <si>
    <t>JL0158</t>
  </si>
  <si>
    <t>三沢-羽田</t>
  </si>
  <si>
    <t>JL0153</t>
  </si>
  <si>
    <t>羽田-三沢</t>
  </si>
  <si>
    <t>JL0631</t>
  </si>
  <si>
    <t>JL0638</t>
  </si>
  <si>
    <t>熊本-羽田</t>
  </si>
  <si>
    <t>JL0240</t>
  </si>
  <si>
    <t>JL0524</t>
  </si>
  <si>
    <t>札幌-羽田</t>
  </si>
  <si>
    <t>JL0503</t>
  </si>
  <si>
    <t>羽田-札幌</t>
  </si>
  <si>
    <t>JL0436</t>
  </si>
  <si>
    <t>JL0308</t>
  </si>
  <si>
    <t>JL0233</t>
  </si>
  <si>
    <t>JL0239</t>
  </si>
  <si>
    <t>積算日</t>
  </si>
  <si>
    <t>カテゴリー</t>
  </si>
  <si>
    <t>サービス</t>
  </si>
  <si>
    <t>ポイント</t>
  </si>
  <si>
    <t>累積ポイント</t>
  </si>
  <si>
    <t>JAL国内線</t>
  </si>
  <si>
    <t>JAL海外線</t>
  </si>
  <si>
    <t>JALカード</t>
  </si>
  <si>
    <t>JALモバイル</t>
  </si>
  <si>
    <t>JAL Wellness &amp; Travel</t>
  </si>
  <si>
    <t>JALマイレージパーク</t>
  </si>
  <si>
    <t>その他</t>
  </si>
  <si>
    <t>合計</t>
  </si>
  <si>
    <t>航空</t>
  </si>
  <si>
    <t>JAL国内線利用</t>
  </si>
  <si>
    <t>ライフスタイルサービス</t>
  </si>
  <si>
    <t>JALモバイル利用</t>
  </si>
  <si>
    <t>JAL Wellness &amp; Travel利用</t>
  </si>
  <si>
    <t>JALカード利用</t>
  </si>
  <si>
    <t>JALマイレージパーク利用</t>
  </si>
  <si>
    <t>2周年LSP会員（JALカード）</t>
  </si>
  <si>
    <t>2周年キャンペーン（国内線）</t>
  </si>
  <si>
    <t>2周年キャンペーン（JALカード）</t>
  </si>
  <si>
    <t>JAL ふるさと納税</t>
  </si>
  <si>
    <t>JMB eliteチャレンジ（カード）</t>
  </si>
  <si>
    <t>JMB eliteチャレンジ(ご搭乗)</t>
  </si>
  <si>
    <t>JAL国際線</t>
  </si>
  <si>
    <t>JAL国際線利用</t>
  </si>
  <si>
    <t>#</t>
  </si>
  <si>
    <t>運航会社</t>
  </si>
  <si>
    <t>便名</t>
  </si>
  <si>
    <t>出発地</t>
  </si>
  <si>
    <t>出発時刻</t>
  </si>
  <si>
    <t>到着地</t>
  </si>
  <si>
    <t>到着時刻</t>
  </si>
  <si>
    <t>乗継時間</t>
  </si>
  <si>
    <t>予約</t>
  </si>
  <si>
    <t>料金</t>
  </si>
  <si>
    <t>結果</t>
  </si>
  <si>
    <t>列1</t>
  </si>
  <si>
    <t>JAL</t>
  </si>
  <si>
    <t>東京(羽田)</t>
  </si>
  <si>
    <t>福岡</t>
  </si>
  <si>
    <t>–</t>
  </si>
  <si>
    <t>済</t>
  </si>
  <si>
    <t>J‑AIR</t>
  </si>
  <si>
    <t>徳島</t>
  </si>
  <si>
    <t>55分</t>
  </si>
  <si>
    <t>35分</t>
  </si>
  <si>
    <t>宮崎</t>
  </si>
  <si>
    <t>30分</t>
  </si>
  <si>
    <t>JTA</t>
  </si>
  <si>
    <t>沖縄(那覇)</t>
  </si>
  <si>
    <t>40分</t>
  </si>
  <si>
    <t>45分</t>
  </si>
  <si>
    <t>石垣</t>
  </si>
  <si>
    <t>RAC</t>
  </si>
  <si>
    <t>与那国</t>
  </si>
  <si>
    <t>130分</t>
  </si>
  <si>
    <t>宮古</t>
  </si>
  <si>
    <t>多良間</t>
  </si>
  <si>
    <t>60分</t>
  </si>
  <si>
    <t>奄美大島</t>
  </si>
  <si>
    <t>JAC</t>
  </si>
  <si>
    <t>喜界島</t>
  </si>
  <si>
    <t>70分</t>
  </si>
  <si>
    <t>徳之島</t>
  </si>
  <si>
    <t>20分</t>
  </si>
  <si>
    <t>沖永良部</t>
  </si>
  <si>
    <t>85分</t>
  </si>
  <si>
    <t>95分</t>
  </si>
  <si>
    <t>105分</t>
  </si>
  <si>
    <t>高知</t>
  </si>
  <si>
    <t>松山</t>
  </si>
  <si>
    <t>小松</t>
  </si>
  <si>
    <t>大阪(関西)</t>
  </si>
  <si>
    <t>大阪(伊丹)</t>
  </si>
  <si>
    <t>RAC873</t>
  </si>
  <si>
    <t>久米島</t>
  </si>
  <si>
    <t>RAC874</t>
  </si>
  <si>
    <t>JTA609</t>
  </si>
  <si>
    <t>RAC8３４</t>
  </si>
  <si>
    <t>RAC8９７</t>
  </si>
  <si>
    <t>RAC8９８</t>
  </si>
  <si>
    <t>JTA５７２</t>
  </si>
  <si>
    <t>高松</t>
  </si>
  <si>
    <t>伊丹</t>
  </si>
  <si>
    <t>鹿児島</t>
  </si>
  <si>
    <t>与論</t>
  </si>
  <si>
    <t>南大東</t>
  </si>
  <si>
    <t>広島</t>
  </si>
  <si>
    <t>ダメ</t>
  </si>
  <si>
    <t>小松空港</t>
  </si>
  <si>
    <t>岡山</t>
  </si>
  <si>
    <t>JAL901</t>
  </si>
  <si>
    <t>JTA605</t>
  </si>
  <si>
    <t>RAC743</t>
  </si>
  <si>
    <t>RAC744</t>
  </si>
  <si>
    <t>RAC834</t>
  </si>
  <si>
    <t>RAC897</t>
  </si>
  <si>
    <t>RAC898</t>
  </si>
  <si>
    <t>RAC839</t>
  </si>
  <si>
    <t>JTA626</t>
  </si>
  <si>
    <t>JAL922</t>
  </si>
  <si>
    <t>函館</t>
  </si>
  <si>
    <t>購入済</t>
  </si>
  <si>
    <t>HAC</t>
  </si>
  <si>
    <t>奥尻</t>
  </si>
  <si>
    <t>札幌(丘珠)</t>
  </si>
  <si>
    <t>根室中標津</t>
  </si>
  <si>
    <t>旭川</t>
  </si>
  <si>
    <t>0072</t>
  </si>
  <si>
    <t>ホノルル</t>
  </si>
  <si>
    <t>0073</t>
  </si>
  <si>
    <t>東京(成田)</t>
  </si>
  <si>
    <t>台湾(桃園)</t>
  </si>
  <si>
    <t>JAL327</t>
  </si>
  <si>
    <t>JAL320</t>
  </si>
  <si>
    <t>大阪 (伊丹)</t>
  </si>
  <si>
    <t>JAL121</t>
  </si>
  <si>
    <t>JAL128</t>
  </si>
  <si>
    <t>JAL625</t>
  </si>
  <si>
    <t>熊本</t>
  </si>
  <si>
    <t>JAL４８４</t>
  </si>
  <si>
    <t>JAL113</t>
  </si>
  <si>
    <t>JAL305</t>
  </si>
  <si>
    <t>JAL308</t>
  </si>
  <si>
    <t>JAL237</t>
  </si>
  <si>
    <t>JAL479</t>
  </si>
  <si>
    <t>JAL486</t>
  </si>
  <si>
    <t>JAL630</t>
  </si>
  <si>
    <t>JAL481</t>
  </si>
  <si>
    <t>JAL436</t>
  </si>
  <si>
    <t>JAL503</t>
  </si>
  <si>
    <t>札幌（新千歳）</t>
  </si>
  <si>
    <t>JAL524</t>
  </si>
  <si>
    <t>JAL153</t>
  </si>
  <si>
    <t>三沢</t>
  </si>
  <si>
    <t>JAL158</t>
  </si>
  <si>
    <t>JAL233</t>
  </si>
  <si>
    <t>JAL240</t>
  </si>
  <si>
    <t>JAL106</t>
  </si>
  <si>
    <t>総額</t>
  </si>
  <si>
    <t>総SLP数</t>
  </si>
  <si>
    <t>LSP単価</t>
  </si>
  <si>
    <t>65分</t>
  </si>
  <si>
    <t>75分</t>
  </si>
  <si>
    <t>50分</t>
  </si>
  <si>
    <t>-</t>
  </si>
  <si>
    <t>120分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</si>
</sst>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#,##0.0_);[Red]\(#,##0.0\)"/>
    <numFmt numFmtId="178" formatCode="yyyy/m/d;@"/>
  </numFmts>
  <fonts count="11"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9"/>
      <color rgb="FF000000"/>
      <name val="MS UI Gothic"/>
      <charset val="1"/>
    </font>
    <font>
      <b/>
      <sz val="11"/>
      <color theme="1"/>
      <name val="ＭＳ Ｐゴシック"/>
      <family val="2"/>
      <scheme val="minor"/>
    </font>
    <font>
      <b/>
      <sz val="12"/>
      <color rgb="FF333333"/>
      <name val="Noto Sans JP"/>
      <charset val="1"/>
    </font>
    <font>
      <sz val="11"/>
      <color rgb="FF000000"/>
      <name val="Noto Sans JP"/>
      <charset val="1"/>
    </font>
    <font>
      <sz val="12"/>
      <color rgb="FF333333"/>
      <name val="Noto Sans JP"/>
      <charset val="1"/>
    </font>
    <font>
      <sz val="9"/>
      <color rgb="FF666666"/>
      <name val="Hiragino Kaku Gothic ProN"/>
      <charset val="1"/>
    </font>
    <font>
      <sz val="9"/>
      <color rgb="FF333333"/>
      <name val="Hiragino Kaku Gothic ProN"/>
      <charset val="1"/>
    </font>
    <font>
      <sz val="11"/>
      <color rgb="FF1F1F1F"/>
      <name val="Google Sans Text"/>
      <family val="2"/>
      <charset val="1"/>
    </font>
    <font>
      <sz val="11"/>
      <color rgb="FF242424"/>
      <name val="Yu Gothic"/>
      <charset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C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A8A8A8"/>
      </right>
      <top style="thin">
        <color rgb="FFD6D6D6"/>
      </top>
      <bottom/>
      <diagonal/>
    </border>
    <border>
      <left/>
      <right/>
      <top style="thin">
        <color rgb="FFD6D6D6"/>
      </top>
      <bottom/>
      <diagonal/>
    </border>
    <border>
      <left/>
      <right style="thin">
        <color rgb="FFA8A8A8"/>
      </right>
      <top/>
      <bottom/>
      <diagonal/>
    </border>
    <border>
      <left style="thin">
        <color rgb="FFA8A8A8"/>
      </left>
      <right/>
      <top style="thin">
        <color rgb="FFD6D6D6"/>
      </top>
      <bottom/>
      <diagonal/>
    </border>
    <border>
      <left/>
      <right/>
      <top style="thin">
        <color rgb="FFD6D6D6"/>
      </top>
      <bottom style="thin">
        <color rgb="FFD6D6D6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/>
      <diagonal/>
    </border>
    <border>
      <left style="thin">
        <color rgb="FFD6D6D6"/>
      </left>
      <right style="thin">
        <color rgb="FFD6D6D6"/>
      </right>
      <top/>
      <bottom/>
      <diagonal/>
    </border>
    <border>
      <left style="medium">
        <color rgb="FFD6D6D6"/>
      </left>
      <right/>
      <top style="thin">
        <color rgb="FFD6D6D6"/>
      </top>
      <bottom style="thin">
        <color rgb="FFD6D6D6"/>
      </bottom>
      <diagonal/>
    </border>
    <border>
      <left/>
      <right style="medium">
        <color rgb="FFD6D6D6"/>
      </right>
      <top style="thin">
        <color rgb="FFD6D6D6"/>
      </top>
      <bottom/>
      <diagonal/>
    </border>
    <border>
      <left style="medium">
        <color rgb="FFD6D6D6"/>
      </left>
      <right style="thin">
        <color rgb="FFA8A8A8"/>
      </right>
      <top style="thin">
        <color rgb="FFD6D6D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8A8A8"/>
      </left>
      <right style="thin">
        <color rgb="FFA8A8A8"/>
      </right>
      <top style="thin">
        <color rgb="FFD6D6D6"/>
      </top>
      <bottom/>
      <diagonal/>
    </border>
    <border>
      <left style="thin">
        <color rgb="FFA8A8A8"/>
      </left>
      <right style="thin">
        <color rgb="FFA8A8A8"/>
      </right>
      <top style="thin">
        <color rgb="FFD6D6D6"/>
      </top>
      <bottom style="thin">
        <color rgb="FFA8A8A8"/>
      </bottom>
      <diagonal/>
    </border>
    <border>
      <left/>
      <right style="thin">
        <color rgb="FFA8A8A8"/>
      </right>
      <top style="thin">
        <color rgb="FFD6D6D6"/>
      </top>
      <bottom style="thin">
        <color rgb="FFA8A8A8"/>
      </bottom>
      <diagonal/>
    </border>
    <border>
      <left/>
      <right/>
      <top style="thin">
        <color rgb="FFD6D6D6"/>
      </top>
      <bottom style="thin">
        <color rgb="FFA8A8A8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0E0E0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A8A8A8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3" borderId="1" xfId="0" applyFont="1" applyFill="1" applyBorder="1"/>
    <xf numFmtId="3" fontId="2" fillId="3" borderId="1" xfId="0" applyNumberFormat="1" applyFont="1" applyFill="1" applyBorder="1"/>
    <xf numFmtId="0" fontId="2" fillId="3" borderId="2" xfId="0" applyFont="1" applyFill="1" applyBorder="1"/>
    <xf numFmtId="3" fontId="2" fillId="3" borderId="1" xfId="0" applyNumberFormat="1" applyFont="1" applyFill="1" applyBorder="1" applyAlignment="1"/>
    <xf numFmtId="0" fontId="2" fillId="3" borderId="4" xfId="0" applyFont="1" applyFill="1" applyBorder="1"/>
    <xf numFmtId="0" fontId="2" fillId="3" borderId="6" xfId="0" applyFont="1" applyFill="1" applyBorder="1"/>
    <xf numFmtId="0" fontId="2" fillId="3" borderId="7" xfId="0" applyFont="1" applyFill="1" applyBorder="1" applyAlignment="1"/>
    <xf numFmtId="14" fontId="2" fillId="3" borderId="4" xfId="0" applyNumberFormat="1" applyFont="1" applyFill="1" applyBorder="1"/>
    <xf numFmtId="0" fontId="2" fillId="3" borderId="10" xfId="0" applyFont="1" applyFill="1" applyBorder="1"/>
    <xf numFmtId="0" fontId="2" fillId="3" borderId="2" xfId="0" applyFont="1" applyFill="1" applyBorder="1" applyAlignment="1">
      <alignment wrapText="1"/>
    </xf>
    <xf numFmtId="3" fontId="0" fillId="0" borderId="0" xfId="0" applyNumberFormat="1"/>
    <xf numFmtId="0" fontId="0" fillId="0" borderId="11" xfId="0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3" fillId="0" borderId="0" xfId="0" applyFont="1"/>
    <xf numFmtId="20" fontId="0" fillId="0" borderId="0" xfId="0" applyNumberFormat="1"/>
    <xf numFmtId="20" fontId="0" fillId="0" borderId="13" xfId="0" applyNumberFormat="1" applyBorder="1" applyAlignment="1">
      <alignment horizontal="center" vertical="center"/>
    </xf>
    <xf numFmtId="14" fontId="2" fillId="3" borderId="19" xfId="0" applyNumberFormat="1" applyFont="1" applyFill="1" applyBorder="1"/>
    <xf numFmtId="0" fontId="1" fillId="3" borderId="1" xfId="1" applyFill="1" applyBorder="1" applyAlignment="1"/>
    <xf numFmtId="14" fontId="2" fillId="3" borderId="20" xfId="0" applyNumberFormat="1" applyFont="1" applyFill="1" applyBorder="1"/>
    <xf numFmtId="3" fontId="2" fillId="3" borderId="21" xfId="0" applyNumberFormat="1" applyFont="1" applyFill="1" applyBorder="1" applyAlignment="1"/>
    <xf numFmtId="0" fontId="0" fillId="0" borderId="0" xfId="0" applyAlignment="1">
      <alignment wrapText="1"/>
    </xf>
    <xf numFmtId="0" fontId="4" fillId="3" borderId="11" xfId="0" applyFont="1" applyFill="1" applyBorder="1" applyAlignment="1">
      <alignment wrapText="1"/>
    </xf>
    <xf numFmtId="0" fontId="5" fillId="3" borderId="11" xfId="0" applyFont="1" applyFill="1" applyBorder="1" applyAlignment="1">
      <alignment wrapText="1"/>
    </xf>
    <xf numFmtId="0" fontId="0" fillId="0" borderId="11" xfId="0" applyBorder="1"/>
    <xf numFmtId="14" fontId="4" fillId="3" borderId="11" xfId="0" applyNumberFormat="1" applyFont="1" applyFill="1" applyBorder="1" applyAlignment="1">
      <alignment wrapText="1"/>
    </xf>
    <xf numFmtId="176" fontId="2" fillId="3" borderId="1" xfId="0" applyNumberFormat="1" applyFont="1" applyFill="1" applyBorder="1" applyAlignment="1"/>
    <xf numFmtId="176" fontId="2" fillId="3" borderId="9" xfId="0" applyNumberFormat="1" applyFont="1" applyFill="1" applyBorder="1" applyAlignment="1"/>
    <xf numFmtId="176" fontId="2" fillId="3" borderId="1" xfId="0" applyNumberFormat="1" applyFont="1" applyFill="1" applyBorder="1"/>
    <xf numFmtId="176" fontId="2" fillId="3" borderId="9" xfId="0" applyNumberFormat="1" applyFont="1" applyFill="1" applyBorder="1"/>
    <xf numFmtId="176" fontId="2" fillId="3" borderId="21" xfId="0" applyNumberFormat="1" applyFont="1" applyFill="1" applyBorder="1" applyAlignment="1"/>
    <xf numFmtId="177" fontId="0" fillId="0" borderId="0" xfId="0" applyNumberFormat="1"/>
    <xf numFmtId="14" fontId="0" fillId="0" borderId="11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6" fillId="3" borderId="11" xfId="0" applyNumberFormat="1" applyFont="1" applyFill="1" applyBorder="1" applyAlignment="1">
      <alignment wrapText="1"/>
    </xf>
    <xf numFmtId="0" fontId="6" fillId="3" borderId="11" xfId="0" applyFont="1" applyFill="1" applyBorder="1" applyAlignment="1">
      <alignment wrapText="1"/>
    </xf>
    <xf numFmtId="14" fontId="5" fillId="3" borderId="11" xfId="0" applyNumberFormat="1" applyFont="1" applyFill="1" applyBorder="1" applyAlignment="1">
      <alignment wrapText="1"/>
    </xf>
    <xf numFmtId="3" fontId="0" fillId="0" borderId="13" xfId="0" applyNumberFormat="1" applyBorder="1" applyAlignment="1">
      <alignment horizontal="center" vertical="center" wrapText="1"/>
    </xf>
    <xf numFmtId="0" fontId="7" fillId="4" borderId="23" xfId="0" applyFont="1" applyFill="1" applyBorder="1" applyAlignment="1">
      <alignment wrapText="1"/>
    </xf>
    <xf numFmtId="0" fontId="8" fillId="4" borderId="23" xfId="0" applyFont="1" applyFill="1" applyBorder="1" applyAlignment="1">
      <alignment wrapText="1"/>
    </xf>
    <xf numFmtId="20" fontId="8" fillId="4" borderId="23" xfId="0" applyNumberFormat="1" applyFont="1" applyFill="1" applyBorder="1" applyAlignment="1">
      <alignment wrapText="1"/>
    </xf>
    <xf numFmtId="0" fontId="8" fillId="4" borderId="23" xfId="0" quotePrefix="1" applyFont="1" applyFill="1" applyBorder="1" applyAlignment="1">
      <alignment wrapText="1"/>
    </xf>
    <xf numFmtId="0" fontId="8" fillId="4" borderId="23" xfId="0" applyFont="1" applyFill="1" applyBorder="1" applyAlignment="1"/>
    <xf numFmtId="0" fontId="7" fillId="3" borderId="23" xfId="0" applyFont="1" applyFill="1" applyBorder="1" applyAlignment="1">
      <alignment wrapText="1"/>
    </xf>
    <xf numFmtId="0" fontId="8" fillId="3" borderId="23" xfId="0" applyFont="1" applyFill="1" applyBorder="1" applyAlignment="1">
      <alignment wrapText="1"/>
    </xf>
    <xf numFmtId="20" fontId="8" fillId="3" borderId="23" xfId="0" applyNumberFormat="1" applyFont="1" applyFill="1" applyBorder="1" applyAlignment="1">
      <alignment wrapText="1"/>
    </xf>
    <xf numFmtId="0" fontId="8" fillId="3" borderId="23" xfId="0" applyFont="1" applyFill="1" applyBorder="1" applyAlignment="1"/>
    <xf numFmtId="0" fontId="7" fillId="4" borderId="24" xfId="0" applyFont="1" applyFill="1" applyBorder="1" applyAlignment="1">
      <alignment wrapText="1"/>
    </xf>
    <xf numFmtId="0" fontId="8" fillId="4" borderId="24" xfId="0" applyFont="1" applyFill="1" applyBorder="1" applyAlignment="1">
      <alignment wrapText="1"/>
    </xf>
    <xf numFmtId="20" fontId="8" fillId="4" borderId="24" xfId="0" applyNumberFormat="1" applyFont="1" applyFill="1" applyBorder="1" applyAlignment="1">
      <alignment wrapText="1"/>
    </xf>
    <xf numFmtId="0" fontId="0" fillId="3" borderId="0" xfId="0" applyFill="1"/>
    <xf numFmtId="0" fontId="9" fillId="0" borderId="25" xfId="0" applyFont="1" applyBorder="1" applyAlignment="1">
      <alignment horizontal="center" readingOrder="1"/>
    </xf>
    <xf numFmtId="20" fontId="9" fillId="0" borderId="25" xfId="0" applyNumberFormat="1" applyFont="1" applyBorder="1" applyAlignment="1">
      <alignment horizontal="center" readingOrder="1"/>
    </xf>
    <xf numFmtId="0" fontId="0" fillId="0" borderId="16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14" fontId="5" fillId="3" borderId="17" xfId="0" applyNumberFormat="1" applyFont="1" applyFill="1" applyBorder="1" applyAlignment="1">
      <alignment wrapText="1"/>
    </xf>
    <xf numFmtId="0" fontId="5" fillId="3" borderId="17" xfId="0" applyFont="1" applyFill="1" applyBorder="1" applyAlignment="1">
      <alignment wrapText="1"/>
    </xf>
    <xf numFmtId="0" fontId="0" fillId="0" borderId="17" xfId="0" applyBorder="1"/>
    <xf numFmtId="3" fontId="1" fillId="3" borderId="1" xfId="1" applyNumberFormat="1" applyFill="1" applyBorder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11" xfId="0" applyFont="1" applyBorder="1" applyAlignment="1">
      <alignment horizontal="center" vertical="center"/>
    </xf>
    <xf numFmtId="0" fontId="2" fillId="3" borderId="1" xfId="0" applyFont="1" applyFill="1" applyBorder="1" applyAlignment="1"/>
    <xf numFmtId="0" fontId="2" fillId="3" borderId="21" xfId="0" applyFont="1" applyFill="1" applyBorder="1" applyAlignment="1"/>
    <xf numFmtId="0" fontId="2" fillId="3" borderId="2" xfId="0" applyFont="1" applyFill="1" applyBorder="1" applyAlignment="1"/>
    <xf numFmtId="0" fontId="2" fillId="3" borderId="1" xfId="0" applyFont="1" applyFill="1" applyBorder="1" applyAlignment="1"/>
    <xf numFmtId="0" fontId="2" fillId="3" borderId="22" xfId="0" applyFont="1" applyFill="1" applyBorder="1" applyAlignment="1"/>
    <xf numFmtId="0" fontId="2" fillId="3" borderId="21" xfId="0" applyFont="1" applyFill="1" applyBorder="1" applyAlignment="1"/>
    <xf numFmtId="0" fontId="2" fillId="3" borderId="8" xfId="0" applyFont="1" applyFill="1" applyBorder="1" applyAlignment="1"/>
    <xf numFmtId="0" fontId="2" fillId="3" borderId="5" xfId="0" applyFont="1" applyFill="1" applyBorder="1" applyAlignment="1"/>
  </cellXfs>
  <cellStyles count="2">
    <cellStyle name="Hyperlink" xfId="1" xr:uid="{00000000-000B-0000-0000-000008000000}"/>
    <cellStyle name="標準" xfId="0" builtinId="0"/>
  </cellStyles>
  <dxfs count="17"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25" formatCode="h:m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25" formatCode="h:m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5" formatCode="h:mm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47" formatCode="m&quot;月&quot;d&quot;日&quot;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mruColors>
      <color rgb="FFD6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E7-496F-A8E3-087936B870BF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E7-496F-A8E3-087936B870BF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E7-496F-A8E3-087936B870BF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E7-496F-A8E3-087936B870BF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E7-496F-A8E3-087936B870BF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0A-4B99-9FF9-CBCB8AAB75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マイル管理!$N$12:$N$17</c:f>
              <c:strCache>
                <c:ptCount val="6"/>
                <c:pt idx="0">
                  <c:v>JALチケット</c:v>
                </c:pt>
                <c:pt idx="1">
                  <c:v>ＪＡＬカードＴＯＫＹＵＰＯＩＮＴＣｌｕｂＱ</c:v>
                </c:pt>
                <c:pt idx="2">
                  <c:v>ＪＡＬカード入会搭乗ボーナス</c:v>
                </c:pt>
                <c:pt idx="3">
                  <c:v>ふるさと納税マイル</c:v>
                </c:pt>
                <c:pt idx="4">
                  <c:v>ＪＡＬ　ＷＥＬＬＮＥＳＳ＆ＴＲＡＶＥＬ</c:v>
                </c:pt>
                <c:pt idx="5">
                  <c:v>ＪＭＢアプリ	</c:v>
                </c:pt>
              </c:strCache>
            </c:strRef>
          </c:cat>
          <c:val>
            <c:numRef>
              <c:f>マイル管理!$O$12:$O$17</c:f>
              <c:numCache>
                <c:formatCode>General</c:formatCode>
                <c:ptCount val="6"/>
                <c:pt idx="0" formatCode="#,##0">
                  <c:v>134537</c:v>
                </c:pt>
                <c:pt idx="1">
                  <c:v>64630</c:v>
                </c:pt>
                <c:pt idx="2">
                  <c:v>5000</c:v>
                </c:pt>
                <c:pt idx="3">
                  <c:v>2000</c:v>
                </c:pt>
                <c:pt idx="4">
                  <c:v>8056</c:v>
                </c:pt>
                <c:pt idx="5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174-442C-B99C-2ABF2CC7B0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有効マイル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マイル管理!#REF!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マイル管理!$A$2:$A$302</c:f>
              <c:strCache>
                <c:ptCount val="301"/>
                <c:pt idx="0">
                  <c:v>2015/4/19</c:v>
                </c:pt>
                <c:pt idx="1">
                  <c:v>2015/4/22</c:v>
                </c:pt>
                <c:pt idx="2">
                  <c:v>2023/7/21</c:v>
                </c:pt>
                <c:pt idx="3">
                  <c:v>2023/7/24</c:v>
                </c:pt>
                <c:pt idx="4">
                  <c:v>2023/8/27</c:v>
                </c:pt>
                <c:pt idx="5">
                  <c:v>2023/9/6</c:v>
                </c:pt>
                <c:pt idx="6">
                  <c:v>2024/2/9</c:v>
                </c:pt>
                <c:pt idx="7">
                  <c:v>2024/2/11</c:v>
                </c:pt>
                <c:pt idx="8">
                  <c:v> </c:v>
                </c:pt>
                <c:pt idx="9">
                  <c:v>2024/8/7</c:v>
                </c:pt>
                <c:pt idx="10">
                  <c:v>2024/8/8</c:v>
                </c:pt>
                <c:pt idx="12">
                  <c:v>2024/10/24</c:v>
                </c:pt>
                <c:pt idx="13">
                  <c:v>2024/10/25</c:v>
                </c:pt>
                <c:pt idx="14">
                  <c:v>2024/11/15</c:v>
                </c:pt>
                <c:pt idx="15">
                  <c:v>2024/11/16</c:v>
                </c:pt>
                <c:pt idx="16">
                  <c:v>2024/12/20</c:v>
                </c:pt>
                <c:pt idx="17">
                  <c:v>2024/12/21</c:v>
                </c:pt>
                <c:pt idx="18">
                  <c:v>2024/12/24</c:v>
                </c:pt>
                <c:pt idx="19">
                  <c:v>2025/1/23</c:v>
                </c:pt>
                <c:pt idx="20">
                  <c:v>2025/1/25</c:v>
                </c:pt>
                <c:pt idx="21">
                  <c:v>2025/3/11</c:v>
                </c:pt>
                <c:pt idx="22">
                  <c:v>2025/3/11</c:v>
                </c:pt>
                <c:pt idx="23">
                  <c:v>2025/5/7</c:v>
                </c:pt>
                <c:pt idx="24">
                  <c:v>2025/5/10</c:v>
                </c:pt>
                <c:pt idx="25">
                  <c:v>2025/6/26</c:v>
                </c:pt>
                <c:pt idx="26">
                  <c:v>2025/6/28</c:v>
                </c:pt>
                <c:pt idx="27">
                  <c:v>2025/7/2</c:v>
                </c:pt>
                <c:pt idx="28">
                  <c:v>2025/7/3</c:v>
                </c:pt>
                <c:pt idx="29">
                  <c:v>2025/7/3</c:v>
                </c:pt>
                <c:pt idx="30">
                  <c:v>2025/7/4</c:v>
                </c:pt>
                <c:pt idx="31">
                  <c:v>2025/7/5</c:v>
                </c:pt>
                <c:pt idx="32">
                  <c:v>2025/7/6</c:v>
                </c:pt>
                <c:pt idx="33">
                  <c:v>2025/7/7</c:v>
                </c:pt>
                <c:pt idx="34">
                  <c:v>2025/7/8</c:v>
                </c:pt>
                <c:pt idx="35">
                  <c:v>2025/7/8</c:v>
                </c:pt>
                <c:pt idx="36">
                  <c:v>2025/7/9</c:v>
                </c:pt>
                <c:pt idx="37">
                  <c:v>2025/7/10</c:v>
                </c:pt>
                <c:pt idx="38">
                  <c:v>2025/7/10</c:v>
                </c:pt>
                <c:pt idx="39">
                  <c:v>2025/7/11</c:v>
                </c:pt>
                <c:pt idx="40">
                  <c:v>2025/7/11</c:v>
                </c:pt>
                <c:pt idx="41">
                  <c:v>2025/7/12</c:v>
                </c:pt>
                <c:pt idx="42">
                  <c:v>2025/7/12</c:v>
                </c:pt>
                <c:pt idx="43">
                  <c:v>2025/7/13</c:v>
                </c:pt>
                <c:pt idx="44">
                  <c:v>2025/7/13</c:v>
                </c:pt>
                <c:pt idx="45">
                  <c:v>2025/7/14</c:v>
                </c:pt>
                <c:pt idx="46">
                  <c:v>2025/7/15</c:v>
                </c:pt>
                <c:pt idx="47">
                  <c:v>2025/7/15</c:v>
                </c:pt>
                <c:pt idx="48">
                  <c:v>2025/7/16</c:v>
                </c:pt>
                <c:pt idx="49">
                  <c:v>2025/7/17</c:v>
                </c:pt>
                <c:pt idx="50">
                  <c:v>2025/7/18</c:v>
                </c:pt>
                <c:pt idx="51">
                  <c:v>2025/7/19</c:v>
                </c:pt>
                <c:pt idx="52">
                  <c:v>2025/7/20</c:v>
                </c:pt>
                <c:pt idx="53">
                  <c:v>2025/7/21</c:v>
                </c:pt>
                <c:pt idx="54">
                  <c:v>2025/7/22</c:v>
                </c:pt>
                <c:pt idx="55">
                  <c:v>2025/7/22</c:v>
                </c:pt>
                <c:pt idx="56">
                  <c:v>2025/7/22</c:v>
                </c:pt>
                <c:pt idx="57">
                  <c:v>2025/7/23</c:v>
                </c:pt>
                <c:pt idx="58">
                  <c:v>2025/7/24</c:v>
                </c:pt>
                <c:pt idx="59">
                  <c:v>2025/7/25</c:v>
                </c:pt>
                <c:pt idx="60">
                  <c:v>2025/7/26</c:v>
                </c:pt>
                <c:pt idx="61">
                  <c:v>2025/7/26</c:v>
                </c:pt>
                <c:pt idx="62">
                  <c:v>2025/7/27</c:v>
                </c:pt>
                <c:pt idx="63">
                  <c:v>2025/7/27</c:v>
                </c:pt>
                <c:pt idx="64">
                  <c:v>2025/7/28</c:v>
                </c:pt>
                <c:pt idx="65">
                  <c:v>2025/7/29</c:v>
                </c:pt>
                <c:pt idx="66">
                  <c:v>2025/7/29</c:v>
                </c:pt>
                <c:pt idx="67">
                  <c:v>2025/7/30</c:v>
                </c:pt>
                <c:pt idx="68">
                  <c:v>2025/7/30</c:v>
                </c:pt>
                <c:pt idx="69">
                  <c:v>2025/7/31</c:v>
                </c:pt>
                <c:pt idx="70">
                  <c:v>2025/8/1</c:v>
                </c:pt>
                <c:pt idx="71">
                  <c:v>2025/8/2</c:v>
                </c:pt>
                <c:pt idx="72">
                  <c:v>2025/8/2</c:v>
                </c:pt>
                <c:pt idx="73">
                  <c:v>2025/8/3</c:v>
                </c:pt>
                <c:pt idx="74">
                  <c:v>2025/8/3</c:v>
                </c:pt>
                <c:pt idx="75">
                  <c:v>2025/8/4</c:v>
                </c:pt>
                <c:pt idx="76">
                  <c:v>2025/8/5</c:v>
                </c:pt>
                <c:pt idx="77">
                  <c:v>2025/8/6</c:v>
                </c:pt>
                <c:pt idx="78">
                  <c:v>2025/8/6</c:v>
                </c:pt>
                <c:pt idx="79">
                  <c:v>2025/8/6</c:v>
                </c:pt>
                <c:pt idx="80">
                  <c:v>2025/8/7</c:v>
                </c:pt>
                <c:pt idx="81">
                  <c:v>2025/8/8</c:v>
                </c:pt>
                <c:pt idx="82">
                  <c:v>2025/8/9</c:v>
                </c:pt>
                <c:pt idx="83">
                  <c:v>2025/8/10</c:v>
                </c:pt>
                <c:pt idx="84">
                  <c:v>2025/8/10</c:v>
                </c:pt>
                <c:pt idx="85">
                  <c:v>2025/8/11</c:v>
                </c:pt>
                <c:pt idx="86">
                  <c:v>2025/8/12</c:v>
                </c:pt>
                <c:pt idx="87">
                  <c:v>2025/8/13</c:v>
                </c:pt>
                <c:pt idx="88">
                  <c:v>2025/8/14</c:v>
                </c:pt>
                <c:pt idx="89">
                  <c:v>2025/8/15</c:v>
                </c:pt>
                <c:pt idx="90">
                  <c:v>2025/8/16</c:v>
                </c:pt>
                <c:pt idx="91">
                  <c:v>2025/8/17</c:v>
                </c:pt>
                <c:pt idx="92">
                  <c:v>2025/8/18</c:v>
                </c:pt>
                <c:pt idx="93">
                  <c:v>2025/8/19</c:v>
                </c:pt>
                <c:pt idx="94">
                  <c:v>2025/8/20</c:v>
                </c:pt>
                <c:pt idx="95">
                  <c:v>2025/8/21</c:v>
                </c:pt>
                <c:pt idx="96">
                  <c:v>2025/8/21</c:v>
                </c:pt>
                <c:pt idx="97">
                  <c:v>2025/8/22</c:v>
                </c:pt>
                <c:pt idx="98">
                  <c:v>2025/8/22</c:v>
                </c:pt>
                <c:pt idx="99">
                  <c:v>2025/8/23</c:v>
                </c:pt>
                <c:pt idx="100">
                  <c:v>2025/8/24</c:v>
                </c:pt>
                <c:pt idx="101">
                  <c:v>2025/8/25</c:v>
                </c:pt>
                <c:pt idx="102">
                  <c:v>2025/8/26</c:v>
                </c:pt>
                <c:pt idx="103">
                  <c:v>2025/8/27</c:v>
                </c:pt>
                <c:pt idx="104">
                  <c:v>2025/8/27</c:v>
                </c:pt>
                <c:pt idx="105">
                  <c:v>2025/8/28</c:v>
                </c:pt>
                <c:pt idx="106">
                  <c:v>2025/8/28</c:v>
                </c:pt>
                <c:pt idx="107">
                  <c:v>2025/8/29</c:v>
                </c:pt>
                <c:pt idx="108">
                  <c:v>2025/8/30</c:v>
                </c:pt>
                <c:pt idx="109">
                  <c:v>2025/8/31</c:v>
                </c:pt>
                <c:pt idx="110">
                  <c:v>2025/8/31</c:v>
                </c:pt>
                <c:pt idx="111">
                  <c:v>2025/9/1</c:v>
                </c:pt>
                <c:pt idx="112">
                  <c:v>2025/9/1</c:v>
                </c:pt>
                <c:pt idx="113">
                  <c:v>2025/9/2</c:v>
                </c:pt>
                <c:pt idx="114">
                  <c:v>2025/9/3</c:v>
                </c:pt>
                <c:pt idx="115">
                  <c:v>2025/9/3</c:v>
                </c:pt>
                <c:pt idx="116">
                  <c:v>2025/9/4</c:v>
                </c:pt>
                <c:pt idx="117">
                  <c:v>2025/9/5</c:v>
                </c:pt>
                <c:pt idx="118">
                  <c:v>2025/9/6</c:v>
                </c:pt>
                <c:pt idx="119">
                  <c:v>2025/9/7</c:v>
                </c:pt>
                <c:pt idx="120">
                  <c:v>2025/9/8</c:v>
                </c:pt>
                <c:pt idx="121">
                  <c:v>2025/9/9</c:v>
                </c:pt>
                <c:pt idx="122">
                  <c:v>2025/9/10</c:v>
                </c:pt>
                <c:pt idx="123">
                  <c:v>2025/9/10</c:v>
                </c:pt>
                <c:pt idx="124">
                  <c:v>2025/9/11</c:v>
                </c:pt>
                <c:pt idx="125">
                  <c:v>2025/9/11</c:v>
                </c:pt>
                <c:pt idx="126">
                  <c:v>2025/9/12</c:v>
                </c:pt>
                <c:pt idx="127">
                  <c:v>2025/9/13</c:v>
                </c:pt>
                <c:pt idx="128">
                  <c:v>2025/9/14</c:v>
                </c:pt>
                <c:pt idx="129">
                  <c:v>2025/9/14</c:v>
                </c:pt>
                <c:pt idx="130">
                  <c:v>2025/9/14</c:v>
                </c:pt>
                <c:pt idx="131">
                  <c:v>2025/9/15</c:v>
                </c:pt>
                <c:pt idx="132">
                  <c:v>2025/9/15</c:v>
                </c:pt>
                <c:pt idx="133">
                  <c:v>2025/9/16</c:v>
                </c:pt>
                <c:pt idx="134">
                  <c:v>2025/9/17</c:v>
                </c:pt>
                <c:pt idx="135">
                  <c:v>2025/9/17</c:v>
                </c:pt>
                <c:pt idx="136">
                  <c:v>2025/9/18</c:v>
                </c:pt>
                <c:pt idx="137">
                  <c:v>2025/9/19</c:v>
                </c:pt>
                <c:pt idx="138">
                  <c:v>2025/9/19</c:v>
                </c:pt>
                <c:pt idx="139">
                  <c:v>2025/9/19</c:v>
                </c:pt>
                <c:pt idx="140">
                  <c:v>2025/9/19</c:v>
                </c:pt>
                <c:pt idx="141">
                  <c:v>2025/9/19</c:v>
                </c:pt>
                <c:pt idx="142">
                  <c:v>2025/9/20</c:v>
                </c:pt>
                <c:pt idx="143">
                  <c:v>2025/9/21</c:v>
                </c:pt>
                <c:pt idx="144">
                  <c:v>2025/9/22</c:v>
                </c:pt>
                <c:pt idx="145">
                  <c:v>2025/9/23</c:v>
                </c:pt>
                <c:pt idx="146">
                  <c:v>2025/9/24</c:v>
                </c:pt>
                <c:pt idx="147">
                  <c:v>2025/9/25</c:v>
                </c:pt>
                <c:pt idx="148">
                  <c:v>2025/9/26</c:v>
                </c:pt>
                <c:pt idx="149">
                  <c:v>2025/9/26</c:v>
                </c:pt>
                <c:pt idx="150">
                  <c:v>2025/9/26</c:v>
                </c:pt>
                <c:pt idx="151">
                  <c:v>2025/9/26</c:v>
                </c:pt>
                <c:pt idx="152">
                  <c:v>2025/9/26</c:v>
                </c:pt>
                <c:pt idx="153">
                  <c:v>2025/9/26</c:v>
                </c:pt>
                <c:pt idx="154">
                  <c:v>2025/9/26</c:v>
                </c:pt>
                <c:pt idx="155">
                  <c:v>2025/9/26</c:v>
                </c:pt>
                <c:pt idx="156">
                  <c:v>2025/9/27</c:v>
                </c:pt>
                <c:pt idx="157">
                  <c:v>2025/9/27</c:v>
                </c:pt>
                <c:pt idx="158">
                  <c:v>2025/9/27</c:v>
                </c:pt>
                <c:pt idx="159">
                  <c:v>2025/9/27</c:v>
                </c:pt>
                <c:pt idx="160">
                  <c:v>2025/9/27</c:v>
                </c:pt>
                <c:pt idx="161">
                  <c:v>2025/9/27</c:v>
                </c:pt>
                <c:pt idx="162">
                  <c:v>2025/9/27</c:v>
                </c:pt>
                <c:pt idx="163">
                  <c:v>2025/9/27</c:v>
                </c:pt>
                <c:pt idx="164">
                  <c:v>2025/9/27</c:v>
                </c:pt>
                <c:pt idx="165">
                  <c:v>2025/9/27</c:v>
                </c:pt>
                <c:pt idx="166">
                  <c:v>2025/9/28</c:v>
                </c:pt>
                <c:pt idx="167">
                  <c:v>2025/9/29</c:v>
                </c:pt>
                <c:pt idx="168">
                  <c:v>2025/9/30</c:v>
                </c:pt>
                <c:pt idx="169">
                  <c:v>2025/9/30</c:v>
                </c:pt>
                <c:pt idx="170">
                  <c:v>2025/10/1</c:v>
                </c:pt>
                <c:pt idx="171">
                  <c:v>2025/10/2</c:v>
                </c:pt>
                <c:pt idx="172">
                  <c:v>2025/10/2</c:v>
                </c:pt>
                <c:pt idx="173">
                  <c:v>2025/10/3</c:v>
                </c:pt>
                <c:pt idx="174">
                  <c:v>2025/10/3</c:v>
                </c:pt>
                <c:pt idx="175">
                  <c:v>2025/10/4</c:v>
                </c:pt>
                <c:pt idx="176">
                  <c:v>2025/10/4</c:v>
                </c:pt>
                <c:pt idx="177">
                  <c:v>2025/10/4</c:v>
                </c:pt>
                <c:pt idx="178">
                  <c:v>2025/10/5</c:v>
                </c:pt>
                <c:pt idx="179">
                  <c:v>2025/10/5</c:v>
                </c:pt>
                <c:pt idx="180">
                  <c:v>2025/10/5</c:v>
                </c:pt>
                <c:pt idx="181">
                  <c:v>2025/10/5</c:v>
                </c:pt>
                <c:pt idx="182">
                  <c:v>2025/10/5</c:v>
                </c:pt>
                <c:pt idx="183">
                  <c:v>2025/10/5</c:v>
                </c:pt>
                <c:pt idx="184">
                  <c:v>2025/10/5</c:v>
                </c:pt>
                <c:pt idx="185">
                  <c:v>2025/10/5</c:v>
                </c:pt>
                <c:pt idx="186">
                  <c:v>2025/10/5</c:v>
                </c:pt>
                <c:pt idx="187">
                  <c:v>2025/10/6</c:v>
                </c:pt>
                <c:pt idx="188">
                  <c:v>2025/10/7</c:v>
                </c:pt>
                <c:pt idx="189">
                  <c:v>2025/10/8</c:v>
                </c:pt>
                <c:pt idx="190">
                  <c:v>2025/10/9</c:v>
                </c:pt>
                <c:pt idx="191">
                  <c:v>2025/10/9</c:v>
                </c:pt>
                <c:pt idx="192">
                  <c:v>2025/10/10</c:v>
                </c:pt>
                <c:pt idx="193">
                  <c:v>2025/10/10</c:v>
                </c:pt>
                <c:pt idx="194">
                  <c:v>2025/10/11</c:v>
                </c:pt>
                <c:pt idx="195">
                  <c:v>2025/10/12</c:v>
                </c:pt>
                <c:pt idx="196">
                  <c:v>2025/10/13</c:v>
                </c:pt>
                <c:pt idx="197">
                  <c:v>2025/10/14</c:v>
                </c:pt>
                <c:pt idx="198">
                  <c:v>2025/10/14</c:v>
                </c:pt>
                <c:pt idx="199">
                  <c:v>2025/10/14</c:v>
                </c:pt>
                <c:pt idx="200">
                  <c:v>2025/10/15</c:v>
                </c:pt>
                <c:pt idx="201">
                  <c:v>2025/10/16</c:v>
                </c:pt>
                <c:pt idx="202">
                  <c:v>2025/10/17</c:v>
                </c:pt>
                <c:pt idx="203">
                  <c:v>2025/10/18</c:v>
                </c:pt>
                <c:pt idx="204">
                  <c:v>2025/10/19</c:v>
                </c:pt>
                <c:pt idx="205">
                  <c:v>2025/10/20</c:v>
                </c:pt>
                <c:pt idx="206">
                  <c:v>2025/10/21</c:v>
                </c:pt>
                <c:pt idx="207">
                  <c:v>2025/10/21</c:v>
                </c:pt>
                <c:pt idx="208">
                  <c:v>2025/10/22</c:v>
                </c:pt>
                <c:pt idx="209">
                  <c:v>2025/10/23</c:v>
                </c:pt>
                <c:pt idx="210">
                  <c:v>2025/10/23</c:v>
                </c:pt>
                <c:pt idx="211">
                  <c:v>2025/10/24</c:v>
                </c:pt>
                <c:pt idx="212">
                  <c:v>2025/10/24</c:v>
                </c:pt>
                <c:pt idx="213">
                  <c:v>2025/10/25</c:v>
                </c:pt>
                <c:pt idx="214">
                  <c:v>2025/10/26</c:v>
                </c:pt>
                <c:pt idx="215">
                  <c:v>2025/10/27</c:v>
                </c:pt>
                <c:pt idx="216">
                  <c:v>2025/10/28</c:v>
                </c:pt>
                <c:pt idx="217">
                  <c:v>2025/10/29</c:v>
                </c:pt>
                <c:pt idx="218">
                  <c:v>2025/10/30</c:v>
                </c:pt>
                <c:pt idx="219">
                  <c:v>2025/10/31</c:v>
                </c:pt>
                <c:pt idx="220">
                  <c:v>2025/11/1</c:v>
                </c:pt>
                <c:pt idx="221">
                  <c:v>2025/11/2</c:v>
                </c:pt>
                <c:pt idx="222">
                  <c:v>2025/11/3</c:v>
                </c:pt>
                <c:pt idx="223">
                  <c:v>2025/11/4</c:v>
                </c:pt>
                <c:pt idx="224">
                  <c:v>2025/11/5</c:v>
                </c:pt>
                <c:pt idx="225">
                  <c:v>2025/11/6</c:v>
                </c:pt>
                <c:pt idx="226">
                  <c:v>2025/11/7</c:v>
                </c:pt>
                <c:pt idx="227">
                  <c:v>2025/11/7</c:v>
                </c:pt>
                <c:pt idx="228">
                  <c:v>2025/11/8</c:v>
                </c:pt>
                <c:pt idx="229">
                  <c:v>2025/11/9</c:v>
                </c:pt>
                <c:pt idx="230">
                  <c:v>2025/11/9</c:v>
                </c:pt>
                <c:pt idx="231">
                  <c:v>2025/11/10</c:v>
                </c:pt>
                <c:pt idx="232">
                  <c:v>2025/11/10</c:v>
                </c:pt>
                <c:pt idx="233">
                  <c:v>2025/11/11</c:v>
                </c:pt>
                <c:pt idx="234">
                  <c:v>2025/11/12</c:v>
                </c:pt>
                <c:pt idx="235">
                  <c:v>2025/11/13</c:v>
                </c:pt>
                <c:pt idx="236">
                  <c:v>2025/11/14</c:v>
                </c:pt>
                <c:pt idx="237">
                  <c:v>2025/11/15</c:v>
                </c:pt>
                <c:pt idx="238">
                  <c:v>2025/11/16</c:v>
                </c:pt>
                <c:pt idx="239">
                  <c:v>2025/11/17</c:v>
                </c:pt>
                <c:pt idx="240">
                  <c:v>2025/11/18</c:v>
                </c:pt>
                <c:pt idx="241">
                  <c:v>2025/11/19</c:v>
                </c:pt>
                <c:pt idx="242">
                  <c:v>2025/11/19</c:v>
                </c:pt>
                <c:pt idx="243">
                  <c:v>2025/11/19</c:v>
                </c:pt>
                <c:pt idx="244">
                  <c:v>2025/11/20</c:v>
                </c:pt>
                <c:pt idx="245">
                  <c:v>2025/11/20</c:v>
                </c:pt>
                <c:pt idx="246">
                  <c:v>2025/11/21</c:v>
                </c:pt>
                <c:pt idx="247">
                  <c:v>2025/11/22</c:v>
                </c:pt>
                <c:pt idx="248">
                  <c:v>2025/11/22</c:v>
                </c:pt>
                <c:pt idx="249">
                  <c:v>2025/11/23</c:v>
                </c:pt>
                <c:pt idx="250">
                  <c:v>2025/11/24</c:v>
                </c:pt>
                <c:pt idx="251">
                  <c:v>2025/11/24</c:v>
                </c:pt>
                <c:pt idx="252">
                  <c:v>2025/11/25</c:v>
                </c:pt>
                <c:pt idx="253">
                  <c:v>2025/11/25</c:v>
                </c:pt>
                <c:pt idx="254">
                  <c:v>2025/11/26</c:v>
                </c:pt>
                <c:pt idx="255">
                  <c:v>2025/11/26</c:v>
                </c:pt>
                <c:pt idx="256">
                  <c:v>2025/11/27</c:v>
                </c:pt>
                <c:pt idx="257">
                  <c:v>2025/11/27</c:v>
                </c:pt>
                <c:pt idx="258">
                  <c:v>2025/11/28</c:v>
                </c:pt>
                <c:pt idx="259">
                  <c:v>2025/11/29</c:v>
                </c:pt>
                <c:pt idx="260">
                  <c:v>2025/11/30</c:v>
                </c:pt>
                <c:pt idx="261">
                  <c:v>2025/12/1</c:v>
                </c:pt>
                <c:pt idx="262">
                  <c:v>2025/12/1</c:v>
                </c:pt>
                <c:pt idx="263">
                  <c:v>2025/12/2</c:v>
                </c:pt>
                <c:pt idx="264">
                  <c:v>2025/12/2</c:v>
                </c:pt>
                <c:pt idx="265">
                  <c:v>2025/12/3</c:v>
                </c:pt>
                <c:pt idx="266">
                  <c:v>2025/12/3</c:v>
                </c:pt>
                <c:pt idx="267">
                  <c:v>2025/12/3</c:v>
                </c:pt>
                <c:pt idx="268">
                  <c:v>2025/12/3</c:v>
                </c:pt>
                <c:pt idx="269">
                  <c:v>2025/12/3</c:v>
                </c:pt>
                <c:pt idx="270">
                  <c:v>2025/12/3</c:v>
                </c:pt>
                <c:pt idx="271">
                  <c:v>2025/12/3</c:v>
                </c:pt>
                <c:pt idx="272">
                  <c:v>2025/12/3</c:v>
                </c:pt>
                <c:pt idx="273">
                  <c:v>2025/12/3</c:v>
                </c:pt>
                <c:pt idx="274">
                  <c:v>2025/12/3</c:v>
                </c:pt>
                <c:pt idx="275">
                  <c:v>2025/12/4</c:v>
                </c:pt>
                <c:pt idx="276">
                  <c:v>2025/12/5</c:v>
                </c:pt>
                <c:pt idx="277">
                  <c:v>2025/12/6</c:v>
                </c:pt>
                <c:pt idx="278">
                  <c:v>2025/12/7</c:v>
                </c:pt>
                <c:pt idx="279">
                  <c:v>2025/12/8</c:v>
                </c:pt>
                <c:pt idx="280">
                  <c:v>2025/12/9</c:v>
                </c:pt>
                <c:pt idx="281">
                  <c:v>2025/12/10</c:v>
                </c:pt>
                <c:pt idx="282">
                  <c:v>2025/12/10</c:v>
                </c:pt>
                <c:pt idx="283">
                  <c:v>2025/12/10</c:v>
                </c:pt>
                <c:pt idx="284">
                  <c:v>2025/12/10</c:v>
                </c:pt>
                <c:pt idx="285">
                  <c:v>2025/12/11</c:v>
                </c:pt>
                <c:pt idx="286">
                  <c:v>2025/12/12</c:v>
                </c:pt>
                <c:pt idx="287">
                  <c:v>2025/12/12</c:v>
                </c:pt>
                <c:pt idx="288">
                  <c:v>2025/12/13</c:v>
                </c:pt>
                <c:pt idx="289">
                  <c:v>2025/12/13</c:v>
                </c:pt>
                <c:pt idx="290">
                  <c:v>2025/12/14</c:v>
                </c:pt>
                <c:pt idx="291">
                  <c:v>2025/12/14</c:v>
                </c:pt>
                <c:pt idx="292">
                  <c:v>2025/12/15</c:v>
                </c:pt>
                <c:pt idx="293">
                  <c:v>2025/12/16</c:v>
                </c:pt>
                <c:pt idx="294">
                  <c:v>2025/12/16</c:v>
                </c:pt>
                <c:pt idx="295">
                  <c:v>2025/12/17</c:v>
                </c:pt>
                <c:pt idx="296">
                  <c:v>2025/12/18</c:v>
                </c:pt>
                <c:pt idx="297">
                  <c:v>2025/12/18</c:v>
                </c:pt>
                <c:pt idx="298">
                  <c:v>2025/12/18</c:v>
                </c:pt>
                <c:pt idx="299">
                  <c:v>2025/12/19</c:v>
                </c:pt>
                <c:pt idx="300">
                  <c:v>2025/12/20</c:v>
                </c:pt>
              </c:strCache>
            </c:strRef>
          </c:cat>
          <c:val>
            <c:numRef>
              <c:f>マイル管理!$I$2:$I$302</c:f>
              <c:numCache>
                <c:formatCode>#,##0</c:formatCode>
                <c:ptCount val="301"/>
                <c:pt idx="8">
                  <c:v>6265</c:v>
                </c:pt>
                <c:pt idx="9">
                  <c:v>6832</c:v>
                </c:pt>
                <c:pt idx="10">
                  <c:v>7399</c:v>
                </c:pt>
                <c:pt idx="12">
                  <c:v>7966</c:v>
                </c:pt>
                <c:pt idx="13">
                  <c:v>8533</c:v>
                </c:pt>
                <c:pt idx="14">
                  <c:v>9015</c:v>
                </c:pt>
                <c:pt idx="15">
                  <c:v>9497</c:v>
                </c:pt>
                <c:pt idx="16">
                  <c:v>9935</c:v>
                </c:pt>
                <c:pt idx="17">
                  <c:v>10417</c:v>
                </c:pt>
                <c:pt idx="18">
                  <c:v>10842</c:v>
                </c:pt>
                <c:pt idx="19">
                  <c:v>11466</c:v>
                </c:pt>
                <c:pt idx="20">
                  <c:v>12090</c:v>
                </c:pt>
                <c:pt idx="21">
                  <c:v>12714</c:v>
                </c:pt>
                <c:pt idx="22">
                  <c:v>13338</c:v>
                </c:pt>
                <c:pt idx="23">
                  <c:v>13962</c:v>
                </c:pt>
                <c:pt idx="24">
                  <c:v>14586</c:v>
                </c:pt>
                <c:pt idx="25">
                  <c:v>15210</c:v>
                </c:pt>
                <c:pt idx="26">
                  <c:v>15834</c:v>
                </c:pt>
                <c:pt idx="27">
                  <c:v>15851</c:v>
                </c:pt>
                <c:pt idx="28">
                  <c:v>15852</c:v>
                </c:pt>
                <c:pt idx="29">
                  <c:v>15869</c:v>
                </c:pt>
                <c:pt idx="30">
                  <c:v>15878</c:v>
                </c:pt>
                <c:pt idx="31">
                  <c:v>15887</c:v>
                </c:pt>
                <c:pt idx="32">
                  <c:v>15927</c:v>
                </c:pt>
                <c:pt idx="33">
                  <c:v>15935</c:v>
                </c:pt>
                <c:pt idx="34">
                  <c:v>15936</c:v>
                </c:pt>
                <c:pt idx="35">
                  <c:v>15944</c:v>
                </c:pt>
                <c:pt idx="36">
                  <c:v>15952</c:v>
                </c:pt>
                <c:pt idx="37">
                  <c:v>15953</c:v>
                </c:pt>
                <c:pt idx="38">
                  <c:v>15960</c:v>
                </c:pt>
                <c:pt idx="39">
                  <c:v>15961</c:v>
                </c:pt>
                <c:pt idx="40">
                  <c:v>15970</c:v>
                </c:pt>
                <c:pt idx="41">
                  <c:v>15971</c:v>
                </c:pt>
                <c:pt idx="42">
                  <c:v>15979</c:v>
                </c:pt>
                <c:pt idx="43">
                  <c:v>17979</c:v>
                </c:pt>
                <c:pt idx="44">
                  <c:v>18016</c:v>
                </c:pt>
                <c:pt idx="45">
                  <c:v>18024</c:v>
                </c:pt>
                <c:pt idx="46">
                  <c:v>18025</c:v>
                </c:pt>
                <c:pt idx="47">
                  <c:v>18033</c:v>
                </c:pt>
                <c:pt idx="48">
                  <c:v>18039</c:v>
                </c:pt>
                <c:pt idx="49">
                  <c:v>18046</c:v>
                </c:pt>
                <c:pt idx="50">
                  <c:v>18056</c:v>
                </c:pt>
                <c:pt idx="51">
                  <c:v>18063</c:v>
                </c:pt>
                <c:pt idx="52">
                  <c:v>18091</c:v>
                </c:pt>
                <c:pt idx="53">
                  <c:v>18103</c:v>
                </c:pt>
                <c:pt idx="54">
                  <c:v>18634</c:v>
                </c:pt>
                <c:pt idx="55">
                  <c:v>18690</c:v>
                </c:pt>
                <c:pt idx="56">
                  <c:v>23690</c:v>
                </c:pt>
                <c:pt idx="57">
                  <c:v>23803</c:v>
                </c:pt>
                <c:pt idx="58">
                  <c:v>23812</c:v>
                </c:pt>
                <c:pt idx="59">
                  <c:v>23821</c:v>
                </c:pt>
                <c:pt idx="60">
                  <c:v>23822</c:v>
                </c:pt>
                <c:pt idx="61">
                  <c:v>23827</c:v>
                </c:pt>
                <c:pt idx="62">
                  <c:v>24358</c:v>
                </c:pt>
                <c:pt idx="63">
                  <c:v>24387</c:v>
                </c:pt>
                <c:pt idx="64">
                  <c:v>24396</c:v>
                </c:pt>
                <c:pt idx="65">
                  <c:v>24397</c:v>
                </c:pt>
                <c:pt idx="66">
                  <c:v>24407</c:v>
                </c:pt>
                <c:pt idx="67">
                  <c:v>24408</c:v>
                </c:pt>
                <c:pt idx="68">
                  <c:v>24421</c:v>
                </c:pt>
                <c:pt idx="69">
                  <c:v>24429</c:v>
                </c:pt>
                <c:pt idx="70">
                  <c:v>24447</c:v>
                </c:pt>
                <c:pt idx="71">
                  <c:v>24645</c:v>
                </c:pt>
                <c:pt idx="72">
                  <c:v>24654</c:v>
                </c:pt>
                <c:pt idx="73">
                  <c:v>24852</c:v>
                </c:pt>
                <c:pt idx="74">
                  <c:v>24922</c:v>
                </c:pt>
                <c:pt idx="75">
                  <c:v>24971</c:v>
                </c:pt>
                <c:pt idx="76">
                  <c:v>24977</c:v>
                </c:pt>
                <c:pt idx="77">
                  <c:v>25362</c:v>
                </c:pt>
                <c:pt idx="78">
                  <c:v>25747</c:v>
                </c:pt>
                <c:pt idx="79">
                  <c:v>25757</c:v>
                </c:pt>
                <c:pt idx="80">
                  <c:v>25863</c:v>
                </c:pt>
                <c:pt idx="81">
                  <c:v>25869</c:v>
                </c:pt>
                <c:pt idx="82">
                  <c:v>25878</c:v>
                </c:pt>
                <c:pt idx="83">
                  <c:v>25879</c:v>
                </c:pt>
                <c:pt idx="84">
                  <c:v>25900</c:v>
                </c:pt>
                <c:pt idx="85">
                  <c:v>25909</c:v>
                </c:pt>
                <c:pt idx="86">
                  <c:v>25918</c:v>
                </c:pt>
                <c:pt idx="87">
                  <c:v>25977</c:v>
                </c:pt>
                <c:pt idx="88">
                  <c:v>26038</c:v>
                </c:pt>
                <c:pt idx="89">
                  <c:v>26046</c:v>
                </c:pt>
                <c:pt idx="90">
                  <c:v>26055</c:v>
                </c:pt>
                <c:pt idx="91">
                  <c:v>26082</c:v>
                </c:pt>
                <c:pt idx="92">
                  <c:v>28598</c:v>
                </c:pt>
                <c:pt idx="93">
                  <c:v>28606</c:v>
                </c:pt>
                <c:pt idx="94">
                  <c:v>28624</c:v>
                </c:pt>
                <c:pt idx="95">
                  <c:v>29160</c:v>
                </c:pt>
                <c:pt idx="96">
                  <c:v>29168</c:v>
                </c:pt>
                <c:pt idx="97">
                  <c:v>29704</c:v>
                </c:pt>
                <c:pt idx="98">
                  <c:v>29761</c:v>
                </c:pt>
                <c:pt idx="99">
                  <c:v>29767</c:v>
                </c:pt>
                <c:pt idx="100">
                  <c:v>29798</c:v>
                </c:pt>
                <c:pt idx="101">
                  <c:v>31355</c:v>
                </c:pt>
                <c:pt idx="102">
                  <c:v>31363</c:v>
                </c:pt>
                <c:pt idx="103">
                  <c:v>31364</c:v>
                </c:pt>
                <c:pt idx="104">
                  <c:v>31375</c:v>
                </c:pt>
                <c:pt idx="105">
                  <c:v>31376</c:v>
                </c:pt>
                <c:pt idx="106">
                  <c:v>31393</c:v>
                </c:pt>
                <c:pt idx="107">
                  <c:v>31400</c:v>
                </c:pt>
                <c:pt idx="108">
                  <c:v>31412</c:v>
                </c:pt>
                <c:pt idx="109">
                  <c:v>31413</c:v>
                </c:pt>
                <c:pt idx="110">
                  <c:v>31433</c:v>
                </c:pt>
                <c:pt idx="111">
                  <c:v>32263</c:v>
                </c:pt>
                <c:pt idx="112">
                  <c:v>32329</c:v>
                </c:pt>
                <c:pt idx="113">
                  <c:v>32337</c:v>
                </c:pt>
                <c:pt idx="114">
                  <c:v>33167</c:v>
                </c:pt>
                <c:pt idx="115">
                  <c:v>33177</c:v>
                </c:pt>
                <c:pt idx="116">
                  <c:v>33193</c:v>
                </c:pt>
                <c:pt idx="117">
                  <c:v>33206</c:v>
                </c:pt>
                <c:pt idx="118">
                  <c:v>33211</c:v>
                </c:pt>
                <c:pt idx="119">
                  <c:v>33230</c:v>
                </c:pt>
                <c:pt idx="120">
                  <c:v>33244</c:v>
                </c:pt>
                <c:pt idx="121">
                  <c:v>33253</c:v>
                </c:pt>
                <c:pt idx="122">
                  <c:v>35460</c:v>
                </c:pt>
                <c:pt idx="123">
                  <c:v>35468</c:v>
                </c:pt>
                <c:pt idx="124">
                  <c:v>35480</c:v>
                </c:pt>
                <c:pt idx="125">
                  <c:v>35489</c:v>
                </c:pt>
                <c:pt idx="126">
                  <c:v>35504</c:v>
                </c:pt>
                <c:pt idx="127">
                  <c:v>35516</c:v>
                </c:pt>
                <c:pt idx="128">
                  <c:v>35522</c:v>
                </c:pt>
                <c:pt idx="129">
                  <c:v>35593</c:v>
                </c:pt>
                <c:pt idx="130">
                  <c:v>34093</c:v>
                </c:pt>
                <c:pt idx="131">
                  <c:v>34923</c:v>
                </c:pt>
                <c:pt idx="132">
                  <c:v>34940</c:v>
                </c:pt>
                <c:pt idx="133">
                  <c:v>34948</c:v>
                </c:pt>
                <c:pt idx="134">
                  <c:v>35778</c:v>
                </c:pt>
                <c:pt idx="135">
                  <c:v>35788</c:v>
                </c:pt>
                <c:pt idx="136">
                  <c:v>35799</c:v>
                </c:pt>
                <c:pt idx="137">
                  <c:v>35808</c:v>
                </c:pt>
                <c:pt idx="138">
                  <c:v>28808</c:v>
                </c:pt>
                <c:pt idx="139">
                  <c:v>21808</c:v>
                </c:pt>
                <c:pt idx="140">
                  <c:v>14808</c:v>
                </c:pt>
                <c:pt idx="141">
                  <c:v>7808</c:v>
                </c:pt>
                <c:pt idx="142">
                  <c:v>7816</c:v>
                </c:pt>
                <c:pt idx="143">
                  <c:v>7847</c:v>
                </c:pt>
                <c:pt idx="144">
                  <c:v>7855</c:v>
                </c:pt>
                <c:pt idx="145">
                  <c:v>7865</c:v>
                </c:pt>
                <c:pt idx="146">
                  <c:v>7872</c:v>
                </c:pt>
                <c:pt idx="147">
                  <c:v>7927</c:v>
                </c:pt>
                <c:pt idx="148">
                  <c:v>8481</c:v>
                </c:pt>
                <c:pt idx="149">
                  <c:v>9035</c:v>
                </c:pt>
                <c:pt idx="150">
                  <c:v>9208</c:v>
                </c:pt>
                <c:pt idx="151">
                  <c:v>9381</c:v>
                </c:pt>
                <c:pt idx="152">
                  <c:v>9659</c:v>
                </c:pt>
                <c:pt idx="153">
                  <c:v>9937</c:v>
                </c:pt>
                <c:pt idx="154">
                  <c:v>10518</c:v>
                </c:pt>
                <c:pt idx="155">
                  <c:v>10525</c:v>
                </c:pt>
                <c:pt idx="156">
                  <c:v>10611</c:v>
                </c:pt>
                <c:pt idx="157">
                  <c:v>10697</c:v>
                </c:pt>
                <c:pt idx="158">
                  <c:v>10815</c:v>
                </c:pt>
                <c:pt idx="159">
                  <c:v>10940</c:v>
                </c:pt>
                <c:pt idx="160">
                  <c:v>11065</c:v>
                </c:pt>
                <c:pt idx="161">
                  <c:v>11346</c:v>
                </c:pt>
                <c:pt idx="162">
                  <c:v>11562</c:v>
                </c:pt>
                <c:pt idx="163">
                  <c:v>12116</c:v>
                </c:pt>
                <c:pt idx="164">
                  <c:v>12670</c:v>
                </c:pt>
                <c:pt idx="165">
                  <c:v>12830</c:v>
                </c:pt>
                <c:pt idx="166">
                  <c:v>13002</c:v>
                </c:pt>
                <c:pt idx="167">
                  <c:v>13221</c:v>
                </c:pt>
                <c:pt idx="168">
                  <c:v>15617</c:v>
                </c:pt>
                <c:pt idx="169">
                  <c:v>15621</c:v>
                </c:pt>
                <c:pt idx="170">
                  <c:v>15639</c:v>
                </c:pt>
                <c:pt idx="171">
                  <c:v>16292</c:v>
                </c:pt>
                <c:pt idx="172">
                  <c:v>16300</c:v>
                </c:pt>
                <c:pt idx="173">
                  <c:v>16301</c:v>
                </c:pt>
                <c:pt idx="174">
                  <c:v>16309</c:v>
                </c:pt>
                <c:pt idx="175">
                  <c:v>17018</c:v>
                </c:pt>
                <c:pt idx="176">
                  <c:v>17019</c:v>
                </c:pt>
                <c:pt idx="177">
                  <c:v>17026</c:v>
                </c:pt>
                <c:pt idx="178">
                  <c:v>17160</c:v>
                </c:pt>
                <c:pt idx="179">
                  <c:v>17303</c:v>
                </c:pt>
                <c:pt idx="180">
                  <c:v>17446</c:v>
                </c:pt>
                <c:pt idx="181">
                  <c:v>17783</c:v>
                </c:pt>
                <c:pt idx="182">
                  <c:v>18039</c:v>
                </c:pt>
                <c:pt idx="183">
                  <c:v>18714</c:v>
                </c:pt>
                <c:pt idx="184">
                  <c:v>19908</c:v>
                </c:pt>
                <c:pt idx="185">
                  <c:v>19909</c:v>
                </c:pt>
                <c:pt idx="186">
                  <c:v>19931</c:v>
                </c:pt>
                <c:pt idx="187">
                  <c:v>19940</c:v>
                </c:pt>
                <c:pt idx="188">
                  <c:v>19950</c:v>
                </c:pt>
                <c:pt idx="189">
                  <c:v>19957</c:v>
                </c:pt>
                <c:pt idx="190">
                  <c:v>21286</c:v>
                </c:pt>
                <c:pt idx="191">
                  <c:v>21294</c:v>
                </c:pt>
                <c:pt idx="192">
                  <c:v>28546</c:v>
                </c:pt>
                <c:pt idx="193">
                  <c:v>28553</c:v>
                </c:pt>
                <c:pt idx="194">
                  <c:v>28610</c:v>
                </c:pt>
                <c:pt idx="195">
                  <c:v>28633</c:v>
                </c:pt>
                <c:pt idx="196">
                  <c:v>29982</c:v>
                </c:pt>
                <c:pt idx="197">
                  <c:v>29982</c:v>
                </c:pt>
                <c:pt idx="198">
                  <c:v>29982</c:v>
                </c:pt>
                <c:pt idx="199">
                  <c:v>29993</c:v>
                </c:pt>
                <c:pt idx="200">
                  <c:v>30004</c:v>
                </c:pt>
                <c:pt idx="201">
                  <c:v>30011</c:v>
                </c:pt>
                <c:pt idx="202">
                  <c:v>30017</c:v>
                </c:pt>
                <c:pt idx="203">
                  <c:v>30025</c:v>
                </c:pt>
                <c:pt idx="204">
                  <c:v>30042</c:v>
                </c:pt>
                <c:pt idx="205">
                  <c:v>31102</c:v>
                </c:pt>
                <c:pt idx="206">
                  <c:v>31783</c:v>
                </c:pt>
                <c:pt idx="207">
                  <c:v>31800</c:v>
                </c:pt>
                <c:pt idx="208">
                  <c:v>31807</c:v>
                </c:pt>
                <c:pt idx="209">
                  <c:v>32126</c:v>
                </c:pt>
                <c:pt idx="210">
                  <c:v>32129</c:v>
                </c:pt>
                <c:pt idx="211">
                  <c:v>33458</c:v>
                </c:pt>
                <c:pt idx="212">
                  <c:v>33518</c:v>
                </c:pt>
                <c:pt idx="213">
                  <c:v>33526</c:v>
                </c:pt>
                <c:pt idx="214">
                  <c:v>33545</c:v>
                </c:pt>
                <c:pt idx="215">
                  <c:v>33554</c:v>
                </c:pt>
                <c:pt idx="216">
                  <c:v>33564</c:v>
                </c:pt>
                <c:pt idx="217">
                  <c:v>33573</c:v>
                </c:pt>
                <c:pt idx="218">
                  <c:v>33582</c:v>
                </c:pt>
                <c:pt idx="219">
                  <c:v>33593</c:v>
                </c:pt>
                <c:pt idx="220">
                  <c:v>33620</c:v>
                </c:pt>
                <c:pt idx="221">
                  <c:v>33641</c:v>
                </c:pt>
                <c:pt idx="222">
                  <c:v>33663</c:v>
                </c:pt>
                <c:pt idx="223">
                  <c:v>33673</c:v>
                </c:pt>
                <c:pt idx="224">
                  <c:v>33683</c:v>
                </c:pt>
                <c:pt idx="225">
                  <c:v>33692</c:v>
                </c:pt>
                <c:pt idx="226">
                  <c:v>33694</c:v>
                </c:pt>
                <c:pt idx="227">
                  <c:v>33701</c:v>
                </c:pt>
                <c:pt idx="228">
                  <c:v>33710</c:v>
                </c:pt>
                <c:pt idx="229">
                  <c:v>33711</c:v>
                </c:pt>
                <c:pt idx="230">
                  <c:v>33733</c:v>
                </c:pt>
                <c:pt idx="231">
                  <c:v>41190</c:v>
                </c:pt>
                <c:pt idx="232">
                  <c:v>41199</c:v>
                </c:pt>
                <c:pt idx="233">
                  <c:v>41207</c:v>
                </c:pt>
                <c:pt idx="234">
                  <c:v>41224</c:v>
                </c:pt>
                <c:pt idx="235">
                  <c:v>41239</c:v>
                </c:pt>
                <c:pt idx="236">
                  <c:v>41246</c:v>
                </c:pt>
                <c:pt idx="237">
                  <c:v>41253</c:v>
                </c:pt>
                <c:pt idx="238">
                  <c:v>41285</c:v>
                </c:pt>
                <c:pt idx="239">
                  <c:v>41833</c:v>
                </c:pt>
                <c:pt idx="240">
                  <c:v>41842</c:v>
                </c:pt>
                <c:pt idx="241">
                  <c:v>41842</c:v>
                </c:pt>
                <c:pt idx="242">
                  <c:v>41842</c:v>
                </c:pt>
                <c:pt idx="243">
                  <c:v>41852</c:v>
                </c:pt>
                <c:pt idx="244">
                  <c:v>42835</c:v>
                </c:pt>
                <c:pt idx="245">
                  <c:v>43014</c:v>
                </c:pt>
                <c:pt idx="246">
                  <c:v>43079</c:v>
                </c:pt>
                <c:pt idx="247">
                  <c:v>44064</c:v>
                </c:pt>
                <c:pt idx="248">
                  <c:v>44081</c:v>
                </c:pt>
                <c:pt idx="249">
                  <c:v>44104</c:v>
                </c:pt>
                <c:pt idx="250">
                  <c:v>45025</c:v>
                </c:pt>
                <c:pt idx="251">
                  <c:v>45034</c:v>
                </c:pt>
                <c:pt idx="252">
                  <c:v>46363</c:v>
                </c:pt>
                <c:pt idx="253">
                  <c:v>46372</c:v>
                </c:pt>
                <c:pt idx="254">
                  <c:v>46898</c:v>
                </c:pt>
                <c:pt idx="255">
                  <c:v>46909</c:v>
                </c:pt>
                <c:pt idx="256">
                  <c:v>47435</c:v>
                </c:pt>
                <c:pt idx="257">
                  <c:v>47442</c:v>
                </c:pt>
                <c:pt idx="258">
                  <c:v>47484</c:v>
                </c:pt>
                <c:pt idx="259">
                  <c:v>47493</c:v>
                </c:pt>
                <c:pt idx="260">
                  <c:v>47530</c:v>
                </c:pt>
                <c:pt idx="261">
                  <c:v>48451</c:v>
                </c:pt>
                <c:pt idx="262">
                  <c:v>48467</c:v>
                </c:pt>
                <c:pt idx="263">
                  <c:v>49388</c:v>
                </c:pt>
                <c:pt idx="264">
                  <c:v>49395</c:v>
                </c:pt>
                <c:pt idx="265">
                  <c:v>49436</c:v>
                </c:pt>
                <c:pt idx="266">
                  <c:v>49477</c:v>
                </c:pt>
                <c:pt idx="267">
                  <c:v>49617</c:v>
                </c:pt>
                <c:pt idx="268">
                  <c:v>49679</c:v>
                </c:pt>
                <c:pt idx="269">
                  <c:v>49753</c:v>
                </c:pt>
                <c:pt idx="270">
                  <c:v>50007</c:v>
                </c:pt>
                <c:pt idx="271">
                  <c:v>50189</c:v>
                </c:pt>
                <c:pt idx="272">
                  <c:v>51198</c:v>
                </c:pt>
                <c:pt idx="273">
                  <c:v>52207</c:v>
                </c:pt>
                <c:pt idx="274">
                  <c:v>52217</c:v>
                </c:pt>
                <c:pt idx="275">
                  <c:v>52327</c:v>
                </c:pt>
                <c:pt idx="276">
                  <c:v>52340</c:v>
                </c:pt>
                <c:pt idx="277">
                  <c:v>52350</c:v>
                </c:pt>
                <c:pt idx="278">
                  <c:v>52412</c:v>
                </c:pt>
                <c:pt idx="279">
                  <c:v>52421</c:v>
                </c:pt>
                <c:pt idx="280">
                  <c:v>52432</c:v>
                </c:pt>
                <c:pt idx="281">
                  <c:v>55525</c:v>
                </c:pt>
                <c:pt idx="282">
                  <c:v>55552</c:v>
                </c:pt>
                <c:pt idx="283">
                  <c:v>55553</c:v>
                </c:pt>
                <c:pt idx="284">
                  <c:v>55570</c:v>
                </c:pt>
                <c:pt idx="285">
                  <c:v>55579</c:v>
                </c:pt>
                <c:pt idx="286">
                  <c:v>55580</c:v>
                </c:pt>
                <c:pt idx="287">
                  <c:v>55588</c:v>
                </c:pt>
                <c:pt idx="288">
                  <c:v>55589</c:v>
                </c:pt>
                <c:pt idx="289">
                  <c:v>55598</c:v>
                </c:pt>
                <c:pt idx="290">
                  <c:v>55599</c:v>
                </c:pt>
                <c:pt idx="291">
                  <c:v>55620</c:v>
                </c:pt>
                <c:pt idx="292">
                  <c:v>55630</c:v>
                </c:pt>
                <c:pt idx="293">
                  <c:v>55630</c:v>
                </c:pt>
                <c:pt idx="294">
                  <c:v>55637</c:v>
                </c:pt>
                <c:pt idx="295">
                  <c:v>55646</c:v>
                </c:pt>
                <c:pt idx="296">
                  <c:v>57209</c:v>
                </c:pt>
                <c:pt idx="297">
                  <c:v>58209</c:v>
                </c:pt>
                <c:pt idx="298">
                  <c:v>58218</c:v>
                </c:pt>
                <c:pt idx="299">
                  <c:v>58229</c:v>
                </c:pt>
                <c:pt idx="300">
                  <c:v>58239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3-4AA9-9B4B-25778851B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066439"/>
        <c:axId val="1791331335"/>
      </c:lineChart>
      <c:catAx>
        <c:axId val="1746066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31335"/>
        <c:crosses val="autoZero"/>
        <c:auto val="1"/>
        <c:lblAlgn val="ctr"/>
        <c:lblOffset val="100"/>
        <c:noMultiLvlLbl val="1"/>
      </c:catAx>
      <c:valAx>
        <c:axId val="1791331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6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マイル管理!#REF!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マイル管理!$A$21:$A$302</c:f>
              <c:numCache>
                <c:formatCode>m/d/yyyy</c:formatCode>
                <c:ptCount val="282"/>
                <c:pt idx="0">
                  <c:v>45680</c:v>
                </c:pt>
                <c:pt idx="1">
                  <c:v>45682</c:v>
                </c:pt>
                <c:pt idx="2">
                  <c:v>45727</c:v>
                </c:pt>
                <c:pt idx="3">
                  <c:v>45727</c:v>
                </c:pt>
                <c:pt idx="4">
                  <c:v>45784</c:v>
                </c:pt>
                <c:pt idx="5">
                  <c:v>45787</c:v>
                </c:pt>
                <c:pt idx="6">
                  <c:v>45834</c:v>
                </c:pt>
                <c:pt idx="7">
                  <c:v>45836</c:v>
                </c:pt>
                <c:pt idx="8">
                  <c:v>45840</c:v>
                </c:pt>
                <c:pt idx="9">
                  <c:v>45841</c:v>
                </c:pt>
                <c:pt idx="10">
                  <c:v>45841</c:v>
                </c:pt>
                <c:pt idx="11">
                  <c:v>45842</c:v>
                </c:pt>
                <c:pt idx="12">
                  <c:v>45843</c:v>
                </c:pt>
                <c:pt idx="13">
                  <c:v>45844</c:v>
                </c:pt>
                <c:pt idx="14">
                  <c:v>45845</c:v>
                </c:pt>
                <c:pt idx="15">
                  <c:v>45846</c:v>
                </c:pt>
                <c:pt idx="16">
                  <c:v>45846</c:v>
                </c:pt>
                <c:pt idx="17">
                  <c:v>45847</c:v>
                </c:pt>
                <c:pt idx="18">
                  <c:v>45848</c:v>
                </c:pt>
                <c:pt idx="19">
                  <c:v>45848</c:v>
                </c:pt>
                <c:pt idx="20">
                  <c:v>45849</c:v>
                </c:pt>
                <c:pt idx="21">
                  <c:v>45849</c:v>
                </c:pt>
                <c:pt idx="22">
                  <c:v>45850</c:v>
                </c:pt>
                <c:pt idx="23">
                  <c:v>45850</c:v>
                </c:pt>
                <c:pt idx="24">
                  <c:v>45851</c:v>
                </c:pt>
                <c:pt idx="25">
                  <c:v>45851</c:v>
                </c:pt>
                <c:pt idx="26">
                  <c:v>45852</c:v>
                </c:pt>
                <c:pt idx="27">
                  <c:v>45853</c:v>
                </c:pt>
                <c:pt idx="28">
                  <c:v>45853</c:v>
                </c:pt>
                <c:pt idx="29">
                  <c:v>45854</c:v>
                </c:pt>
                <c:pt idx="30">
                  <c:v>45855</c:v>
                </c:pt>
                <c:pt idx="31">
                  <c:v>45856</c:v>
                </c:pt>
                <c:pt idx="32">
                  <c:v>45857</c:v>
                </c:pt>
                <c:pt idx="33">
                  <c:v>45858</c:v>
                </c:pt>
                <c:pt idx="34">
                  <c:v>45859</c:v>
                </c:pt>
                <c:pt idx="35">
                  <c:v>45860</c:v>
                </c:pt>
                <c:pt idx="36">
                  <c:v>45860</c:v>
                </c:pt>
                <c:pt idx="37">
                  <c:v>45860</c:v>
                </c:pt>
                <c:pt idx="38">
                  <c:v>45861</c:v>
                </c:pt>
                <c:pt idx="39">
                  <c:v>45862</c:v>
                </c:pt>
                <c:pt idx="40">
                  <c:v>45863</c:v>
                </c:pt>
                <c:pt idx="41">
                  <c:v>45864</c:v>
                </c:pt>
                <c:pt idx="42">
                  <c:v>45864</c:v>
                </c:pt>
                <c:pt idx="43">
                  <c:v>45865</c:v>
                </c:pt>
                <c:pt idx="44">
                  <c:v>45865</c:v>
                </c:pt>
                <c:pt idx="45">
                  <c:v>45866</c:v>
                </c:pt>
                <c:pt idx="46">
                  <c:v>45867</c:v>
                </c:pt>
                <c:pt idx="47">
                  <c:v>45867</c:v>
                </c:pt>
                <c:pt idx="48">
                  <c:v>45868</c:v>
                </c:pt>
                <c:pt idx="49">
                  <c:v>45868</c:v>
                </c:pt>
                <c:pt idx="50">
                  <c:v>45869</c:v>
                </c:pt>
                <c:pt idx="51">
                  <c:v>45870</c:v>
                </c:pt>
                <c:pt idx="52">
                  <c:v>45871</c:v>
                </c:pt>
                <c:pt idx="53">
                  <c:v>45871</c:v>
                </c:pt>
                <c:pt idx="54">
                  <c:v>45872</c:v>
                </c:pt>
                <c:pt idx="55">
                  <c:v>45872</c:v>
                </c:pt>
                <c:pt idx="56">
                  <c:v>45873</c:v>
                </c:pt>
                <c:pt idx="57">
                  <c:v>45874</c:v>
                </c:pt>
                <c:pt idx="58">
                  <c:v>45875</c:v>
                </c:pt>
                <c:pt idx="59">
                  <c:v>45875</c:v>
                </c:pt>
                <c:pt idx="60">
                  <c:v>45875</c:v>
                </c:pt>
                <c:pt idx="61">
                  <c:v>45876</c:v>
                </c:pt>
                <c:pt idx="62">
                  <c:v>45877</c:v>
                </c:pt>
                <c:pt idx="63">
                  <c:v>45878</c:v>
                </c:pt>
                <c:pt idx="64">
                  <c:v>45879</c:v>
                </c:pt>
                <c:pt idx="65">
                  <c:v>45879</c:v>
                </c:pt>
                <c:pt idx="66">
                  <c:v>45880</c:v>
                </c:pt>
                <c:pt idx="67">
                  <c:v>45881</c:v>
                </c:pt>
                <c:pt idx="68">
                  <c:v>45882</c:v>
                </c:pt>
                <c:pt idx="69">
                  <c:v>45883</c:v>
                </c:pt>
                <c:pt idx="70">
                  <c:v>45884</c:v>
                </c:pt>
                <c:pt idx="71">
                  <c:v>45885</c:v>
                </c:pt>
                <c:pt idx="72">
                  <c:v>45886</c:v>
                </c:pt>
                <c:pt idx="73">
                  <c:v>45887</c:v>
                </c:pt>
                <c:pt idx="74">
                  <c:v>45888</c:v>
                </c:pt>
                <c:pt idx="75">
                  <c:v>45889</c:v>
                </c:pt>
                <c:pt idx="76">
                  <c:v>45890</c:v>
                </c:pt>
                <c:pt idx="77">
                  <c:v>45890</c:v>
                </c:pt>
                <c:pt idx="78">
                  <c:v>45891</c:v>
                </c:pt>
                <c:pt idx="79">
                  <c:v>45891</c:v>
                </c:pt>
                <c:pt idx="80">
                  <c:v>45892</c:v>
                </c:pt>
                <c:pt idx="81">
                  <c:v>45893</c:v>
                </c:pt>
                <c:pt idx="82">
                  <c:v>45894</c:v>
                </c:pt>
                <c:pt idx="83">
                  <c:v>45895</c:v>
                </c:pt>
                <c:pt idx="84">
                  <c:v>45896</c:v>
                </c:pt>
                <c:pt idx="85">
                  <c:v>45896</c:v>
                </c:pt>
                <c:pt idx="86">
                  <c:v>45897</c:v>
                </c:pt>
                <c:pt idx="87">
                  <c:v>45897</c:v>
                </c:pt>
                <c:pt idx="88">
                  <c:v>45898</c:v>
                </c:pt>
                <c:pt idx="89">
                  <c:v>45899</c:v>
                </c:pt>
                <c:pt idx="90">
                  <c:v>45900</c:v>
                </c:pt>
                <c:pt idx="91">
                  <c:v>45900</c:v>
                </c:pt>
                <c:pt idx="92">
                  <c:v>45901</c:v>
                </c:pt>
                <c:pt idx="93">
                  <c:v>45901</c:v>
                </c:pt>
                <c:pt idx="94">
                  <c:v>45902</c:v>
                </c:pt>
                <c:pt idx="95">
                  <c:v>45903</c:v>
                </c:pt>
                <c:pt idx="96">
                  <c:v>45903</c:v>
                </c:pt>
                <c:pt idx="97">
                  <c:v>45904</c:v>
                </c:pt>
                <c:pt idx="98">
                  <c:v>45905</c:v>
                </c:pt>
                <c:pt idx="99">
                  <c:v>45906</c:v>
                </c:pt>
                <c:pt idx="100">
                  <c:v>45907</c:v>
                </c:pt>
                <c:pt idx="101">
                  <c:v>45908</c:v>
                </c:pt>
                <c:pt idx="102">
                  <c:v>45909</c:v>
                </c:pt>
                <c:pt idx="103">
                  <c:v>45910</c:v>
                </c:pt>
                <c:pt idx="104">
                  <c:v>45910</c:v>
                </c:pt>
                <c:pt idx="105">
                  <c:v>45911</c:v>
                </c:pt>
                <c:pt idx="106">
                  <c:v>45911</c:v>
                </c:pt>
                <c:pt idx="107">
                  <c:v>45912</c:v>
                </c:pt>
                <c:pt idx="108">
                  <c:v>45913</c:v>
                </c:pt>
                <c:pt idx="109">
                  <c:v>45914</c:v>
                </c:pt>
                <c:pt idx="110">
                  <c:v>45914</c:v>
                </c:pt>
                <c:pt idx="111">
                  <c:v>45914</c:v>
                </c:pt>
                <c:pt idx="112">
                  <c:v>45915</c:v>
                </c:pt>
                <c:pt idx="113">
                  <c:v>45915</c:v>
                </c:pt>
                <c:pt idx="114">
                  <c:v>45916</c:v>
                </c:pt>
                <c:pt idx="115">
                  <c:v>45917</c:v>
                </c:pt>
                <c:pt idx="116">
                  <c:v>45917</c:v>
                </c:pt>
                <c:pt idx="117">
                  <c:v>45918</c:v>
                </c:pt>
                <c:pt idx="118">
                  <c:v>45919</c:v>
                </c:pt>
                <c:pt idx="119">
                  <c:v>45919</c:v>
                </c:pt>
                <c:pt idx="120">
                  <c:v>45919</c:v>
                </c:pt>
                <c:pt idx="121">
                  <c:v>45919</c:v>
                </c:pt>
                <c:pt idx="122">
                  <c:v>45919</c:v>
                </c:pt>
                <c:pt idx="123">
                  <c:v>45920</c:v>
                </c:pt>
                <c:pt idx="124">
                  <c:v>45921</c:v>
                </c:pt>
                <c:pt idx="125">
                  <c:v>45922</c:v>
                </c:pt>
                <c:pt idx="126">
                  <c:v>45923</c:v>
                </c:pt>
                <c:pt idx="127">
                  <c:v>45924</c:v>
                </c:pt>
                <c:pt idx="128">
                  <c:v>45925</c:v>
                </c:pt>
                <c:pt idx="129">
                  <c:v>45926</c:v>
                </c:pt>
                <c:pt idx="130">
                  <c:v>45926</c:v>
                </c:pt>
                <c:pt idx="131">
                  <c:v>45926</c:v>
                </c:pt>
                <c:pt idx="132">
                  <c:v>45926</c:v>
                </c:pt>
                <c:pt idx="133">
                  <c:v>45926</c:v>
                </c:pt>
                <c:pt idx="134">
                  <c:v>45926</c:v>
                </c:pt>
                <c:pt idx="135">
                  <c:v>45926</c:v>
                </c:pt>
                <c:pt idx="136">
                  <c:v>45926</c:v>
                </c:pt>
                <c:pt idx="137">
                  <c:v>45927</c:v>
                </c:pt>
                <c:pt idx="138">
                  <c:v>45927</c:v>
                </c:pt>
                <c:pt idx="139">
                  <c:v>45927</c:v>
                </c:pt>
                <c:pt idx="140">
                  <c:v>45927</c:v>
                </c:pt>
                <c:pt idx="141">
                  <c:v>45927</c:v>
                </c:pt>
                <c:pt idx="142">
                  <c:v>45927</c:v>
                </c:pt>
                <c:pt idx="143">
                  <c:v>45927</c:v>
                </c:pt>
                <c:pt idx="144">
                  <c:v>45927</c:v>
                </c:pt>
                <c:pt idx="145">
                  <c:v>45927</c:v>
                </c:pt>
                <c:pt idx="146">
                  <c:v>45927</c:v>
                </c:pt>
                <c:pt idx="147">
                  <c:v>45928</c:v>
                </c:pt>
                <c:pt idx="148">
                  <c:v>45929</c:v>
                </c:pt>
                <c:pt idx="149">
                  <c:v>45930</c:v>
                </c:pt>
                <c:pt idx="150">
                  <c:v>45930</c:v>
                </c:pt>
                <c:pt idx="151">
                  <c:v>45931</c:v>
                </c:pt>
                <c:pt idx="152">
                  <c:v>45932</c:v>
                </c:pt>
                <c:pt idx="153">
                  <c:v>45932</c:v>
                </c:pt>
                <c:pt idx="154">
                  <c:v>45933</c:v>
                </c:pt>
                <c:pt idx="155">
                  <c:v>45933</c:v>
                </c:pt>
                <c:pt idx="156">
                  <c:v>45934</c:v>
                </c:pt>
                <c:pt idx="157">
                  <c:v>45934</c:v>
                </c:pt>
                <c:pt idx="158">
                  <c:v>45934</c:v>
                </c:pt>
                <c:pt idx="159">
                  <c:v>45935</c:v>
                </c:pt>
                <c:pt idx="160">
                  <c:v>45935</c:v>
                </c:pt>
                <c:pt idx="161">
                  <c:v>45935</c:v>
                </c:pt>
                <c:pt idx="162">
                  <c:v>45935</c:v>
                </c:pt>
                <c:pt idx="163">
                  <c:v>45935</c:v>
                </c:pt>
                <c:pt idx="164">
                  <c:v>45935</c:v>
                </c:pt>
                <c:pt idx="165">
                  <c:v>45935</c:v>
                </c:pt>
                <c:pt idx="166">
                  <c:v>45935</c:v>
                </c:pt>
                <c:pt idx="167">
                  <c:v>45935</c:v>
                </c:pt>
                <c:pt idx="168">
                  <c:v>45936</c:v>
                </c:pt>
                <c:pt idx="169">
                  <c:v>45937</c:v>
                </c:pt>
                <c:pt idx="170">
                  <c:v>45938</c:v>
                </c:pt>
                <c:pt idx="171">
                  <c:v>45939</c:v>
                </c:pt>
                <c:pt idx="172">
                  <c:v>45939</c:v>
                </c:pt>
                <c:pt idx="173">
                  <c:v>45940</c:v>
                </c:pt>
                <c:pt idx="174">
                  <c:v>45940</c:v>
                </c:pt>
                <c:pt idx="175">
                  <c:v>45941</c:v>
                </c:pt>
                <c:pt idx="176">
                  <c:v>45942</c:v>
                </c:pt>
                <c:pt idx="177">
                  <c:v>45943</c:v>
                </c:pt>
                <c:pt idx="178">
                  <c:v>45944</c:v>
                </c:pt>
                <c:pt idx="179">
                  <c:v>45944</c:v>
                </c:pt>
                <c:pt idx="180">
                  <c:v>45944</c:v>
                </c:pt>
                <c:pt idx="181">
                  <c:v>45945</c:v>
                </c:pt>
                <c:pt idx="182">
                  <c:v>45946</c:v>
                </c:pt>
                <c:pt idx="183">
                  <c:v>45947</c:v>
                </c:pt>
                <c:pt idx="184">
                  <c:v>45948</c:v>
                </c:pt>
                <c:pt idx="185">
                  <c:v>45949</c:v>
                </c:pt>
                <c:pt idx="186">
                  <c:v>45950</c:v>
                </c:pt>
                <c:pt idx="187">
                  <c:v>45951</c:v>
                </c:pt>
                <c:pt idx="188">
                  <c:v>45951</c:v>
                </c:pt>
                <c:pt idx="189">
                  <c:v>45952</c:v>
                </c:pt>
                <c:pt idx="190">
                  <c:v>45953</c:v>
                </c:pt>
                <c:pt idx="191">
                  <c:v>45953</c:v>
                </c:pt>
                <c:pt idx="192">
                  <c:v>45954</c:v>
                </c:pt>
                <c:pt idx="193">
                  <c:v>45954</c:v>
                </c:pt>
                <c:pt idx="194">
                  <c:v>45955</c:v>
                </c:pt>
                <c:pt idx="195">
                  <c:v>45956</c:v>
                </c:pt>
                <c:pt idx="196">
                  <c:v>45957</c:v>
                </c:pt>
                <c:pt idx="197">
                  <c:v>45958</c:v>
                </c:pt>
                <c:pt idx="198">
                  <c:v>45959</c:v>
                </c:pt>
                <c:pt idx="199">
                  <c:v>45960</c:v>
                </c:pt>
                <c:pt idx="200">
                  <c:v>45961</c:v>
                </c:pt>
                <c:pt idx="201">
                  <c:v>45962</c:v>
                </c:pt>
                <c:pt idx="202">
                  <c:v>45963</c:v>
                </c:pt>
                <c:pt idx="203">
                  <c:v>45964</c:v>
                </c:pt>
                <c:pt idx="204">
                  <c:v>45965</c:v>
                </c:pt>
                <c:pt idx="205">
                  <c:v>45966</c:v>
                </c:pt>
                <c:pt idx="206">
                  <c:v>45967</c:v>
                </c:pt>
                <c:pt idx="207">
                  <c:v>45968</c:v>
                </c:pt>
                <c:pt idx="208">
                  <c:v>45968</c:v>
                </c:pt>
                <c:pt idx="209">
                  <c:v>45969</c:v>
                </c:pt>
                <c:pt idx="210">
                  <c:v>45970</c:v>
                </c:pt>
                <c:pt idx="211">
                  <c:v>45970</c:v>
                </c:pt>
                <c:pt idx="212">
                  <c:v>45971</c:v>
                </c:pt>
                <c:pt idx="213">
                  <c:v>45971</c:v>
                </c:pt>
                <c:pt idx="214">
                  <c:v>45972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45976</c:v>
                </c:pt>
                <c:pt idx="219">
                  <c:v>45977</c:v>
                </c:pt>
                <c:pt idx="220">
                  <c:v>45978</c:v>
                </c:pt>
                <c:pt idx="221">
                  <c:v>45979</c:v>
                </c:pt>
                <c:pt idx="222">
                  <c:v>45980</c:v>
                </c:pt>
                <c:pt idx="223">
                  <c:v>45980</c:v>
                </c:pt>
                <c:pt idx="224">
                  <c:v>45980</c:v>
                </c:pt>
                <c:pt idx="225">
                  <c:v>45981</c:v>
                </c:pt>
                <c:pt idx="226">
                  <c:v>45981</c:v>
                </c:pt>
                <c:pt idx="227">
                  <c:v>45982</c:v>
                </c:pt>
                <c:pt idx="228">
                  <c:v>45983</c:v>
                </c:pt>
                <c:pt idx="229">
                  <c:v>45983</c:v>
                </c:pt>
                <c:pt idx="230">
                  <c:v>45984</c:v>
                </c:pt>
                <c:pt idx="231">
                  <c:v>45985</c:v>
                </c:pt>
                <c:pt idx="232">
                  <c:v>45985</c:v>
                </c:pt>
                <c:pt idx="233">
                  <c:v>45986</c:v>
                </c:pt>
                <c:pt idx="234">
                  <c:v>45986</c:v>
                </c:pt>
                <c:pt idx="235">
                  <c:v>45987</c:v>
                </c:pt>
                <c:pt idx="236">
                  <c:v>45987</c:v>
                </c:pt>
                <c:pt idx="237">
                  <c:v>45988</c:v>
                </c:pt>
                <c:pt idx="238">
                  <c:v>45988</c:v>
                </c:pt>
                <c:pt idx="239">
                  <c:v>45989</c:v>
                </c:pt>
                <c:pt idx="240">
                  <c:v>45990</c:v>
                </c:pt>
                <c:pt idx="241">
                  <c:v>45991</c:v>
                </c:pt>
                <c:pt idx="242">
                  <c:v>45992</c:v>
                </c:pt>
                <c:pt idx="243">
                  <c:v>45992</c:v>
                </c:pt>
                <c:pt idx="244">
                  <c:v>45993</c:v>
                </c:pt>
                <c:pt idx="245">
                  <c:v>45993</c:v>
                </c:pt>
                <c:pt idx="246">
                  <c:v>45994</c:v>
                </c:pt>
                <c:pt idx="247">
                  <c:v>45994</c:v>
                </c:pt>
                <c:pt idx="248">
                  <c:v>45994</c:v>
                </c:pt>
                <c:pt idx="249">
                  <c:v>45994</c:v>
                </c:pt>
                <c:pt idx="250">
                  <c:v>45994</c:v>
                </c:pt>
                <c:pt idx="251">
                  <c:v>45994</c:v>
                </c:pt>
                <c:pt idx="252">
                  <c:v>45994</c:v>
                </c:pt>
                <c:pt idx="253">
                  <c:v>45994</c:v>
                </c:pt>
                <c:pt idx="254">
                  <c:v>45994</c:v>
                </c:pt>
                <c:pt idx="255">
                  <c:v>45994</c:v>
                </c:pt>
                <c:pt idx="256">
                  <c:v>45995</c:v>
                </c:pt>
                <c:pt idx="257">
                  <c:v>45996</c:v>
                </c:pt>
                <c:pt idx="258">
                  <c:v>45997</c:v>
                </c:pt>
                <c:pt idx="259">
                  <c:v>45998</c:v>
                </c:pt>
                <c:pt idx="260">
                  <c:v>45999</c:v>
                </c:pt>
                <c:pt idx="261">
                  <c:v>46000</c:v>
                </c:pt>
                <c:pt idx="262">
                  <c:v>46001</c:v>
                </c:pt>
                <c:pt idx="263">
                  <c:v>46001</c:v>
                </c:pt>
                <c:pt idx="264">
                  <c:v>46001</c:v>
                </c:pt>
                <c:pt idx="265">
                  <c:v>46001</c:v>
                </c:pt>
                <c:pt idx="266">
                  <c:v>46002</c:v>
                </c:pt>
                <c:pt idx="267">
                  <c:v>46003</c:v>
                </c:pt>
                <c:pt idx="268">
                  <c:v>46003</c:v>
                </c:pt>
                <c:pt idx="269">
                  <c:v>46004</c:v>
                </c:pt>
                <c:pt idx="270">
                  <c:v>46004</c:v>
                </c:pt>
                <c:pt idx="271">
                  <c:v>46005</c:v>
                </c:pt>
                <c:pt idx="272">
                  <c:v>46005</c:v>
                </c:pt>
                <c:pt idx="273">
                  <c:v>46006</c:v>
                </c:pt>
                <c:pt idx="274">
                  <c:v>46007</c:v>
                </c:pt>
                <c:pt idx="275">
                  <c:v>46007</c:v>
                </c:pt>
                <c:pt idx="276">
                  <c:v>46008</c:v>
                </c:pt>
                <c:pt idx="277">
                  <c:v>46009</c:v>
                </c:pt>
                <c:pt idx="278">
                  <c:v>46009</c:v>
                </c:pt>
                <c:pt idx="279">
                  <c:v>46009</c:v>
                </c:pt>
                <c:pt idx="280">
                  <c:v>46010</c:v>
                </c:pt>
                <c:pt idx="281">
                  <c:v>46011</c:v>
                </c:pt>
              </c:numCache>
            </c:numRef>
          </c:cat>
          <c:val>
            <c:numRef>
              <c:f>マイル管理!$L$21:$L$302</c:f>
              <c:numCache>
                <c:formatCode>General</c:formatCode>
                <c:ptCount val="282"/>
                <c:pt idx="0">
                  <c:v>1648</c:v>
                </c:pt>
                <c:pt idx="1">
                  <c:v>3296</c:v>
                </c:pt>
                <c:pt idx="2">
                  <c:v>4944</c:v>
                </c:pt>
                <c:pt idx="3">
                  <c:v>6592</c:v>
                </c:pt>
                <c:pt idx="4">
                  <c:v>8240</c:v>
                </c:pt>
                <c:pt idx="5">
                  <c:v>9888</c:v>
                </c:pt>
                <c:pt idx="6">
                  <c:v>11536</c:v>
                </c:pt>
                <c:pt idx="7">
                  <c:v>13184</c:v>
                </c:pt>
                <c:pt idx="8">
                  <c:v>13184</c:v>
                </c:pt>
                <c:pt idx="9">
                  <c:v>13184</c:v>
                </c:pt>
                <c:pt idx="10">
                  <c:v>13184</c:v>
                </c:pt>
                <c:pt idx="11">
                  <c:v>13184</c:v>
                </c:pt>
                <c:pt idx="12">
                  <c:v>13184</c:v>
                </c:pt>
                <c:pt idx="13">
                  <c:v>13184</c:v>
                </c:pt>
                <c:pt idx="14">
                  <c:v>13184</c:v>
                </c:pt>
                <c:pt idx="15">
                  <c:v>13184</c:v>
                </c:pt>
                <c:pt idx="16">
                  <c:v>13184</c:v>
                </c:pt>
                <c:pt idx="17">
                  <c:v>13184</c:v>
                </c:pt>
                <c:pt idx="18">
                  <c:v>13184</c:v>
                </c:pt>
                <c:pt idx="19">
                  <c:v>13184</c:v>
                </c:pt>
                <c:pt idx="20">
                  <c:v>13184</c:v>
                </c:pt>
                <c:pt idx="21">
                  <c:v>13184</c:v>
                </c:pt>
                <c:pt idx="22">
                  <c:v>13184</c:v>
                </c:pt>
                <c:pt idx="23">
                  <c:v>13184</c:v>
                </c:pt>
                <c:pt idx="24">
                  <c:v>13184</c:v>
                </c:pt>
                <c:pt idx="25">
                  <c:v>13184</c:v>
                </c:pt>
                <c:pt idx="26">
                  <c:v>13184</c:v>
                </c:pt>
                <c:pt idx="27">
                  <c:v>13184</c:v>
                </c:pt>
                <c:pt idx="28">
                  <c:v>13184</c:v>
                </c:pt>
                <c:pt idx="29">
                  <c:v>13184</c:v>
                </c:pt>
                <c:pt idx="30">
                  <c:v>13184</c:v>
                </c:pt>
                <c:pt idx="31">
                  <c:v>13184</c:v>
                </c:pt>
                <c:pt idx="32">
                  <c:v>13184</c:v>
                </c:pt>
                <c:pt idx="33">
                  <c:v>13184</c:v>
                </c:pt>
                <c:pt idx="34">
                  <c:v>13184</c:v>
                </c:pt>
                <c:pt idx="35">
                  <c:v>14234</c:v>
                </c:pt>
                <c:pt idx="36">
                  <c:v>14234</c:v>
                </c:pt>
                <c:pt idx="37">
                  <c:v>14234</c:v>
                </c:pt>
                <c:pt idx="38">
                  <c:v>14234</c:v>
                </c:pt>
                <c:pt idx="39">
                  <c:v>14234</c:v>
                </c:pt>
                <c:pt idx="40">
                  <c:v>14234</c:v>
                </c:pt>
                <c:pt idx="41">
                  <c:v>14234</c:v>
                </c:pt>
                <c:pt idx="42">
                  <c:v>14234</c:v>
                </c:pt>
                <c:pt idx="43">
                  <c:v>15284</c:v>
                </c:pt>
                <c:pt idx="44">
                  <c:v>15284</c:v>
                </c:pt>
                <c:pt idx="45">
                  <c:v>15284</c:v>
                </c:pt>
                <c:pt idx="46">
                  <c:v>15284</c:v>
                </c:pt>
                <c:pt idx="47">
                  <c:v>15284</c:v>
                </c:pt>
                <c:pt idx="48">
                  <c:v>15284</c:v>
                </c:pt>
                <c:pt idx="49">
                  <c:v>15284</c:v>
                </c:pt>
                <c:pt idx="50">
                  <c:v>15284</c:v>
                </c:pt>
                <c:pt idx="51">
                  <c:v>15284</c:v>
                </c:pt>
                <c:pt idx="52">
                  <c:v>15800</c:v>
                </c:pt>
                <c:pt idx="53">
                  <c:v>15800</c:v>
                </c:pt>
                <c:pt idx="54">
                  <c:v>16316</c:v>
                </c:pt>
                <c:pt idx="55">
                  <c:v>16316</c:v>
                </c:pt>
                <c:pt idx="56">
                  <c:v>16316</c:v>
                </c:pt>
                <c:pt idx="57">
                  <c:v>16316</c:v>
                </c:pt>
                <c:pt idx="58">
                  <c:v>17332</c:v>
                </c:pt>
                <c:pt idx="59">
                  <c:v>18348</c:v>
                </c:pt>
                <c:pt idx="60">
                  <c:v>18348</c:v>
                </c:pt>
                <c:pt idx="61">
                  <c:v>18348</c:v>
                </c:pt>
                <c:pt idx="62">
                  <c:v>18348</c:v>
                </c:pt>
                <c:pt idx="63">
                  <c:v>18348</c:v>
                </c:pt>
                <c:pt idx="64">
                  <c:v>18348</c:v>
                </c:pt>
                <c:pt idx="65">
                  <c:v>18348</c:v>
                </c:pt>
                <c:pt idx="66">
                  <c:v>18348</c:v>
                </c:pt>
                <c:pt idx="67">
                  <c:v>18348</c:v>
                </c:pt>
                <c:pt idx="68">
                  <c:v>18348</c:v>
                </c:pt>
                <c:pt idx="69">
                  <c:v>18348</c:v>
                </c:pt>
                <c:pt idx="70">
                  <c:v>18348</c:v>
                </c:pt>
                <c:pt idx="71">
                  <c:v>18348</c:v>
                </c:pt>
                <c:pt idx="72">
                  <c:v>18348</c:v>
                </c:pt>
                <c:pt idx="73">
                  <c:v>18348</c:v>
                </c:pt>
                <c:pt idx="74">
                  <c:v>18348</c:v>
                </c:pt>
                <c:pt idx="75">
                  <c:v>18348</c:v>
                </c:pt>
                <c:pt idx="76">
                  <c:v>19526</c:v>
                </c:pt>
                <c:pt idx="77">
                  <c:v>19526</c:v>
                </c:pt>
                <c:pt idx="78">
                  <c:v>20704</c:v>
                </c:pt>
                <c:pt idx="79">
                  <c:v>20704</c:v>
                </c:pt>
                <c:pt idx="80">
                  <c:v>20704</c:v>
                </c:pt>
                <c:pt idx="81">
                  <c:v>20704</c:v>
                </c:pt>
                <c:pt idx="82">
                  <c:v>20704</c:v>
                </c:pt>
                <c:pt idx="83">
                  <c:v>20704</c:v>
                </c:pt>
                <c:pt idx="84">
                  <c:v>20704</c:v>
                </c:pt>
                <c:pt idx="85">
                  <c:v>20704</c:v>
                </c:pt>
                <c:pt idx="86">
                  <c:v>20704</c:v>
                </c:pt>
                <c:pt idx="87">
                  <c:v>20704</c:v>
                </c:pt>
                <c:pt idx="88">
                  <c:v>20704</c:v>
                </c:pt>
                <c:pt idx="89">
                  <c:v>20704</c:v>
                </c:pt>
                <c:pt idx="90">
                  <c:v>20704</c:v>
                </c:pt>
                <c:pt idx="91">
                  <c:v>20704</c:v>
                </c:pt>
                <c:pt idx="92">
                  <c:v>22352</c:v>
                </c:pt>
                <c:pt idx="93">
                  <c:v>22352</c:v>
                </c:pt>
                <c:pt idx="94">
                  <c:v>22352</c:v>
                </c:pt>
                <c:pt idx="95">
                  <c:v>24000</c:v>
                </c:pt>
                <c:pt idx="96">
                  <c:v>24000</c:v>
                </c:pt>
                <c:pt idx="97">
                  <c:v>24000</c:v>
                </c:pt>
                <c:pt idx="98">
                  <c:v>24000</c:v>
                </c:pt>
                <c:pt idx="99">
                  <c:v>24000</c:v>
                </c:pt>
                <c:pt idx="100">
                  <c:v>24000</c:v>
                </c:pt>
                <c:pt idx="101">
                  <c:v>24000</c:v>
                </c:pt>
                <c:pt idx="102">
                  <c:v>24000</c:v>
                </c:pt>
                <c:pt idx="103">
                  <c:v>24000</c:v>
                </c:pt>
                <c:pt idx="104">
                  <c:v>24000</c:v>
                </c:pt>
                <c:pt idx="105">
                  <c:v>24000</c:v>
                </c:pt>
                <c:pt idx="106">
                  <c:v>24000</c:v>
                </c:pt>
                <c:pt idx="107">
                  <c:v>24000</c:v>
                </c:pt>
                <c:pt idx="108">
                  <c:v>24000</c:v>
                </c:pt>
                <c:pt idx="109">
                  <c:v>24000</c:v>
                </c:pt>
                <c:pt idx="110">
                  <c:v>24000</c:v>
                </c:pt>
                <c:pt idx="111">
                  <c:v>24000</c:v>
                </c:pt>
                <c:pt idx="112">
                  <c:v>25648</c:v>
                </c:pt>
                <c:pt idx="113">
                  <c:v>25648</c:v>
                </c:pt>
                <c:pt idx="114">
                  <c:v>25648</c:v>
                </c:pt>
                <c:pt idx="115">
                  <c:v>27296</c:v>
                </c:pt>
                <c:pt idx="116">
                  <c:v>27296</c:v>
                </c:pt>
                <c:pt idx="117">
                  <c:v>27296</c:v>
                </c:pt>
                <c:pt idx="118">
                  <c:v>27296</c:v>
                </c:pt>
                <c:pt idx="119">
                  <c:v>27296</c:v>
                </c:pt>
                <c:pt idx="120">
                  <c:v>27296</c:v>
                </c:pt>
                <c:pt idx="121">
                  <c:v>27296</c:v>
                </c:pt>
                <c:pt idx="122">
                  <c:v>27296</c:v>
                </c:pt>
                <c:pt idx="123">
                  <c:v>27296</c:v>
                </c:pt>
                <c:pt idx="124">
                  <c:v>27296</c:v>
                </c:pt>
                <c:pt idx="125">
                  <c:v>27296</c:v>
                </c:pt>
                <c:pt idx="126">
                  <c:v>27296</c:v>
                </c:pt>
                <c:pt idx="127">
                  <c:v>27296</c:v>
                </c:pt>
                <c:pt idx="128">
                  <c:v>27296</c:v>
                </c:pt>
                <c:pt idx="129">
                  <c:v>28302</c:v>
                </c:pt>
                <c:pt idx="130">
                  <c:v>29308</c:v>
                </c:pt>
                <c:pt idx="131">
                  <c:v>29704</c:v>
                </c:pt>
                <c:pt idx="132">
                  <c:v>30100</c:v>
                </c:pt>
                <c:pt idx="133">
                  <c:v>30664</c:v>
                </c:pt>
                <c:pt idx="134">
                  <c:v>31228</c:v>
                </c:pt>
                <c:pt idx="135">
                  <c:v>32278</c:v>
                </c:pt>
                <c:pt idx="136">
                  <c:v>32278</c:v>
                </c:pt>
                <c:pt idx="137">
                  <c:v>32536</c:v>
                </c:pt>
                <c:pt idx="138">
                  <c:v>32794</c:v>
                </c:pt>
                <c:pt idx="139">
                  <c:v>33102</c:v>
                </c:pt>
                <c:pt idx="140">
                  <c:v>33422</c:v>
                </c:pt>
                <c:pt idx="141">
                  <c:v>33742</c:v>
                </c:pt>
                <c:pt idx="142">
                  <c:v>34312</c:v>
                </c:pt>
                <c:pt idx="143">
                  <c:v>34778</c:v>
                </c:pt>
                <c:pt idx="144">
                  <c:v>35784</c:v>
                </c:pt>
                <c:pt idx="145">
                  <c:v>36790</c:v>
                </c:pt>
                <c:pt idx="146">
                  <c:v>36790</c:v>
                </c:pt>
                <c:pt idx="147">
                  <c:v>36790</c:v>
                </c:pt>
                <c:pt idx="148">
                  <c:v>36790</c:v>
                </c:pt>
                <c:pt idx="149">
                  <c:v>36790</c:v>
                </c:pt>
                <c:pt idx="150">
                  <c:v>36790</c:v>
                </c:pt>
                <c:pt idx="151">
                  <c:v>36790</c:v>
                </c:pt>
                <c:pt idx="152">
                  <c:v>37968</c:v>
                </c:pt>
                <c:pt idx="153">
                  <c:v>37968</c:v>
                </c:pt>
                <c:pt idx="154">
                  <c:v>37968</c:v>
                </c:pt>
                <c:pt idx="155">
                  <c:v>37968</c:v>
                </c:pt>
                <c:pt idx="156">
                  <c:v>39018</c:v>
                </c:pt>
                <c:pt idx="157">
                  <c:v>39018</c:v>
                </c:pt>
                <c:pt idx="158">
                  <c:v>39018</c:v>
                </c:pt>
                <c:pt idx="159">
                  <c:v>39326</c:v>
                </c:pt>
                <c:pt idx="160">
                  <c:v>39646</c:v>
                </c:pt>
                <c:pt idx="161">
                  <c:v>39966</c:v>
                </c:pt>
                <c:pt idx="162">
                  <c:v>40536</c:v>
                </c:pt>
                <c:pt idx="163">
                  <c:v>41002</c:v>
                </c:pt>
                <c:pt idx="164">
                  <c:v>42008</c:v>
                </c:pt>
                <c:pt idx="165">
                  <c:v>43684</c:v>
                </c:pt>
                <c:pt idx="166">
                  <c:v>43684</c:v>
                </c:pt>
                <c:pt idx="167">
                  <c:v>43684</c:v>
                </c:pt>
                <c:pt idx="168">
                  <c:v>43684</c:v>
                </c:pt>
                <c:pt idx="169">
                  <c:v>43684</c:v>
                </c:pt>
                <c:pt idx="170">
                  <c:v>43684</c:v>
                </c:pt>
                <c:pt idx="171">
                  <c:v>45332</c:v>
                </c:pt>
                <c:pt idx="172">
                  <c:v>45332</c:v>
                </c:pt>
                <c:pt idx="173">
                  <c:v>45332</c:v>
                </c:pt>
                <c:pt idx="174">
                  <c:v>45332</c:v>
                </c:pt>
                <c:pt idx="175">
                  <c:v>45332</c:v>
                </c:pt>
                <c:pt idx="176">
                  <c:v>45332</c:v>
                </c:pt>
                <c:pt idx="177">
                  <c:v>45332</c:v>
                </c:pt>
                <c:pt idx="178">
                  <c:v>45332</c:v>
                </c:pt>
                <c:pt idx="179">
                  <c:v>45332</c:v>
                </c:pt>
                <c:pt idx="180">
                  <c:v>45332</c:v>
                </c:pt>
                <c:pt idx="181">
                  <c:v>45332</c:v>
                </c:pt>
                <c:pt idx="182">
                  <c:v>45332</c:v>
                </c:pt>
                <c:pt idx="183">
                  <c:v>45332</c:v>
                </c:pt>
                <c:pt idx="184">
                  <c:v>45332</c:v>
                </c:pt>
                <c:pt idx="185">
                  <c:v>45332</c:v>
                </c:pt>
                <c:pt idx="186">
                  <c:v>45332</c:v>
                </c:pt>
                <c:pt idx="187">
                  <c:v>46348</c:v>
                </c:pt>
                <c:pt idx="188">
                  <c:v>46348</c:v>
                </c:pt>
                <c:pt idx="189">
                  <c:v>46348</c:v>
                </c:pt>
                <c:pt idx="190">
                  <c:v>47010</c:v>
                </c:pt>
                <c:pt idx="191">
                  <c:v>47010</c:v>
                </c:pt>
                <c:pt idx="192">
                  <c:v>48658</c:v>
                </c:pt>
                <c:pt idx="193">
                  <c:v>48658</c:v>
                </c:pt>
                <c:pt idx="194">
                  <c:v>48658</c:v>
                </c:pt>
                <c:pt idx="195">
                  <c:v>48658</c:v>
                </c:pt>
                <c:pt idx="196">
                  <c:v>48658</c:v>
                </c:pt>
                <c:pt idx="197">
                  <c:v>48658</c:v>
                </c:pt>
                <c:pt idx="198">
                  <c:v>48658</c:v>
                </c:pt>
                <c:pt idx="199">
                  <c:v>48658</c:v>
                </c:pt>
                <c:pt idx="200">
                  <c:v>48658</c:v>
                </c:pt>
                <c:pt idx="201">
                  <c:v>48658</c:v>
                </c:pt>
                <c:pt idx="202">
                  <c:v>48658</c:v>
                </c:pt>
                <c:pt idx="203">
                  <c:v>48658</c:v>
                </c:pt>
                <c:pt idx="204">
                  <c:v>48658</c:v>
                </c:pt>
                <c:pt idx="205">
                  <c:v>48658</c:v>
                </c:pt>
                <c:pt idx="206">
                  <c:v>48658</c:v>
                </c:pt>
                <c:pt idx="207">
                  <c:v>48658</c:v>
                </c:pt>
                <c:pt idx="208">
                  <c:v>48658</c:v>
                </c:pt>
                <c:pt idx="209">
                  <c:v>48658</c:v>
                </c:pt>
                <c:pt idx="210">
                  <c:v>48658</c:v>
                </c:pt>
                <c:pt idx="211">
                  <c:v>48658</c:v>
                </c:pt>
                <c:pt idx="212">
                  <c:v>48658</c:v>
                </c:pt>
                <c:pt idx="213">
                  <c:v>48658</c:v>
                </c:pt>
                <c:pt idx="214">
                  <c:v>48658</c:v>
                </c:pt>
                <c:pt idx="215">
                  <c:v>48658</c:v>
                </c:pt>
                <c:pt idx="216">
                  <c:v>48658</c:v>
                </c:pt>
                <c:pt idx="217">
                  <c:v>48658</c:v>
                </c:pt>
                <c:pt idx="218">
                  <c:v>48658</c:v>
                </c:pt>
                <c:pt idx="219">
                  <c:v>48658</c:v>
                </c:pt>
                <c:pt idx="220">
                  <c:v>48658</c:v>
                </c:pt>
                <c:pt idx="221">
                  <c:v>48658</c:v>
                </c:pt>
                <c:pt idx="222">
                  <c:v>48658</c:v>
                </c:pt>
                <c:pt idx="223">
                  <c:v>48658</c:v>
                </c:pt>
                <c:pt idx="224">
                  <c:v>48658</c:v>
                </c:pt>
                <c:pt idx="225">
                  <c:v>49968</c:v>
                </c:pt>
                <c:pt idx="226">
                  <c:v>49968</c:v>
                </c:pt>
                <c:pt idx="227">
                  <c:v>49968</c:v>
                </c:pt>
                <c:pt idx="228">
                  <c:v>51278</c:v>
                </c:pt>
                <c:pt idx="229">
                  <c:v>51278</c:v>
                </c:pt>
                <c:pt idx="230">
                  <c:v>51278</c:v>
                </c:pt>
                <c:pt idx="231">
                  <c:v>52328</c:v>
                </c:pt>
                <c:pt idx="232">
                  <c:v>52328</c:v>
                </c:pt>
                <c:pt idx="233">
                  <c:v>53976</c:v>
                </c:pt>
                <c:pt idx="234">
                  <c:v>53976</c:v>
                </c:pt>
                <c:pt idx="235">
                  <c:v>54840</c:v>
                </c:pt>
                <c:pt idx="236">
                  <c:v>54840</c:v>
                </c:pt>
                <c:pt idx="237">
                  <c:v>55704</c:v>
                </c:pt>
                <c:pt idx="238">
                  <c:v>55704</c:v>
                </c:pt>
                <c:pt idx="239">
                  <c:v>55704</c:v>
                </c:pt>
                <c:pt idx="240">
                  <c:v>55704</c:v>
                </c:pt>
                <c:pt idx="241">
                  <c:v>55704</c:v>
                </c:pt>
                <c:pt idx="242">
                  <c:v>56754</c:v>
                </c:pt>
                <c:pt idx="243">
                  <c:v>56754</c:v>
                </c:pt>
                <c:pt idx="244">
                  <c:v>57804</c:v>
                </c:pt>
                <c:pt idx="245">
                  <c:v>57804</c:v>
                </c:pt>
                <c:pt idx="246">
                  <c:v>57844</c:v>
                </c:pt>
                <c:pt idx="247">
                  <c:v>57884</c:v>
                </c:pt>
                <c:pt idx="248">
                  <c:v>58172</c:v>
                </c:pt>
                <c:pt idx="249">
                  <c:v>58232</c:v>
                </c:pt>
                <c:pt idx="250">
                  <c:v>58304</c:v>
                </c:pt>
                <c:pt idx="251">
                  <c:v>58552</c:v>
                </c:pt>
                <c:pt idx="252">
                  <c:v>58730</c:v>
                </c:pt>
                <c:pt idx="253">
                  <c:v>59714</c:v>
                </c:pt>
                <c:pt idx="254">
                  <c:v>60698</c:v>
                </c:pt>
                <c:pt idx="255">
                  <c:v>60698</c:v>
                </c:pt>
                <c:pt idx="256">
                  <c:v>60698</c:v>
                </c:pt>
                <c:pt idx="257">
                  <c:v>60698</c:v>
                </c:pt>
                <c:pt idx="258">
                  <c:v>60698</c:v>
                </c:pt>
                <c:pt idx="259">
                  <c:v>60698</c:v>
                </c:pt>
                <c:pt idx="260">
                  <c:v>60698</c:v>
                </c:pt>
                <c:pt idx="261">
                  <c:v>60698</c:v>
                </c:pt>
                <c:pt idx="262">
                  <c:v>60698</c:v>
                </c:pt>
                <c:pt idx="263">
                  <c:v>60698</c:v>
                </c:pt>
                <c:pt idx="264">
                  <c:v>60698</c:v>
                </c:pt>
                <c:pt idx="265">
                  <c:v>60698</c:v>
                </c:pt>
                <c:pt idx="266">
                  <c:v>60698</c:v>
                </c:pt>
                <c:pt idx="267">
                  <c:v>60698</c:v>
                </c:pt>
                <c:pt idx="268">
                  <c:v>60698</c:v>
                </c:pt>
                <c:pt idx="269">
                  <c:v>60698</c:v>
                </c:pt>
                <c:pt idx="270">
                  <c:v>60698</c:v>
                </c:pt>
                <c:pt idx="271">
                  <c:v>60698</c:v>
                </c:pt>
                <c:pt idx="272">
                  <c:v>60698</c:v>
                </c:pt>
                <c:pt idx="273">
                  <c:v>60698</c:v>
                </c:pt>
                <c:pt idx="274">
                  <c:v>75698</c:v>
                </c:pt>
                <c:pt idx="275">
                  <c:v>75698</c:v>
                </c:pt>
                <c:pt idx="276">
                  <c:v>75698</c:v>
                </c:pt>
                <c:pt idx="277">
                  <c:v>77374</c:v>
                </c:pt>
                <c:pt idx="278">
                  <c:v>77374</c:v>
                </c:pt>
                <c:pt idx="279">
                  <c:v>77374</c:v>
                </c:pt>
                <c:pt idx="280">
                  <c:v>77374</c:v>
                </c:pt>
                <c:pt idx="281">
                  <c:v>77374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F-40D8-A3DC-78A27D86A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014407"/>
        <c:axId val="287016967"/>
      </c:lineChart>
      <c:dateAx>
        <c:axId val="28701440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16967"/>
        <c:crosses val="autoZero"/>
        <c:auto val="1"/>
        <c:lblOffset val="100"/>
        <c:baseTimeUnit val="days"/>
      </c:dateAx>
      <c:valAx>
        <c:axId val="287016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1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マイル管理!#REF!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マイル管理!$A$21:$A$302</c:f>
              <c:numCache>
                <c:formatCode>m/d/yyyy</c:formatCode>
                <c:ptCount val="282"/>
                <c:pt idx="0">
                  <c:v>45680</c:v>
                </c:pt>
                <c:pt idx="1">
                  <c:v>45682</c:v>
                </c:pt>
                <c:pt idx="2">
                  <c:v>45727</c:v>
                </c:pt>
                <c:pt idx="3">
                  <c:v>45727</c:v>
                </c:pt>
                <c:pt idx="4">
                  <c:v>45784</c:v>
                </c:pt>
                <c:pt idx="5">
                  <c:v>45787</c:v>
                </c:pt>
                <c:pt idx="6">
                  <c:v>45834</c:v>
                </c:pt>
                <c:pt idx="7">
                  <c:v>45836</c:v>
                </c:pt>
                <c:pt idx="8">
                  <c:v>45840</c:v>
                </c:pt>
                <c:pt idx="9">
                  <c:v>45841</c:v>
                </c:pt>
                <c:pt idx="10">
                  <c:v>45841</c:v>
                </c:pt>
                <c:pt idx="11">
                  <c:v>45842</c:v>
                </c:pt>
                <c:pt idx="12">
                  <c:v>45843</c:v>
                </c:pt>
                <c:pt idx="13">
                  <c:v>45844</c:v>
                </c:pt>
                <c:pt idx="14">
                  <c:v>45845</c:v>
                </c:pt>
                <c:pt idx="15">
                  <c:v>45846</c:v>
                </c:pt>
                <c:pt idx="16">
                  <c:v>45846</c:v>
                </c:pt>
                <c:pt idx="17">
                  <c:v>45847</c:v>
                </c:pt>
                <c:pt idx="18">
                  <c:v>45848</c:v>
                </c:pt>
                <c:pt idx="19">
                  <c:v>45848</c:v>
                </c:pt>
                <c:pt idx="20">
                  <c:v>45849</c:v>
                </c:pt>
                <c:pt idx="21">
                  <c:v>45849</c:v>
                </c:pt>
                <c:pt idx="22">
                  <c:v>45850</c:v>
                </c:pt>
                <c:pt idx="23">
                  <c:v>45850</c:v>
                </c:pt>
                <c:pt idx="24">
                  <c:v>45851</c:v>
                </c:pt>
                <c:pt idx="25">
                  <c:v>45851</c:v>
                </c:pt>
                <c:pt idx="26">
                  <c:v>45852</c:v>
                </c:pt>
                <c:pt idx="27">
                  <c:v>45853</c:v>
                </c:pt>
                <c:pt idx="28">
                  <c:v>45853</c:v>
                </c:pt>
                <c:pt idx="29">
                  <c:v>45854</c:v>
                </c:pt>
                <c:pt idx="30">
                  <c:v>45855</c:v>
                </c:pt>
                <c:pt idx="31">
                  <c:v>45856</c:v>
                </c:pt>
                <c:pt idx="32">
                  <c:v>45857</c:v>
                </c:pt>
                <c:pt idx="33">
                  <c:v>45858</c:v>
                </c:pt>
                <c:pt idx="34">
                  <c:v>45859</c:v>
                </c:pt>
                <c:pt idx="35">
                  <c:v>45860</c:v>
                </c:pt>
                <c:pt idx="36">
                  <c:v>45860</c:v>
                </c:pt>
                <c:pt idx="37">
                  <c:v>45860</c:v>
                </c:pt>
                <c:pt idx="38">
                  <c:v>45861</c:v>
                </c:pt>
                <c:pt idx="39">
                  <c:v>45862</c:v>
                </c:pt>
                <c:pt idx="40">
                  <c:v>45863</c:v>
                </c:pt>
                <c:pt idx="41">
                  <c:v>45864</c:v>
                </c:pt>
                <c:pt idx="42">
                  <c:v>45864</c:v>
                </c:pt>
                <c:pt idx="43">
                  <c:v>45865</c:v>
                </c:pt>
                <c:pt idx="44">
                  <c:v>45865</c:v>
                </c:pt>
                <c:pt idx="45">
                  <c:v>45866</c:v>
                </c:pt>
                <c:pt idx="46">
                  <c:v>45867</c:v>
                </c:pt>
                <c:pt idx="47">
                  <c:v>45867</c:v>
                </c:pt>
                <c:pt idx="48">
                  <c:v>45868</c:v>
                </c:pt>
                <c:pt idx="49">
                  <c:v>45868</c:v>
                </c:pt>
                <c:pt idx="50">
                  <c:v>45869</c:v>
                </c:pt>
                <c:pt idx="51">
                  <c:v>45870</c:v>
                </c:pt>
                <c:pt idx="52">
                  <c:v>45871</c:v>
                </c:pt>
                <c:pt idx="53">
                  <c:v>45871</c:v>
                </c:pt>
                <c:pt idx="54">
                  <c:v>45872</c:v>
                </c:pt>
                <c:pt idx="55">
                  <c:v>45872</c:v>
                </c:pt>
                <c:pt idx="56">
                  <c:v>45873</c:v>
                </c:pt>
                <c:pt idx="57">
                  <c:v>45874</c:v>
                </c:pt>
                <c:pt idx="58">
                  <c:v>45875</c:v>
                </c:pt>
                <c:pt idx="59">
                  <c:v>45875</c:v>
                </c:pt>
                <c:pt idx="60">
                  <c:v>45875</c:v>
                </c:pt>
                <c:pt idx="61">
                  <c:v>45876</c:v>
                </c:pt>
                <c:pt idx="62">
                  <c:v>45877</c:v>
                </c:pt>
                <c:pt idx="63">
                  <c:v>45878</c:v>
                </c:pt>
                <c:pt idx="64">
                  <c:v>45879</c:v>
                </c:pt>
                <c:pt idx="65">
                  <c:v>45879</c:v>
                </c:pt>
                <c:pt idx="66">
                  <c:v>45880</c:v>
                </c:pt>
                <c:pt idx="67">
                  <c:v>45881</c:v>
                </c:pt>
                <c:pt idx="68">
                  <c:v>45882</c:v>
                </c:pt>
                <c:pt idx="69">
                  <c:v>45883</c:v>
                </c:pt>
                <c:pt idx="70">
                  <c:v>45884</c:v>
                </c:pt>
                <c:pt idx="71">
                  <c:v>45885</c:v>
                </c:pt>
                <c:pt idx="72">
                  <c:v>45886</c:v>
                </c:pt>
                <c:pt idx="73">
                  <c:v>45887</c:v>
                </c:pt>
                <c:pt idx="74">
                  <c:v>45888</c:v>
                </c:pt>
                <c:pt idx="75">
                  <c:v>45889</c:v>
                </c:pt>
                <c:pt idx="76">
                  <c:v>45890</c:v>
                </c:pt>
                <c:pt idx="77">
                  <c:v>45890</c:v>
                </c:pt>
                <c:pt idx="78">
                  <c:v>45891</c:v>
                </c:pt>
                <c:pt idx="79">
                  <c:v>45891</c:v>
                </c:pt>
                <c:pt idx="80">
                  <c:v>45892</c:v>
                </c:pt>
                <c:pt idx="81">
                  <c:v>45893</c:v>
                </c:pt>
                <c:pt idx="82">
                  <c:v>45894</c:v>
                </c:pt>
                <c:pt idx="83">
                  <c:v>45895</c:v>
                </c:pt>
                <c:pt idx="84">
                  <c:v>45896</c:v>
                </c:pt>
                <c:pt idx="85">
                  <c:v>45896</c:v>
                </c:pt>
                <c:pt idx="86">
                  <c:v>45897</c:v>
                </c:pt>
                <c:pt idx="87">
                  <c:v>45897</c:v>
                </c:pt>
                <c:pt idx="88">
                  <c:v>45898</c:v>
                </c:pt>
                <c:pt idx="89">
                  <c:v>45899</c:v>
                </c:pt>
                <c:pt idx="90">
                  <c:v>45900</c:v>
                </c:pt>
                <c:pt idx="91">
                  <c:v>45900</c:v>
                </c:pt>
                <c:pt idx="92">
                  <c:v>45901</c:v>
                </c:pt>
                <c:pt idx="93">
                  <c:v>45901</c:v>
                </c:pt>
                <c:pt idx="94">
                  <c:v>45902</c:v>
                </c:pt>
                <c:pt idx="95">
                  <c:v>45903</c:v>
                </c:pt>
                <c:pt idx="96">
                  <c:v>45903</c:v>
                </c:pt>
                <c:pt idx="97">
                  <c:v>45904</c:v>
                </c:pt>
                <c:pt idx="98">
                  <c:v>45905</c:v>
                </c:pt>
                <c:pt idx="99">
                  <c:v>45906</c:v>
                </c:pt>
                <c:pt idx="100">
                  <c:v>45907</c:v>
                </c:pt>
                <c:pt idx="101">
                  <c:v>45908</c:v>
                </c:pt>
                <c:pt idx="102">
                  <c:v>45909</c:v>
                </c:pt>
                <c:pt idx="103">
                  <c:v>45910</c:v>
                </c:pt>
                <c:pt idx="104">
                  <c:v>45910</c:v>
                </c:pt>
                <c:pt idx="105">
                  <c:v>45911</c:v>
                </c:pt>
                <c:pt idx="106">
                  <c:v>45911</c:v>
                </c:pt>
                <c:pt idx="107">
                  <c:v>45912</c:v>
                </c:pt>
                <c:pt idx="108">
                  <c:v>45913</c:v>
                </c:pt>
                <c:pt idx="109">
                  <c:v>45914</c:v>
                </c:pt>
                <c:pt idx="110">
                  <c:v>45914</c:v>
                </c:pt>
                <c:pt idx="111">
                  <c:v>45914</c:v>
                </c:pt>
                <c:pt idx="112">
                  <c:v>45915</c:v>
                </c:pt>
                <c:pt idx="113">
                  <c:v>45915</c:v>
                </c:pt>
                <c:pt idx="114">
                  <c:v>45916</c:v>
                </c:pt>
                <c:pt idx="115">
                  <c:v>45917</c:v>
                </c:pt>
                <c:pt idx="116">
                  <c:v>45917</c:v>
                </c:pt>
                <c:pt idx="117">
                  <c:v>45918</c:v>
                </c:pt>
                <c:pt idx="118">
                  <c:v>45919</c:v>
                </c:pt>
                <c:pt idx="119">
                  <c:v>45919</c:v>
                </c:pt>
                <c:pt idx="120">
                  <c:v>45919</c:v>
                </c:pt>
                <c:pt idx="121">
                  <c:v>45919</c:v>
                </c:pt>
                <c:pt idx="122">
                  <c:v>45919</c:v>
                </c:pt>
                <c:pt idx="123">
                  <c:v>45920</c:v>
                </c:pt>
                <c:pt idx="124">
                  <c:v>45921</c:v>
                </c:pt>
                <c:pt idx="125">
                  <c:v>45922</c:v>
                </c:pt>
                <c:pt idx="126">
                  <c:v>45923</c:v>
                </c:pt>
                <c:pt idx="127">
                  <c:v>45924</c:v>
                </c:pt>
                <c:pt idx="128">
                  <c:v>45925</c:v>
                </c:pt>
                <c:pt idx="129">
                  <c:v>45926</c:v>
                </c:pt>
                <c:pt idx="130">
                  <c:v>45926</c:v>
                </c:pt>
                <c:pt idx="131">
                  <c:v>45926</c:v>
                </c:pt>
                <c:pt idx="132">
                  <c:v>45926</c:v>
                </c:pt>
                <c:pt idx="133">
                  <c:v>45926</c:v>
                </c:pt>
                <c:pt idx="134">
                  <c:v>45926</c:v>
                </c:pt>
                <c:pt idx="135">
                  <c:v>45926</c:v>
                </c:pt>
                <c:pt idx="136">
                  <c:v>45926</c:v>
                </c:pt>
                <c:pt idx="137">
                  <c:v>45927</c:v>
                </c:pt>
                <c:pt idx="138">
                  <c:v>45927</c:v>
                </c:pt>
                <c:pt idx="139">
                  <c:v>45927</c:v>
                </c:pt>
                <c:pt idx="140">
                  <c:v>45927</c:v>
                </c:pt>
                <c:pt idx="141">
                  <c:v>45927</c:v>
                </c:pt>
                <c:pt idx="142">
                  <c:v>45927</c:v>
                </c:pt>
                <c:pt idx="143">
                  <c:v>45927</c:v>
                </c:pt>
                <c:pt idx="144">
                  <c:v>45927</c:v>
                </c:pt>
                <c:pt idx="145">
                  <c:v>45927</c:v>
                </c:pt>
                <c:pt idx="146">
                  <c:v>45927</c:v>
                </c:pt>
                <c:pt idx="147">
                  <c:v>45928</c:v>
                </c:pt>
                <c:pt idx="148">
                  <c:v>45929</c:v>
                </c:pt>
                <c:pt idx="149">
                  <c:v>45930</c:v>
                </c:pt>
                <c:pt idx="150">
                  <c:v>45930</c:v>
                </c:pt>
                <c:pt idx="151">
                  <c:v>45931</c:v>
                </c:pt>
                <c:pt idx="152">
                  <c:v>45932</c:v>
                </c:pt>
                <c:pt idx="153">
                  <c:v>45932</c:v>
                </c:pt>
                <c:pt idx="154">
                  <c:v>45933</c:v>
                </c:pt>
                <c:pt idx="155">
                  <c:v>45933</c:v>
                </c:pt>
                <c:pt idx="156">
                  <c:v>45934</c:v>
                </c:pt>
                <c:pt idx="157">
                  <c:v>45934</c:v>
                </c:pt>
                <c:pt idx="158">
                  <c:v>45934</c:v>
                </c:pt>
                <c:pt idx="159">
                  <c:v>45935</c:v>
                </c:pt>
                <c:pt idx="160">
                  <c:v>45935</c:v>
                </c:pt>
                <c:pt idx="161">
                  <c:v>45935</c:v>
                </c:pt>
                <c:pt idx="162">
                  <c:v>45935</c:v>
                </c:pt>
                <c:pt idx="163">
                  <c:v>45935</c:v>
                </c:pt>
                <c:pt idx="164">
                  <c:v>45935</c:v>
                </c:pt>
                <c:pt idx="165">
                  <c:v>45935</c:v>
                </c:pt>
                <c:pt idx="166">
                  <c:v>45935</c:v>
                </c:pt>
                <c:pt idx="167">
                  <c:v>45935</c:v>
                </c:pt>
                <c:pt idx="168">
                  <c:v>45936</c:v>
                </c:pt>
                <c:pt idx="169">
                  <c:v>45937</c:v>
                </c:pt>
                <c:pt idx="170">
                  <c:v>45938</c:v>
                </c:pt>
                <c:pt idx="171">
                  <c:v>45939</c:v>
                </c:pt>
                <c:pt idx="172">
                  <c:v>45939</c:v>
                </c:pt>
                <c:pt idx="173">
                  <c:v>45940</c:v>
                </c:pt>
                <c:pt idx="174">
                  <c:v>45940</c:v>
                </c:pt>
                <c:pt idx="175">
                  <c:v>45941</c:v>
                </c:pt>
                <c:pt idx="176">
                  <c:v>45942</c:v>
                </c:pt>
                <c:pt idx="177">
                  <c:v>45943</c:v>
                </c:pt>
                <c:pt idx="178">
                  <c:v>45944</c:v>
                </c:pt>
                <c:pt idx="179">
                  <c:v>45944</c:v>
                </c:pt>
                <c:pt idx="180">
                  <c:v>45944</c:v>
                </c:pt>
                <c:pt idx="181">
                  <c:v>45945</c:v>
                </c:pt>
                <c:pt idx="182">
                  <c:v>45946</c:v>
                </c:pt>
                <c:pt idx="183">
                  <c:v>45947</c:v>
                </c:pt>
                <c:pt idx="184">
                  <c:v>45948</c:v>
                </c:pt>
                <c:pt idx="185">
                  <c:v>45949</c:v>
                </c:pt>
                <c:pt idx="186">
                  <c:v>45950</c:v>
                </c:pt>
                <c:pt idx="187">
                  <c:v>45951</c:v>
                </c:pt>
                <c:pt idx="188">
                  <c:v>45951</c:v>
                </c:pt>
                <c:pt idx="189">
                  <c:v>45952</c:v>
                </c:pt>
                <c:pt idx="190">
                  <c:v>45953</c:v>
                </c:pt>
                <c:pt idx="191">
                  <c:v>45953</c:v>
                </c:pt>
                <c:pt idx="192">
                  <c:v>45954</c:v>
                </c:pt>
                <c:pt idx="193">
                  <c:v>45954</c:v>
                </c:pt>
                <c:pt idx="194">
                  <c:v>45955</c:v>
                </c:pt>
                <c:pt idx="195">
                  <c:v>45956</c:v>
                </c:pt>
                <c:pt idx="196">
                  <c:v>45957</c:v>
                </c:pt>
                <c:pt idx="197">
                  <c:v>45958</c:v>
                </c:pt>
                <c:pt idx="198">
                  <c:v>45959</c:v>
                </c:pt>
                <c:pt idx="199">
                  <c:v>45960</c:v>
                </c:pt>
                <c:pt idx="200">
                  <c:v>45961</c:v>
                </c:pt>
                <c:pt idx="201">
                  <c:v>45962</c:v>
                </c:pt>
                <c:pt idx="202">
                  <c:v>45963</c:v>
                </c:pt>
                <c:pt idx="203">
                  <c:v>45964</c:v>
                </c:pt>
                <c:pt idx="204">
                  <c:v>45965</c:v>
                </c:pt>
                <c:pt idx="205">
                  <c:v>45966</c:v>
                </c:pt>
                <c:pt idx="206">
                  <c:v>45967</c:v>
                </c:pt>
                <c:pt idx="207">
                  <c:v>45968</c:v>
                </c:pt>
                <c:pt idx="208">
                  <c:v>45968</c:v>
                </c:pt>
                <c:pt idx="209">
                  <c:v>45969</c:v>
                </c:pt>
                <c:pt idx="210">
                  <c:v>45970</c:v>
                </c:pt>
                <c:pt idx="211">
                  <c:v>45970</c:v>
                </c:pt>
                <c:pt idx="212">
                  <c:v>45971</c:v>
                </c:pt>
                <c:pt idx="213">
                  <c:v>45971</c:v>
                </c:pt>
                <c:pt idx="214">
                  <c:v>45972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45976</c:v>
                </c:pt>
                <c:pt idx="219">
                  <c:v>45977</c:v>
                </c:pt>
                <c:pt idx="220">
                  <c:v>45978</c:v>
                </c:pt>
                <c:pt idx="221">
                  <c:v>45979</c:v>
                </c:pt>
                <c:pt idx="222">
                  <c:v>45980</c:v>
                </c:pt>
                <c:pt idx="223">
                  <c:v>45980</c:v>
                </c:pt>
                <c:pt idx="224">
                  <c:v>45980</c:v>
                </c:pt>
                <c:pt idx="225">
                  <c:v>45981</c:v>
                </c:pt>
                <c:pt idx="226">
                  <c:v>45981</c:v>
                </c:pt>
                <c:pt idx="227">
                  <c:v>45982</c:v>
                </c:pt>
                <c:pt idx="228">
                  <c:v>45983</c:v>
                </c:pt>
                <c:pt idx="229">
                  <c:v>45983</c:v>
                </c:pt>
                <c:pt idx="230">
                  <c:v>45984</c:v>
                </c:pt>
                <c:pt idx="231">
                  <c:v>45985</c:v>
                </c:pt>
                <c:pt idx="232">
                  <c:v>45985</c:v>
                </c:pt>
                <c:pt idx="233">
                  <c:v>45986</c:v>
                </c:pt>
                <c:pt idx="234">
                  <c:v>45986</c:v>
                </c:pt>
                <c:pt idx="235">
                  <c:v>45987</c:v>
                </c:pt>
                <c:pt idx="236">
                  <c:v>45987</c:v>
                </c:pt>
                <c:pt idx="237">
                  <c:v>45988</c:v>
                </c:pt>
                <c:pt idx="238">
                  <c:v>45988</c:v>
                </c:pt>
                <c:pt idx="239">
                  <c:v>45989</c:v>
                </c:pt>
                <c:pt idx="240">
                  <c:v>45990</c:v>
                </c:pt>
                <c:pt idx="241">
                  <c:v>45991</c:v>
                </c:pt>
                <c:pt idx="242">
                  <c:v>45992</c:v>
                </c:pt>
                <c:pt idx="243">
                  <c:v>45992</c:v>
                </c:pt>
                <c:pt idx="244">
                  <c:v>45993</c:v>
                </c:pt>
                <c:pt idx="245">
                  <c:v>45993</c:v>
                </c:pt>
                <c:pt idx="246">
                  <c:v>45994</c:v>
                </c:pt>
                <c:pt idx="247">
                  <c:v>45994</c:v>
                </c:pt>
                <c:pt idx="248">
                  <c:v>45994</c:v>
                </c:pt>
                <c:pt idx="249">
                  <c:v>45994</c:v>
                </c:pt>
                <c:pt idx="250">
                  <c:v>45994</c:v>
                </c:pt>
                <c:pt idx="251">
                  <c:v>45994</c:v>
                </c:pt>
                <c:pt idx="252">
                  <c:v>45994</c:v>
                </c:pt>
                <c:pt idx="253">
                  <c:v>45994</c:v>
                </c:pt>
                <c:pt idx="254">
                  <c:v>45994</c:v>
                </c:pt>
                <c:pt idx="255">
                  <c:v>45994</c:v>
                </c:pt>
                <c:pt idx="256">
                  <c:v>45995</c:v>
                </c:pt>
                <c:pt idx="257">
                  <c:v>45996</c:v>
                </c:pt>
                <c:pt idx="258">
                  <c:v>45997</c:v>
                </c:pt>
                <c:pt idx="259">
                  <c:v>45998</c:v>
                </c:pt>
                <c:pt idx="260">
                  <c:v>45999</c:v>
                </c:pt>
                <c:pt idx="261">
                  <c:v>46000</c:v>
                </c:pt>
                <c:pt idx="262">
                  <c:v>46001</c:v>
                </c:pt>
                <c:pt idx="263">
                  <c:v>46001</c:v>
                </c:pt>
                <c:pt idx="264">
                  <c:v>46001</c:v>
                </c:pt>
                <c:pt idx="265">
                  <c:v>46001</c:v>
                </c:pt>
                <c:pt idx="266">
                  <c:v>46002</c:v>
                </c:pt>
                <c:pt idx="267">
                  <c:v>46003</c:v>
                </c:pt>
                <c:pt idx="268">
                  <c:v>46003</c:v>
                </c:pt>
                <c:pt idx="269">
                  <c:v>46004</c:v>
                </c:pt>
                <c:pt idx="270">
                  <c:v>46004</c:v>
                </c:pt>
                <c:pt idx="271">
                  <c:v>46005</c:v>
                </c:pt>
                <c:pt idx="272">
                  <c:v>46005</c:v>
                </c:pt>
                <c:pt idx="273">
                  <c:v>46006</c:v>
                </c:pt>
                <c:pt idx="274">
                  <c:v>46007</c:v>
                </c:pt>
                <c:pt idx="275">
                  <c:v>46007</c:v>
                </c:pt>
                <c:pt idx="276">
                  <c:v>46008</c:v>
                </c:pt>
                <c:pt idx="277">
                  <c:v>46009</c:v>
                </c:pt>
                <c:pt idx="278">
                  <c:v>46009</c:v>
                </c:pt>
                <c:pt idx="279">
                  <c:v>46009</c:v>
                </c:pt>
                <c:pt idx="280">
                  <c:v>46010</c:v>
                </c:pt>
                <c:pt idx="281">
                  <c:v>46011</c:v>
                </c:pt>
              </c:numCache>
            </c:numRef>
          </c:cat>
          <c:val>
            <c:numRef>
              <c:f>マイル管理!$M$21:$M$302</c:f>
              <c:numCache>
                <c:formatCode>General</c:formatCode>
                <c:ptCount val="28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11</c:v>
                </c:pt>
                <c:pt idx="53">
                  <c:v>11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15</c:v>
                </c:pt>
                <c:pt idx="77">
                  <c:v>15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21</c:v>
                </c:pt>
                <c:pt idx="130">
                  <c:v>22</c:v>
                </c:pt>
                <c:pt idx="131">
                  <c:v>23</c:v>
                </c:pt>
                <c:pt idx="132">
                  <c:v>24</c:v>
                </c:pt>
                <c:pt idx="133">
                  <c:v>25</c:v>
                </c:pt>
                <c:pt idx="134">
                  <c:v>26</c:v>
                </c:pt>
                <c:pt idx="135">
                  <c:v>27</c:v>
                </c:pt>
                <c:pt idx="136">
                  <c:v>27</c:v>
                </c:pt>
                <c:pt idx="137">
                  <c:v>28</c:v>
                </c:pt>
                <c:pt idx="138">
                  <c:v>29</c:v>
                </c:pt>
                <c:pt idx="139">
                  <c:v>30</c:v>
                </c:pt>
                <c:pt idx="140">
                  <c:v>31</c:v>
                </c:pt>
                <c:pt idx="141">
                  <c:v>32</c:v>
                </c:pt>
                <c:pt idx="142">
                  <c:v>33</c:v>
                </c:pt>
                <c:pt idx="143">
                  <c:v>34</c:v>
                </c:pt>
                <c:pt idx="144">
                  <c:v>35</c:v>
                </c:pt>
                <c:pt idx="145">
                  <c:v>36</c:v>
                </c:pt>
                <c:pt idx="146">
                  <c:v>36</c:v>
                </c:pt>
                <c:pt idx="147">
                  <c:v>36</c:v>
                </c:pt>
                <c:pt idx="148">
                  <c:v>36</c:v>
                </c:pt>
                <c:pt idx="149">
                  <c:v>36</c:v>
                </c:pt>
                <c:pt idx="150">
                  <c:v>36</c:v>
                </c:pt>
                <c:pt idx="151">
                  <c:v>36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39</c:v>
                </c:pt>
                <c:pt idx="160">
                  <c:v>40</c:v>
                </c:pt>
                <c:pt idx="161">
                  <c:v>41</c:v>
                </c:pt>
                <c:pt idx="162">
                  <c:v>42</c:v>
                </c:pt>
                <c:pt idx="163">
                  <c:v>43</c:v>
                </c:pt>
                <c:pt idx="164">
                  <c:v>44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45</c:v>
                </c:pt>
                <c:pt idx="169">
                  <c:v>45</c:v>
                </c:pt>
                <c:pt idx="170">
                  <c:v>45</c:v>
                </c:pt>
                <c:pt idx="171">
                  <c:v>46</c:v>
                </c:pt>
                <c:pt idx="172">
                  <c:v>46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46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48</c:v>
                </c:pt>
                <c:pt idx="191">
                  <c:v>48</c:v>
                </c:pt>
                <c:pt idx="192">
                  <c:v>49</c:v>
                </c:pt>
                <c:pt idx="193">
                  <c:v>49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49</c:v>
                </c:pt>
                <c:pt idx="198">
                  <c:v>49</c:v>
                </c:pt>
                <c:pt idx="199">
                  <c:v>49</c:v>
                </c:pt>
                <c:pt idx="200">
                  <c:v>49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49</c:v>
                </c:pt>
                <c:pt idx="209">
                  <c:v>49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51</c:v>
                </c:pt>
                <c:pt idx="229">
                  <c:v>51</c:v>
                </c:pt>
                <c:pt idx="230">
                  <c:v>51</c:v>
                </c:pt>
                <c:pt idx="231">
                  <c:v>52</c:v>
                </c:pt>
                <c:pt idx="232">
                  <c:v>52</c:v>
                </c:pt>
                <c:pt idx="233">
                  <c:v>53</c:v>
                </c:pt>
                <c:pt idx="234">
                  <c:v>53</c:v>
                </c:pt>
                <c:pt idx="235">
                  <c:v>54</c:v>
                </c:pt>
                <c:pt idx="236">
                  <c:v>54</c:v>
                </c:pt>
                <c:pt idx="237">
                  <c:v>55</c:v>
                </c:pt>
                <c:pt idx="238">
                  <c:v>55</c:v>
                </c:pt>
                <c:pt idx="239">
                  <c:v>55</c:v>
                </c:pt>
                <c:pt idx="240">
                  <c:v>55</c:v>
                </c:pt>
                <c:pt idx="241">
                  <c:v>55</c:v>
                </c:pt>
                <c:pt idx="242">
                  <c:v>56</c:v>
                </c:pt>
                <c:pt idx="243">
                  <c:v>56</c:v>
                </c:pt>
                <c:pt idx="244">
                  <c:v>57</c:v>
                </c:pt>
                <c:pt idx="245">
                  <c:v>57</c:v>
                </c:pt>
                <c:pt idx="246">
                  <c:v>58</c:v>
                </c:pt>
                <c:pt idx="247">
                  <c:v>59</c:v>
                </c:pt>
                <c:pt idx="248">
                  <c:v>60</c:v>
                </c:pt>
                <c:pt idx="249">
                  <c:v>61</c:v>
                </c:pt>
                <c:pt idx="250">
                  <c:v>62</c:v>
                </c:pt>
                <c:pt idx="251">
                  <c:v>63</c:v>
                </c:pt>
                <c:pt idx="252">
                  <c:v>64</c:v>
                </c:pt>
                <c:pt idx="253">
                  <c:v>65</c:v>
                </c:pt>
                <c:pt idx="254">
                  <c:v>66</c:v>
                </c:pt>
                <c:pt idx="255">
                  <c:v>66</c:v>
                </c:pt>
                <c:pt idx="256">
                  <c:v>66</c:v>
                </c:pt>
                <c:pt idx="257">
                  <c:v>66</c:v>
                </c:pt>
                <c:pt idx="258">
                  <c:v>66</c:v>
                </c:pt>
                <c:pt idx="259">
                  <c:v>66</c:v>
                </c:pt>
                <c:pt idx="260">
                  <c:v>66</c:v>
                </c:pt>
                <c:pt idx="261">
                  <c:v>66</c:v>
                </c:pt>
                <c:pt idx="262">
                  <c:v>66</c:v>
                </c:pt>
                <c:pt idx="263">
                  <c:v>66</c:v>
                </c:pt>
                <c:pt idx="264">
                  <c:v>66</c:v>
                </c:pt>
                <c:pt idx="265">
                  <c:v>66</c:v>
                </c:pt>
                <c:pt idx="266">
                  <c:v>66</c:v>
                </c:pt>
                <c:pt idx="267">
                  <c:v>66</c:v>
                </c:pt>
                <c:pt idx="268">
                  <c:v>66</c:v>
                </c:pt>
                <c:pt idx="269">
                  <c:v>66</c:v>
                </c:pt>
                <c:pt idx="270">
                  <c:v>66</c:v>
                </c:pt>
                <c:pt idx="271">
                  <c:v>66</c:v>
                </c:pt>
                <c:pt idx="272">
                  <c:v>66</c:v>
                </c:pt>
                <c:pt idx="273">
                  <c:v>66</c:v>
                </c:pt>
                <c:pt idx="274">
                  <c:v>66</c:v>
                </c:pt>
                <c:pt idx="275">
                  <c:v>66</c:v>
                </c:pt>
                <c:pt idx="276">
                  <c:v>66</c:v>
                </c:pt>
                <c:pt idx="277">
                  <c:v>67</c:v>
                </c:pt>
                <c:pt idx="278">
                  <c:v>67</c:v>
                </c:pt>
                <c:pt idx="279">
                  <c:v>67</c:v>
                </c:pt>
                <c:pt idx="280">
                  <c:v>67</c:v>
                </c:pt>
                <c:pt idx="28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1-4342-9E39-0706495E3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120647"/>
        <c:axId val="1931122695"/>
      </c:lineChart>
      <c:dateAx>
        <c:axId val="19311206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22695"/>
        <c:crosses val="autoZero"/>
        <c:auto val="1"/>
        <c:lblOffset val="100"/>
        <c:baseTimeUnit val="days"/>
      </c:dateAx>
      <c:valAx>
        <c:axId val="1931122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12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5"/>
          <c:order val="0"/>
          <c:tx>
            <c:strRef>
              <c:f>LSP管理!$G$2</c:f>
              <c:strCache>
                <c:ptCount val="1"/>
                <c:pt idx="0">
                  <c:v>累積ポイント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cat>
            <c:numRef>
              <c:f>LSP管理!$B$3:$B$193</c:f>
              <c:numCache>
                <c:formatCode>m/d/yyyy</c:formatCode>
                <c:ptCount val="191"/>
                <c:pt idx="17">
                  <c:v>46284</c:v>
                </c:pt>
                <c:pt idx="18">
                  <c:v>46282</c:v>
                </c:pt>
                <c:pt idx="19">
                  <c:v>46282</c:v>
                </c:pt>
                <c:pt idx="20">
                  <c:v>46280</c:v>
                </c:pt>
                <c:pt idx="21">
                  <c:v>46276</c:v>
                </c:pt>
                <c:pt idx="22">
                  <c:v>46268</c:v>
                </c:pt>
                <c:pt idx="23">
                  <c:v>46266</c:v>
                </c:pt>
                <c:pt idx="24">
                  <c:v>46255</c:v>
                </c:pt>
                <c:pt idx="25">
                  <c:v>46250</c:v>
                </c:pt>
                <c:pt idx="26">
                  <c:v>46249</c:v>
                </c:pt>
                <c:pt idx="27">
                  <c:v>46249</c:v>
                </c:pt>
                <c:pt idx="28">
                  <c:v>46245</c:v>
                </c:pt>
                <c:pt idx="29">
                  <c:v>46231</c:v>
                </c:pt>
                <c:pt idx="30">
                  <c:v>46226</c:v>
                </c:pt>
                <c:pt idx="31">
                  <c:v>46225</c:v>
                </c:pt>
                <c:pt idx="32">
                  <c:v>46225</c:v>
                </c:pt>
                <c:pt idx="33">
                  <c:v>46222</c:v>
                </c:pt>
                <c:pt idx="34">
                  <c:v>46220</c:v>
                </c:pt>
                <c:pt idx="35">
                  <c:v>46218</c:v>
                </c:pt>
                <c:pt idx="36">
                  <c:v>46217</c:v>
                </c:pt>
                <c:pt idx="37">
                  <c:v>46214</c:v>
                </c:pt>
                <c:pt idx="38">
                  <c:v>46201</c:v>
                </c:pt>
                <c:pt idx="39">
                  <c:v>46194</c:v>
                </c:pt>
                <c:pt idx="40">
                  <c:v>46191</c:v>
                </c:pt>
                <c:pt idx="41">
                  <c:v>46188</c:v>
                </c:pt>
                <c:pt idx="42">
                  <c:v>46185</c:v>
                </c:pt>
                <c:pt idx="43">
                  <c:v>46184</c:v>
                </c:pt>
                <c:pt idx="44">
                  <c:v>46184</c:v>
                </c:pt>
                <c:pt idx="45">
                  <c:v>46183</c:v>
                </c:pt>
                <c:pt idx="46">
                  <c:v>46182</c:v>
                </c:pt>
                <c:pt idx="47">
                  <c:v>46173</c:v>
                </c:pt>
                <c:pt idx="48">
                  <c:v>46172</c:v>
                </c:pt>
                <c:pt idx="49">
                  <c:v>46168</c:v>
                </c:pt>
                <c:pt idx="50">
                  <c:v>46164</c:v>
                </c:pt>
                <c:pt idx="51">
                  <c:v>46163</c:v>
                </c:pt>
                <c:pt idx="52">
                  <c:v>46159</c:v>
                </c:pt>
                <c:pt idx="53">
                  <c:v>46157</c:v>
                </c:pt>
                <c:pt idx="54">
                  <c:v>46157</c:v>
                </c:pt>
                <c:pt idx="55">
                  <c:v>46153</c:v>
                </c:pt>
                <c:pt idx="56">
                  <c:v>46140</c:v>
                </c:pt>
                <c:pt idx="57">
                  <c:v>46139</c:v>
                </c:pt>
                <c:pt idx="58">
                  <c:v>46134</c:v>
                </c:pt>
                <c:pt idx="59">
                  <c:v>46131</c:v>
                </c:pt>
                <c:pt idx="60">
                  <c:v>46130</c:v>
                </c:pt>
                <c:pt idx="61">
                  <c:v>46129</c:v>
                </c:pt>
                <c:pt idx="62">
                  <c:v>46129</c:v>
                </c:pt>
                <c:pt idx="63">
                  <c:v>46127</c:v>
                </c:pt>
                <c:pt idx="64">
                  <c:v>46127</c:v>
                </c:pt>
                <c:pt idx="65">
                  <c:v>46125</c:v>
                </c:pt>
                <c:pt idx="66">
                  <c:v>46124</c:v>
                </c:pt>
                <c:pt idx="67">
                  <c:v>46121</c:v>
                </c:pt>
                <c:pt idx="68">
                  <c:v>46113</c:v>
                </c:pt>
                <c:pt idx="69">
                  <c:v>46111</c:v>
                </c:pt>
                <c:pt idx="70">
                  <c:v>46110</c:v>
                </c:pt>
                <c:pt idx="71">
                  <c:v>46107</c:v>
                </c:pt>
                <c:pt idx="72">
                  <c:v>46107</c:v>
                </c:pt>
                <c:pt idx="73">
                  <c:v>46106</c:v>
                </c:pt>
                <c:pt idx="74">
                  <c:v>46104</c:v>
                </c:pt>
                <c:pt idx="75">
                  <c:v>46102</c:v>
                </c:pt>
                <c:pt idx="76">
                  <c:v>46099</c:v>
                </c:pt>
                <c:pt idx="77">
                  <c:v>46096</c:v>
                </c:pt>
                <c:pt idx="78">
                  <c:v>46093</c:v>
                </c:pt>
                <c:pt idx="79">
                  <c:v>46092</c:v>
                </c:pt>
                <c:pt idx="80">
                  <c:v>46083</c:v>
                </c:pt>
                <c:pt idx="81">
                  <c:v>46080</c:v>
                </c:pt>
                <c:pt idx="82">
                  <c:v>46077</c:v>
                </c:pt>
                <c:pt idx="83">
                  <c:v>46076</c:v>
                </c:pt>
                <c:pt idx="84">
                  <c:v>46074</c:v>
                </c:pt>
                <c:pt idx="85">
                  <c:v>46071</c:v>
                </c:pt>
                <c:pt idx="86">
                  <c:v>46068</c:v>
                </c:pt>
                <c:pt idx="87">
                  <c:v>46066</c:v>
                </c:pt>
                <c:pt idx="88">
                  <c:v>46065</c:v>
                </c:pt>
                <c:pt idx="89">
                  <c:v>46064</c:v>
                </c:pt>
                <c:pt idx="90">
                  <c:v>46064</c:v>
                </c:pt>
                <c:pt idx="91">
                  <c:v>46063</c:v>
                </c:pt>
                <c:pt idx="92">
                  <c:v>46062</c:v>
                </c:pt>
                <c:pt idx="93">
                  <c:v>46061</c:v>
                </c:pt>
                <c:pt idx="94">
                  <c:v>46059</c:v>
                </c:pt>
                <c:pt idx="95">
                  <c:v>46057</c:v>
                </c:pt>
                <c:pt idx="96">
                  <c:v>46056</c:v>
                </c:pt>
                <c:pt idx="97">
                  <c:v>46055</c:v>
                </c:pt>
                <c:pt idx="98">
                  <c:v>46054</c:v>
                </c:pt>
                <c:pt idx="99">
                  <c:v>46052</c:v>
                </c:pt>
                <c:pt idx="100">
                  <c:v>46051</c:v>
                </c:pt>
                <c:pt idx="101">
                  <c:v>46048</c:v>
                </c:pt>
                <c:pt idx="102">
                  <c:v>46047</c:v>
                </c:pt>
                <c:pt idx="103">
                  <c:v>46044</c:v>
                </c:pt>
                <c:pt idx="104">
                  <c:v>46041</c:v>
                </c:pt>
                <c:pt idx="105">
                  <c:v>46040</c:v>
                </c:pt>
                <c:pt idx="106">
                  <c:v>46039</c:v>
                </c:pt>
                <c:pt idx="107">
                  <c:v>46037</c:v>
                </c:pt>
                <c:pt idx="108">
                  <c:v>46035</c:v>
                </c:pt>
                <c:pt idx="109">
                  <c:v>46034</c:v>
                </c:pt>
                <c:pt idx="110">
                  <c:v>46033</c:v>
                </c:pt>
                <c:pt idx="111">
                  <c:v>46033</c:v>
                </c:pt>
                <c:pt idx="112">
                  <c:v>46032</c:v>
                </c:pt>
                <c:pt idx="113">
                  <c:v>46030</c:v>
                </c:pt>
                <c:pt idx="114">
                  <c:v>46016</c:v>
                </c:pt>
                <c:pt idx="115">
                  <c:v>46014</c:v>
                </c:pt>
                <c:pt idx="116">
                  <c:v>46012</c:v>
                </c:pt>
                <c:pt idx="117">
                  <c:v>46012</c:v>
                </c:pt>
                <c:pt idx="118">
                  <c:v>46011</c:v>
                </c:pt>
                <c:pt idx="119">
                  <c:v>46008</c:v>
                </c:pt>
                <c:pt idx="120">
                  <c:v>46006</c:v>
                </c:pt>
                <c:pt idx="121">
                  <c:v>46002</c:v>
                </c:pt>
                <c:pt idx="122">
                  <c:v>45996</c:v>
                </c:pt>
                <c:pt idx="123">
                  <c:v>45995</c:v>
                </c:pt>
                <c:pt idx="124">
                  <c:v>45994</c:v>
                </c:pt>
                <c:pt idx="125">
                  <c:v>45990</c:v>
                </c:pt>
                <c:pt idx="126">
                  <c:v>45989</c:v>
                </c:pt>
                <c:pt idx="127">
                  <c:v>45988</c:v>
                </c:pt>
                <c:pt idx="128">
                  <c:v>45988</c:v>
                </c:pt>
                <c:pt idx="129">
                  <c:v>45987</c:v>
                </c:pt>
                <c:pt idx="130">
                  <c:v>45985</c:v>
                </c:pt>
                <c:pt idx="131">
                  <c:v>45983</c:v>
                </c:pt>
                <c:pt idx="132">
                  <c:v>45982</c:v>
                </c:pt>
                <c:pt idx="133">
                  <c:v>45978</c:v>
                </c:pt>
                <c:pt idx="134">
                  <c:v>45976</c:v>
                </c:pt>
                <c:pt idx="135">
                  <c:v>45972</c:v>
                </c:pt>
                <c:pt idx="136">
                  <c:v>45960</c:v>
                </c:pt>
                <c:pt idx="137">
                  <c:v>45956</c:v>
                </c:pt>
                <c:pt idx="138">
                  <c:v>45955</c:v>
                </c:pt>
                <c:pt idx="139">
                  <c:v>45953</c:v>
                </c:pt>
                <c:pt idx="140">
                  <c:v>45952</c:v>
                </c:pt>
                <c:pt idx="141">
                  <c:v>45951</c:v>
                </c:pt>
                <c:pt idx="142">
                  <c:v>45947</c:v>
                </c:pt>
                <c:pt idx="143">
                  <c:v>45945</c:v>
                </c:pt>
                <c:pt idx="144">
                  <c:v>45943</c:v>
                </c:pt>
                <c:pt idx="145">
                  <c:v>45941</c:v>
                </c:pt>
                <c:pt idx="146">
                  <c:v>45941</c:v>
                </c:pt>
                <c:pt idx="147">
                  <c:v>45937</c:v>
                </c:pt>
                <c:pt idx="148">
                  <c:v>45936</c:v>
                </c:pt>
                <c:pt idx="149">
                  <c:v>45934</c:v>
                </c:pt>
                <c:pt idx="150">
                  <c:v>45930</c:v>
                </c:pt>
                <c:pt idx="151">
                  <c:v>45929</c:v>
                </c:pt>
                <c:pt idx="152">
                  <c:v>45928</c:v>
                </c:pt>
                <c:pt idx="153">
                  <c:v>45919</c:v>
                </c:pt>
                <c:pt idx="154">
                  <c:v>45917</c:v>
                </c:pt>
                <c:pt idx="155">
                  <c:v>45916</c:v>
                </c:pt>
                <c:pt idx="156">
                  <c:v>45915</c:v>
                </c:pt>
                <c:pt idx="157">
                  <c:v>45911</c:v>
                </c:pt>
                <c:pt idx="158">
                  <c:v>45905</c:v>
                </c:pt>
                <c:pt idx="159">
                  <c:v>45903</c:v>
                </c:pt>
                <c:pt idx="160">
                  <c:v>45893</c:v>
                </c:pt>
                <c:pt idx="161">
                  <c:v>45892</c:v>
                </c:pt>
                <c:pt idx="162">
                  <c:v>45888</c:v>
                </c:pt>
                <c:pt idx="163">
                  <c:v>45884</c:v>
                </c:pt>
                <c:pt idx="164">
                  <c:v>45877</c:v>
                </c:pt>
                <c:pt idx="165">
                  <c:v>45874</c:v>
                </c:pt>
                <c:pt idx="166">
                  <c:v>45873</c:v>
                </c:pt>
                <c:pt idx="167">
                  <c:v>45867</c:v>
                </c:pt>
                <c:pt idx="168">
                  <c:v>45862</c:v>
                </c:pt>
                <c:pt idx="169">
                  <c:v>45838</c:v>
                </c:pt>
                <c:pt idx="170">
                  <c:v>45836</c:v>
                </c:pt>
                <c:pt idx="171">
                  <c:v>45789</c:v>
                </c:pt>
                <c:pt idx="172">
                  <c:v>45786</c:v>
                </c:pt>
                <c:pt idx="173">
                  <c:v>45729</c:v>
                </c:pt>
                <c:pt idx="174">
                  <c:v>45684</c:v>
                </c:pt>
                <c:pt idx="175">
                  <c:v>45682</c:v>
                </c:pt>
                <c:pt idx="176">
                  <c:v>45652</c:v>
                </c:pt>
                <c:pt idx="177">
                  <c:v>45649</c:v>
                </c:pt>
                <c:pt idx="178">
                  <c:v>45648</c:v>
                </c:pt>
                <c:pt idx="179">
                  <c:v>45614</c:v>
                </c:pt>
                <c:pt idx="180">
                  <c:v>45613</c:v>
                </c:pt>
                <c:pt idx="181">
                  <c:v>45592</c:v>
                </c:pt>
                <c:pt idx="182">
                  <c:v>45591</c:v>
                </c:pt>
                <c:pt idx="183">
                  <c:v>45514</c:v>
                </c:pt>
                <c:pt idx="184">
                  <c:v>45513</c:v>
                </c:pt>
                <c:pt idx="185">
                  <c:v>45335</c:v>
                </c:pt>
                <c:pt idx="186">
                  <c:v>45334</c:v>
                </c:pt>
                <c:pt idx="187">
                  <c:v>45291</c:v>
                </c:pt>
                <c:pt idx="188">
                  <c:v>45291</c:v>
                </c:pt>
              </c:numCache>
            </c:numRef>
          </c:cat>
          <c:val>
            <c:numRef>
              <c:f>LSP管理!$G$3:$G$193</c:f>
              <c:numCache>
                <c:formatCode>General</c:formatCode>
                <c:ptCount val="191"/>
                <c:pt idx="0">
                  <c:v>1759</c:v>
                </c:pt>
                <c:pt idx="1">
                  <c:v>1759</c:v>
                </c:pt>
                <c:pt idx="2">
                  <c:v>1759</c:v>
                </c:pt>
                <c:pt idx="3">
                  <c:v>1759</c:v>
                </c:pt>
                <c:pt idx="4">
                  <c:v>1759</c:v>
                </c:pt>
                <c:pt idx="5">
                  <c:v>1759</c:v>
                </c:pt>
                <c:pt idx="6">
                  <c:v>1759</c:v>
                </c:pt>
                <c:pt idx="7">
                  <c:v>1759</c:v>
                </c:pt>
                <c:pt idx="8">
                  <c:v>1759</c:v>
                </c:pt>
                <c:pt idx="9">
                  <c:v>1759</c:v>
                </c:pt>
                <c:pt idx="10">
                  <c:v>1759</c:v>
                </c:pt>
                <c:pt idx="11">
                  <c:v>1759</c:v>
                </c:pt>
                <c:pt idx="12">
                  <c:v>1759</c:v>
                </c:pt>
                <c:pt idx="13">
                  <c:v>1759</c:v>
                </c:pt>
                <c:pt idx="14">
                  <c:v>1759</c:v>
                </c:pt>
                <c:pt idx="15">
                  <c:v>1759</c:v>
                </c:pt>
                <c:pt idx="16">
                  <c:v>1759</c:v>
                </c:pt>
                <c:pt idx="17">
                  <c:v>1759</c:v>
                </c:pt>
                <c:pt idx="18">
                  <c:v>1754</c:v>
                </c:pt>
                <c:pt idx="19">
                  <c:v>1753</c:v>
                </c:pt>
                <c:pt idx="20">
                  <c:v>1748</c:v>
                </c:pt>
                <c:pt idx="21">
                  <c:v>1747</c:v>
                </c:pt>
                <c:pt idx="22">
                  <c:v>1737</c:v>
                </c:pt>
                <c:pt idx="23">
                  <c:v>1732</c:v>
                </c:pt>
                <c:pt idx="24">
                  <c:v>1727</c:v>
                </c:pt>
                <c:pt idx="25">
                  <c:v>1726</c:v>
                </c:pt>
                <c:pt idx="26">
                  <c:v>1725</c:v>
                </c:pt>
                <c:pt idx="27">
                  <c:v>1724</c:v>
                </c:pt>
                <c:pt idx="28">
                  <c:v>1723</c:v>
                </c:pt>
                <c:pt idx="29">
                  <c:v>1713</c:v>
                </c:pt>
                <c:pt idx="30">
                  <c:v>1708</c:v>
                </c:pt>
                <c:pt idx="31">
                  <c:v>1707</c:v>
                </c:pt>
                <c:pt idx="32">
                  <c:v>1706</c:v>
                </c:pt>
                <c:pt idx="33">
                  <c:v>1701</c:v>
                </c:pt>
                <c:pt idx="34">
                  <c:v>1700</c:v>
                </c:pt>
                <c:pt idx="35">
                  <c:v>1695</c:v>
                </c:pt>
                <c:pt idx="36">
                  <c:v>1694</c:v>
                </c:pt>
                <c:pt idx="37">
                  <c:v>1689</c:v>
                </c:pt>
                <c:pt idx="38">
                  <c:v>1684</c:v>
                </c:pt>
                <c:pt idx="39">
                  <c:v>1679</c:v>
                </c:pt>
                <c:pt idx="40">
                  <c:v>1677</c:v>
                </c:pt>
                <c:pt idx="41">
                  <c:v>1676</c:v>
                </c:pt>
                <c:pt idx="42">
                  <c:v>1675</c:v>
                </c:pt>
                <c:pt idx="43">
                  <c:v>1670</c:v>
                </c:pt>
                <c:pt idx="44">
                  <c:v>1655</c:v>
                </c:pt>
                <c:pt idx="45">
                  <c:v>1650</c:v>
                </c:pt>
                <c:pt idx="46">
                  <c:v>1645</c:v>
                </c:pt>
                <c:pt idx="47">
                  <c:v>1640</c:v>
                </c:pt>
                <c:pt idx="48">
                  <c:v>1635</c:v>
                </c:pt>
                <c:pt idx="49">
                  <c:v>1630</c:v>
                </c:pt>
                <c:pt idx="50">
                  <c:v>1625</c:v>
                </c:pt>
                <c:pt idx="51">
                  <c:v>1624</c:v>
                </c:pt>
                <c:pt idx="52">
                  <c:v>1623</c:v>
                </c:pt>
                <c:pt idx="53">
                  <c:v>1622</c:v>
                </c:pt>
                <c:pt idx="54">
                  <c:v>1621</c:v>
                </c:pt>
                <c:pt idx="55">
                  <c:v>1616</c:v>
                </c:pt>
                <c:pt idx="56">
                  <c:v>1611</c:v>
                </c:pt>
                <c:pt idx="57">
                  <c:v>1571</c:v>
                </c:pt>
                <c:pt idx="58">
                  <c:v>1551</c:v>
                </c:pt>
                <c:pt idx="59">
                  <c:v>1550</c:v>
                </c:pt>
                <c:pt idx="60">
                  <c:v>1549</c:v>
                </c:pt>
                <c:pt idx="61">
                  <c:v>1544</c:v>
                </c:pt>
                <c:pt idx="62">
                  <c:v>1543</c:v>
                </c:pt>
                <c:pt idx="63">
                  <c:v>1538</c:v>
                </c:pt>
                <c:pt idx="64">
                  <c:v>1537</c:v>
                </c:pt>
                <c:pt idx="65">
                  <c:v>1497</c:v>
                </c:pt>
                <c:pt idx="66">
                  <c:v>1492</c:v>
                </c:pt>
                <c:pt idx="67">
                  <c:v>1462</c:v>
                </c:pt>
                <c:pt idx="68">
                  <c:v>1457</c:v>
                </c:pt>
                <c:pt idx="69">
                  <c:v>1452</c:v>
                </c:pt>
                <c:pt idx="70">
                  <c:v>1447</c:v>
                </c:pt>
                <c:pt idx="71">
                  <c:v>1446</c:v>
                </c:pt>
                <c:pt idx="72">
                  <c:v>1201</c:v>
                </c:pt>
                <c:pt idx="73">
                  <c:v>1196</c:v>
                </c:pt>
                <c:pt idx="74">
                  <c:v>1191</c:v>
                </c:pt>
                <c:pt idx="75">
                  <c:v>1186</c:v>
                </c:pt>
                <c:pt idx="76">
                  <c:v>1185</c:v>
                </c:pt>
                <c:pt idx="77">
                  <c:v>1184</c:v>
                </c:pt>
                <c:pt idx="78">
                  <c:v>1183</c:v>
                </c:pt>
                <c:pt idx="79">
                  <c:v>1133</c:v>
                </c:pt>
                <c:pt idx="80">
                  <c:v>1123</c:v>
                </c:pt>
                <c:pt idx="81">
                  <c:v>1113</c:v>
                </c:pt>
                <c:pt idx="82">
                  <c:v>1078</c:v>
                </c:pt>
                <c:pt idx="83">
                  <c:v>1038</c:v>
                </c:pt>
                <c:pt idx="84">
                  <c:v>1023</c:v>
                </c:pt>
                <c:pt idx="85">
                  <c:v>1022</c:v>
                </c:pt>
                <c:pt idx="86">
                  <c:v>1021</c:v>
                </c:pt>
                <c:pt idx="87">
                  <c:v>1020</c:v>
                </c:pt>
                <c:pt idx="88">
                  <c:v>990</c:v>
                </c:pt>
                <c:pt idx="89">
                  <c:v>980</c:v>
                </c:pt>
                <c:pt idx="90">
                  <c:v>970</c:v>
                </c:pt>
                <c:pt idx="91">
                  <c:v>965</c:v>
                </c:pt>
                <c:pt idx="92">
                  <c:v>920</c:v>
                </c:pt>
                <c:pt idx="93">
                  <c:v>895</c:v>
                </c:pt>
                <c:pt idx="94">
                  <c:v>865</c:v>
                </c:pt>
                <c:pt idx="95">
                  <c:v>860</c:v>
                </c:pt>
                <c:pt idx="96">
                  <c:v>855</c:v>
                </c:pt>
                <c:pt idx="97">
                  <c:v>850</c:v>
                </c:pt>
                <c:pt idx="98">
                  <c:v>840</c:v>
                </c:pt>
                <c:pt idx="99">
                  <c:v>835</c:v>
                </c:pt>
                <c:pt idx="100">
                  <c:v>830</c:v>
                </c:pt>
                <c:pt idx="101">
                  <c:v>825</c:v>
                </c:pt>
                <c:pt idx="102">
                  <c:v>795</c:v>
                </c:pt>
                <c:pt idx="103">
                  <c:v>793</c:v>
                </c:pt>
                <c:pt idx="104">
                  <c:v>783</c:v>
                </c:pt>
                <c:pt idx="105">
                  <c:v>782</c:v>
                </c:pt>
                <c:pt idx="106">
                  <c:v>777</c:v>
                </c:pt>
                <c:pt idx="107">
                  <c:v>772</c:v>
                </c:pt>
                <c:pt idx="108">
                  <c:v>771</c:v>
                </c:pt>
                <c:pt idx="109">
                  <c:v>731</c:v>
                </c:pt>
                <c:pt idx="110">
                  <c:v>711</c:v>
                </c:pt>
                <c:pt idx="111">
                  <c:v>681</c:v>
                </c:pt>
                <c:pt idx="112">
                  <c:v>641</c:v>
                </c:pt>
                <c:pt idx="113">
                  <c:v>631</c:v>
                </c:pt>
                <c:pt idx="114">
                  <c:v>626</c:v>
                </c:pt>
                <c:pt idx="115">
                  <c:v>621</c:v>
                </c:pt>
                <c:pt idx="116">
                  <c:v>616</c:v>
                </c:pt>
                <c:pt idx="117">
                  <c:v>615</c:v>
                </c:pt>
                <c:pt idx="118">
                  <c:v>610</c:v>
                </c:pt>
                <c:pt idx="119">
                  <c:v>605</c:v>
                </c:pt>
                <c:pt idx="120">
                  <c:v>604</c:v>
                </c:pt>
                <c:pt idx="121">
                  <c:v>603</c:v>
                </c:pt>
                <c:pt idx="122">
                  <c:v>593</c:v>
                </c:pt>
                <c:pt idx="123">
                  <c:v>548</c:v>
                </c:pt>
                <c:pt idx="124">
                  <c:v>543</c:v>
                </c:pt>
                <c:pt idx="125">
                  <c:v>538</c:v>
                </c:pt>
                <c:pt idx="126">
                  <c:v>533</c:v>
                </c:pt>
                <c:pt idx="127">
                  <c:v>528</c:v>
                </c:pt>
                <c:pt idx="128">
                  <c:v>510</c:v>
                </c:pt>
                <c:pt idx="129">
                  <c:v>505</c:v>
                </c:pt>
                <c:pt idx="130">
                  <c:v>500</c:v>
                </c:pt>
                <c:pt idx="131">
                  <c:v>495</c:v>
                </c:pt>
                <c:pt idx="132">
                  <c:v>490</c:v>
                </c:pt>
                <c:pt idx="133">
                  <c:v>489</c:v>
                </c:pt>
                <c:pt idx="134">
                  <c:v>488</c:v>
                </c:pt>
                <c:pt idx="135">
                  <c:v>487</c:v>
                </c:pt>
                <c:pt idx="136">
                  <c:v>467</c:v>
                </c:pt>
                <c:pt idx="137">
                  <c:v>457</c:v>
                </c:pt>
                <c:pt idx="138">
                  <c:v>452</c:v>
                </c:pt>
                <c:pt idx="139">
                  <c:v>447</c:v>
                </c:pt>
                <c:pt idx="140">
                  <c:v>442</c:v>
                </c:pt>
                <c:pt idx="141">
                  <c:v>441</c:v>
                </c:pt>
                <c:pt idx="142">
                  <c:v>431</c:v>
                </c:pt>
                <c:pt idx="143">
                  <c:v>430</c:v>
                </c:pt>
                <c:pt idx="144">
                  <c:v>429</c:v>
                </c:pt>
                <c:pt idx="145">
                  <c:v>424</c:v>
                </c:pt>
                <c:pt idx="146">
                  <c:v>409</c:v>
                </c:pt>
                <c:pt idx="147">
                  <c:v>404</c:v>
                </c:pt>
                <c:pt idx="148">
                  <c:v>369</c:v>
                </c:pt>
                <c:pt idx="149">
                  <c:v>364</c:v>
                </c:pt>
                <c:pt idx="150">
                  <c:v>359</c:v>
                </c:pt>
                <c:pt idx="151">
                  <c:v>314</c:v>
                </c:pt>
                <c:pt idx="152">
                  <c:v>269</c:v>
                </c:pt>
                <c:pt idx="153">
                  <c:v>234</c:v>
                </c:pt>
                <c:pt idx="154">
                  <c:v>229</c:v>
                </c:pt>
                <c:pt idx="155">
                  <c:v>224</c:v>
                </c:pt>
                <c:pt idx="156">
                  <c:v>223</c:v>
                </c:pt>
                <c:pt idx="157">
                  <c:v>222</c:v>
                </c:pt>
                <c:pt idx="158">
                  <c:v>217</c:v>
                </c:pt>
                <c:pt idx="159">
                  <c:v>212</c:v>
                </c:pt>
                <c:pt idx="160">
                  <c:v>207</c:v>
                </c:pt>
                <c:pt idx="161">
                  <c:v>202</c:v>
                </c:pt>
                <c:pt idx="162">
                  <c:v>197</c:v>
                </c:pt>
                <c:pt idx="163">
                  <c:v>196</c:v>
                </c:pt>
                <c:pt idx="164">
                  <c:v>195</c:v>
                </c:pt>
                <c:pt idx="165">
                  <c:v>185</c:v>
                </c:pt>
                <c:pt idx="166">
                  <c:v>180</c:v>
                </c:pt>
                <c:pt idx="167">
                  <c:v>175</c:v>
                </c:pt>
                <c:pt idx="168">
                  <c:v>170</c:v>
                </c:pt>
                <c:pt idx="169">
                  <c:v>165</c:v>
                </c:pt>
                <c:pt idx="170">
                  <c:v>160</c:v>
                </c:pt>
                <c:pt idx="171">
                  <c:v>155</c:v>
                </c:pt>
                <c:pt idx="172">
                  <c:v>150</c:v>
                </c:pt>
                <c:pt idx="173">
                  <c:v>145</c:v>
                </c:pt>
                <c:pt idx="174">
                  <c:v>135</c:v>
                </c:pt>
                <c:pt idx="175">
                  <c:v>130</c:v>
                </c:pt>
                <c:pt idx="176">
                  <c:v>125</c:v>
                </c:pt>
                <c:pt idx="177">
                  <c:v>120</c:v>
                </c:pt>
                <c:pt idx="178">
                  <c:v>115</c:v>
                </c:pt>
                <c:pt idx="179">
                  <c:v>110</c:v>
                </c:pt>
                <c:pt idx="180">
                  <c:v>105</c:v>
                </c:pt>
                <c:pt idx="181">
                  <c:v>100</c:v>
                </c:pt>
                <c:pt idx="182">
                  <c:v>95</c:v>
                </c:pt>
                <c:pt idx="183">
                  <c:v>90</c:v>
                </c:pt>
                <c:pt idx="184">
                  <c:v>85</c:v>
                </c:pt>
                <c:pt idx="185">
                  <c:v>80</c:v>
                </c:pt>
                <c:pt idx="186">
                  <c:v>60</c:v>
                </c:pt>
                <c:pt idx="187">
                  <c:v>40</c:v>
                </c:pt>
                <c:pt idx="18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C6-45A9-B97A-AA030EA73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891912"/>
        <c:axId val="1672893960"/>
      </c:lineChart>
      <c:dateAx>
        <c:axId val="16728919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893960"/>
        <c:crosses val="autoZero"/>
        <c:auto val="1"/>
        <c:lblOffset val="100"/>
        <c:baseTimeUnit val="days"/>
      </c:dateAx>
      <c:valAx>
        <c:axId val="167289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89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8-461F-B660-0BDA03762F6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8-461F-B660-0BDA03762F6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18-461F-B660-0BDA03762F6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18-461F-B660-0BDA03762F60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18-461F-B660-0BDA03762F60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62-4AB5-ADE5-A50E50F4B1E7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A0-4ADD-A9F7-0824580C47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LSP管理!$I$4:$I$10</c:f>
              <c:strCache>
                <c:ptCount val="7"/>
                <c:pt idx="0">
                  <c:v>JAL国内線</c:v>
                </c:pt>
                <c:pt idx="1">
                  <c:v>JAL海外線</c:v>
                </c:pt>
                <c:pt idx="2">
                  <c:v>JALカード</c:v>
                </c:pt>
                <c:pt idx="3">
                  <c:v>JALモバイル</c:v>
                </c:pt>
                <c:pt idx="4">
                  <c:v>JAL Wellness &amp; Travel</c:v>
                </c:pt>
                <c:pt idx="5">
                  <c:v>JALマイレージパーク</c:v>
                </c:pt>
                <c:pt idx="6">
                  <c:v>その他</c:v>
                </c:pt>
              </c:strCache>
            </c:strRef>
          </c:cat>
          <c:val>
            <c:numRef>
              <c:f>LSP管理!$J$4:$J$10</c:f>
              <c:numCache>
                <c:formatCode>General</c:formatCode>
                <c:ptCount val="7"/>
                <c:pt idx="0">
                  <c:v>1175</c:v>
                </c:pt>
                <c:pt idx="1">
                  <c:v>70</c:v>
                </c:pt>
                <c:pt idx="2">
                  <c:v>175</c:v>
                </c:pt>
                <c:pt idx="3">
                  <c:v>14</c:v>
                </c:pt>
                <c:pt idx="4">
                  <c:v>14</c:v>
                </c:pt>
                <c:pt idx="5">
                  <c:v>18</c:v>
                </c:pt>
                <c:pt idx="6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D-462F-BD32-268DA33B78D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581025</xdr:colOff>
      <xdr:row>5</xdr:row>
      <xdr:rowOff>171450</xdr:rowOff>
    </xdr:from>
    <xdr:to>
      <xdr:col>30</xdr:col>
      <xdr:colOff>314325</xdr:colOff>
      <xdr:row>34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A04E5EE-4757-8234-C506-EE0B165F0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35</xdr:row>
      <xdr:rowOff>38100</xdr:rowOff>
    </xdr:from>
    <xdr:to>
      <xdr:col>30</xdr:col>
      <xdr:colOff>447675</xdr:colOff>
      <xdr:row>66</xdr:row>
      <xdr:rowOff>123825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10DFCD8-99C7-CF66-0DDE-A0384978B924}"/>
            </a:ext>
            <a:ext uri="{147F2762-F138-4A5C-976F-8EAC2B608ADB}">
              <a16:predDERef xmlns:a16="http://schemas.microsoft.com/office/drawing/2014/main" pred="{6A04E5EE-4757-8234-C506-EE0B165F0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438150</xdr:colOff>
      <xdr:row>5</xdr:row>
      <xdr:rowOff>228600</xdr:rowOff>
    </xdr:from>
    <xdr:to>
      <xdr:col>45</xdr:col>
      <xdr:colOff>257175</xdr:colOff>
      <xdr:row>34</xdr:row>
      <xdr:rowOff>38100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29FFF0CC-EA42-9F62-271D-ADDE663DD2D5}"/>
            </a:ext>
            <a:ext uri="{147F2762-F138-4A5C-976F-8EAC2B608ADB}">
              <a16:predDERef xmlns:a16="http://schemas.microsoft.com/office/drawing/2014/main" pred="{A10DFCD8-99C7-CF66-0DDE-A0384978B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466725</xdr:colOff>
      <xdr:row>35</xdr:row>
      <xdr:rowOff>9525</xdr:rowOff>
    </xdr:from>
    <xdr:to>
      <xdr:col>45</xdr:col>
      <xdr:colOff>285750</xdr:colOff>
      <xdr:row>66</xdr:row>
      <xdr:rowOff>104775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A15BB0AB-FD27-E7A4-6433-F6FEB730F69C}"/>
            </a:ext>
            <a:ext uri="{147F2762-F138-4A5C-976F-8EAC2B608ADB}">
              <a16:predDERef xmlns:a16="http://schemas.microsoft.com/office/drawing/2014/main" pred="{29FFF0CC-EA42-9F62-271D-ADDE663DD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200025</xdr:colOff>
      <xdr:row>69</xdr:row>
      <xdr:rowOff>76200</xdr:rowOff>
    </xdr:from>
    <xdr:to>
      <xdr:col>25</xdr:col>
      <xdr:colOff>152400</xdr:colOff>
      <xdr:row>93</xdr:row>
      <xdr:rowOff>38100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8A5E2F2-E672-39CC-B034-15DEE95B2E7E}"/>
            </a:ext>
            <a:ext uri="{147F2762-F138-4A5C-976F-8EAC2B608ADB}">
              <a16:predDERef xmlns:a16="http://schemas.microsoft.com/office/drawing/2014/main" pred="{A15BB0AB-FD27-E7A4-6433-F6FEB730F69C}"/>
            </a:ext>
          </a:extLst>
        </xdr:cNvPr>
        <xdr:cNvSpPr txBox="1"/>
      </xdr:nvSpPr>
      <xdr:spPr>
        <a:xfrm>
          <a:off x="11268075" y="12534900"/>
          <a:ext cx="9039225" cy="407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＃ダッシュボード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・獲得マイル構成内訳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　・マイルの内訳はもっと細かく。既存のエクセルの計算式を参考にして。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　・</a:t>
          </a:r>
          <a:r>
            <a:rPr lang="en-US" sz="1100">
              <a:latin typeface="+mn-lt"/>
              <a:ea typeface="+mn-lt"/>
              <a:cs typeface="+mn-lt"/>
            </a:rPr>
            <a:t>JAL</a:t>
          </a:r>
          <a:r>
            <a:rPr lang="ja-JP" altLang="en-US" sz="1100">
              <a:latin typeface="+mn-lt"/>
              <a:ea typeface="+mn-lt"/>
              <a:cs typeface="+mn-lt"/>
            </a:rPr>
            <a:t>チケット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SUMIFS(H3:H30001, B3:B30001, "*JL*")+SUMIFS(H12:H30001, B12:B30001, "*NU*")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　　・ＪＡＬ</a:t>
          </a:r>
          <a:r>
            <a:rPr lang="ja-JP" altLang="en-US" sz="1100">
              <a:latin typeface="+mn-lt"/>
              <a:ea typeface="+mn-lt"/>
              <a:cs typeface="+mn-lt"/>
            </a:rPr>
            <a:t>カード</a:t>
          </a:r>
          <a:r>
            <a:rPr lang="en-US" sz="1100">
              <a:latin typeface="+mn-lt"/>
              <a:ea typeface="+mn-lt"/>
              <a:cs typeface="+mn-lt"/>
            </a:rPr>
            <a:t>ＴＯＫＹＵＰＯＩＮＴＣｌｕｂＱ　=SUMIFS(H12:H30001, B12:B30001, "*ＣｌｕｂＱ*")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　　・ＪＡＬ</a:t>
          </a:r>
          <a:r>
            <a:rPr lang="ja-JP" altLang="en-US" sz="1100">
              <a:latin typeface="+mn-lt"/>
              <a:ea typeface="+mn-lt"/>
              <a:cs typeface="+mn-lt"/>
            </a:rPr>
            <a:t>カード入会搭乗ボーナス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SUMIFS(H12:H30001, B12:B30001, "*ＪＡＬ</a:t>
          </a:r>
          <a:r>
            <a:rPr lang="ja-JP" altLang="en-US" sz="1100">
              <a:latin typeface="+mn-lt"/>
              <a:ea typeface="+mn-lt"/>
              <a:cs typeface="+mn-lt"/>
            </a:rPr>
            <a:t>カード入会搭乗ボーナス*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  <a:p>
          <a:pPr marL="0" indent="0" algn="l"/>
          <a:endParaRPr lang="en-US" altLang="ja-JP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　・ふるさと納税マイル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SUMIFS(H12:H30001, B12:B30001, "*</a:t>
          </a:r>
          <a:r>
            <a:rPr lang="ja-JP" altLang="en-US" sz="1100">
              <a:latin typeface="+mn-lt"/>
              <a:ea typeface="+mn-lt"/>
              <a:cs typeface="+mn-lt"/>
            </a:rPr>
            <a:t>ふるさと納税マイル*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  <a:p>
          <a:pPr marL="0" indent="0" algn="l"/>
          <a:endParaRPr lang="en-US" altLang="ja-JP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　・</a:t>
          </a:r>
          <a:r>
            <a:rPr lang="en-US" sz="1100">
              <a:latin typeface="+mn-lt"/>
              <a:ea typeface="+mn-lt"/>
              <a:cs typeface="+mn-lt"/>
            </a:rPr>
            <a:t>ＪＡＬ　ＷＥＬＬＮＥＳＳ＆ＴＲＡＶＥＬ　=SUMIFS(H12:H30001, B12:B30001, "*ＷＥＬＬＮＥＳＳ*")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　　・ＪＭＢ</a:t>
          </a:r>
          <a:r>
            <a:rPr lang="ja-JP" altLang="en-US" sz="1100">
              <a:latin typeface="+mn-lt"/>
              <a:ea typeface="+mn-lt"/>
              <a:cs typeface="+mn-lt"/>
            </a:rPr>
            <a:t>アプリ	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SUMIFS(H12:H30001, B12:B30001, "*ＪＭＢ</a:t>
          </a:r>
          <a:r>
            <a:rPr lang="ja-JP" altLang="en-US" sz="1100">
              <a:latin typeface="+mn-lt"/>
              <a:ea typeface="+mn-lt"/>
              <a:cs typeface="+mn-lt"/>
            </a:rPr>
            <a:t>アプリ*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  <a:p>
          <a:pPr marL="0" indent="0" algn="l"/>
          <a:endParaRPr lang="en-US" altLang="ja-JP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　・</a:t>
          </a:r>
          <a:r>
            <a:rPr lang="en-US" sz="1100">
              <a:latin typeface="+mn-lt"/>
              <a:ea typeface="+mn-lt"/>
              <a:cs typeface="+mn-lt"/>
            </a:rPr>
            <a:t>ＪＡＬ</a:t>
          </a:r>
          <a:r>
            <a:rPr lang="ja-JP" altLang="en-US" sz="1100">
              <a:latin typeface="+mn-lt"/>
              <a:ea typeface="+mn-lt"/>
              <a:cs typeface="+mn-lt"/>
            </a:rPr>
            <a:t>国内線特典航空券交換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SUMIFS(H12:H30001, B12:B30001, "*ＪＡＬ</a:t>
          </a:r>
          <a:r>
            <a:rPr lang="ja-JP" altLang="en-US" sz="1100">
              <a:latin typeface="+mn-lt"/>
              <a:ea typeface="+mn-lt"/>
              <a:cs typeface="+mn-lt"/>
            </a:rPr>
            <a:t>国内線特典航空券交換*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  <a:p>
          <a:pPr marL="0" indent="0" algn="l"/>
          <a:endParaRPr lang="en-US" altLang="ja-JP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　・特典交換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SUMIFS(H12:H30001, B12:B30001, "*</a:t>
          </a:r>
          <a:r>
            <a:rPr lang="ja-JP" altLang="en-US" sz="1100">
              <a:latin typeface="+mn-lt"/>
              <a:ea typeface="+mn-lt"/>
              <a:cs typeface="+mn-lt"/>
            </a:rPr>
            <a:t>特典交換*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123825</xdr:colOff>
      <xdr:row>132</xdr:row>
      <xdr:rowOff>114300</xdr:rowOff>
    </xdr:from>
    <xdr:to>
      <xdr:col>39</xdr:col>
      <xdr:colOff>323850</xdr:colOff>
      <xdr:row>166</xdr:row>
      <xdr:rowOff>76200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4053569E-31C2-6D3E-B151-B0A18C9B1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132</xdr:row>
      <xdr:rowOff>85725</xdr:rowOff>
    </xdr:from>
    <xdr:to>
      <xdr:col>20</xdr:col>
      <xdr:colOff>238125</xdr:colOff>
      <xdr:row>167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76D068C-9877-DB65-0655-F730DCA159C5}"/>
            </a:ext>
            <a:ext uri="{147F2762-F138-4A5C-976F-8EAC2B608ADB}">
              <a16:predDERef xmlns:a16="http://schemas.microsoft.com/office/drawing/2014/main" pred="{4053569E-31C2-6D3E-B151-B0A18C9B1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447675</xdr:colOff>
      <xdr:row>105</xdr:row>
      <xdr:rowOff>133350</xdr:rowOff>
    </xdr:from>
    <xdr:to>
      <xdr:col>14</xdr:col>
      <xdr:colOff>209550</xdr:colOff>
      <xdr:row>121</xdr:row>
      <xdr:rowOff>57150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81CA56C-D4CB-92C3-9696-50BD0DC2E2E9}"/>
            </a:ext>
            <a:ext uri="{147F2762-F138-4A5C-976F-8EAC2B608ADB}">
              <a16:predDERef xmlns:a16="http://schemas.microsoft.com/office/drawing/2014/main" pred="{376D068C-9877-DB65-0655-F730DCA159C5}"/>
            </a:ext>
          </a:extLst>
        </xdr:cNvPr>
        <xdr:cNvSpPr txBox="1"/>
      </xdr:nvSpPr>
      <xdr:spPr>
        <a:xfrm>
          <a:off x="11153775" y="3962400"/>
          <a:ext cx="7896225" cy="297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・内訳は下記を参考に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・</a:t>
          </a:r>
          <a:r>
            <a:rPr lang="en-US" sz="1100">
              <a:latin typeface="+mn-lt"/>
              <a:ea typeface="+mn-lt"/>
              <a:cs typeface="+mn-lt"/>
            </a:rPr>
            <a:t>JAL</a:t>
          </a:r>
          <a:r>
            <a:rPr lang="ja-JP" altLang="en-US" sz="1100">
              <a:latin typeface="+mn-lt"/>
              <a:ea typeface="+mn-lt"/>
              <a:cs typeface="+mn-lt"/>
            </a:rPr>
            <a:t>国内線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SUMIFS(F3:F30058,D3:D30058, "*JAL</a:t>
          </a:r>
          <a:r>
            <a:rPr lang="ja-JP" altLang="en-US" sz="1100">
              <a:latin typeface="+mn-lt"/>
              <a:ea typeface="+mn-lt"/>
              <a:cs typeface="+mn-lt"/>
            </a:rPr>
            <a:t>国内線*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  <a:p>
          <a:pPr marL="0" indent="0" algn="l"/>
          <a:endParaRPr lang="en-US" altLang="ja-JP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・</a:t>
          </a:r>
          <a:r>
            <a:rPr lang="en-US" sz="1100">
              <a:latin typeface="+mn-lt"/>
              <a:ea typeface="+mn-lt"/>
              <a:cs typeface="+mn-lt"/>
            </a:rPr>
            <a:t>JAL</a:t>
          </a:r>
          <a:r>
            <a:rPr lang="ja-JP" altLang="en-US" sz="1100">
              <a:latin typeface="+mn-lt"/>
              <a:ea typeface="+mn-lt"/>
              <a:cs typeface="+mn-lt"/>
            </a:rPr>
            <a:t>海外線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SUMIFS(F3:F30058,D3:D30058, "*JAL</a:t>
          </a:r>
          <a:r>
            <a:rPr lang="ja-JP" altLang="en-US" sz="1100">
              <a:latin typeface="+mn-lt"/>
              <a:ea typeface="+mn-lt"/>
              <a:cs typeface="+mn-lt"/>
            </a:rPr>
            <a:t>国際線*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  <a:p>
          <a:pPr marL="0" indent="0" algn="l"/>
          <a:endParaRPr lang="en-US" altLang="ja-JP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・</a:t>
          </a:r>
          <a:r>
            <a:rPr lang="en-US" sz="1100">
              <a:latin typeface="+mn-lt"/>
              <a:ea typeface="+mn-lt"/>
              <a:cs typeface="+mn-lt"/>
            </a:rPr>
            <a:t>JAL</a:t>
          </a:r>
          <a:r>
            <a:rPr lang="ja-JP" altLang="en-US" sz="1100">
              <a:latin typeface="+mn-lt"/>
              <a:ea typeface="+mn-lt"/>
              <a:cs typeface="+mn-lt"/>
            </a:rPr>
            <a:t>カード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SUMIFS(F3:F30058,D3:D30058, "*JAL</a:t>
          </a:r>
          <a:r>
            <a:rPr lang="ja-JP" altLang="en-US" sz="1100">
              <a:latin typeface="+mn-lt"/>
              <a:ea typeface="+mn-lt"/>
              <a:cs typeface="+mn-lt"/>
            </a:rPr>
            <a:t>カード*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  <a:p>
          <a:pPr marL="0" indent="0" algn="l"/>
          <a:endParaRPr lang="en-US" altLang="ja-JP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・</a:t>
          </a:r>
          <a:r>
            <a:rPr lang="en-US" sz="1100">
              <a:latin typeface="+mn-lt"/>
              <a:ea typeface="+mn-lt"/>
              <a:cs typeface="+mn-lt"/>
            </a:rPr>
            <a:t>JAL</a:t>
          </a:r>
          <a:r>
            <a:rPr lang="ja-JP" altLang="en-US" sz="1100">
              <a:latin typeface="+mn-lt"/>
              <a:ea typeface="+mn-lt"/>
              <a:cs typeface="+mn-lt"/>
            </a:rPr>
            <a:t>モバイル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SUMIFS(F3:F30058,D3:D30058, "*JAL</a:t>
          </a:r>
          <a:r>
            <a:rPr lang="ja-JP" altLang="en-US" sz="1100">
              <a:latin typeface="+mn-lt"/>
              <a:ea typeface="+mn-lt"/>
              <a:cs typeface="+mn-lt"/>
            </a:rPr>
            <a:t>モバイル*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  <a:p>
          <a:pPr marL="0" indent="0" algn="l"/>
          <a:endParaRPr lang="en-US" altLang="ja-JP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・</a:t>
          </a:r>
          <a:r>
            <a:rPr lang="en-US" sz="1100">
              <a:latin typeface="+mn-lt"/>
              <a:ea typeface="+mn-lt"/>
              <a:cs typeface="+mn-lt"/>
            </a:rPr>
            <a:t>JAL Wellness &amp; Travel　=SUMIFS(F3:F30058,D3:D30058, "*JAL Wellness &amp; Travel*")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　・JAL</a:t>
          </a:r>
          <a:r>
            <a:rPr lang="ja-JP" altLang="en-US" sz="1100">
              <a:latin typeface="+mn-lt"/>
              <a:ea typeface="+mn-lt"/>
              <a:cs typeface="+mn-lt"/>
            </a:rPr>
            <a:t>マイレージパーク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SUMIFS(F3:F30058,D3:D30058, "*JAL</a:t>
          </a:r>
          <a:r>
            <a:rPr lang="ja-JP" altLang="en-US" sz="1100">
              <a:latin typeface="+mn-lt"/>
              <a:ea typeface="+mn-lt"/>
              <a:cs typeface="+mn-lt"/>
            </a:rPr>
            <a:t>マイレージパーク*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  <a:p>
          <a:pPr marL="0" indent="0" algn="l"/>
          <a:endParaRPr lang="en-US" altLang="ja-JP" sz="1100">
            <a:latin typeface="+mn-lt"/>
            <a:ea typeface="+mn-lt"/>
            <a:cs typeface="+mn-lt"/>
          </a:endParaRPr>
        </a:p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　・その他　</a:t>
          </a:r>
          <a:r>
            <a:rPr lang="en-US" altLang="ja-JP" sz="1100">
              <a:latin typeface="+mn-lt"/>
              <a:ea typeface="+mn-lt"/>
              <a:cs typeface="+mn-lt"/>
            </a:rPr>
            <a:t>=</a:t>
          </a:r>
          <a:r>
            <a:rPr lang="en-US" sz="1100">
              <a:latin typeface="+mn-lt"/>
              <a:ea typeface="+mn-lt"/>
              <a:cs typeface="+mn-lt"/>
            </a:rPr>
            <a:t>SUMIFS(F3:F30058,D3:D30058, "*</a:t>
          </a:r>
          <a:r>
            <a:rPr lang="ja-JP" altLang="en-US" sz="1100">
              <a:latin typeface="+mn-lt"/>
              <a:ea typeface="+mn-lt"/>
              <a:cs typeface="+mn-lt"/>
            </a:rPr>
            <a:t>その他*</a:t>
          </a:r>
          <a:r>
            <a:rPr lang="en-US" altLang="ja-JP" sz="1100">
              <a:latin typeface="+mn-lt"/>
              <a:ea typeface="+mn-lt"/>
              <a:cs typeface="+mn-lt"/>
            </a:rPr>
            <a:t>")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CDC422-27B5-482E-BFE7-6645FF3F845A}" name="テーブル4" displayName="テーブル4" ref="A1:M263" totalsRowShown="0" headerRowDxfId="16" headerRowBorderDxfId="14" tableBorderDxfId="15" totalsRowBorderDxfId="13">
  <autoFilter ref="A1:M263" xr:uid="{3FCDC422-27B5-482E-BFE7-6645FF3F845A}">
    <filterColumn colId="11">
      <filters blank="1"/>
    </filterColumn>
  </autoFilter>
  <tableColumns count="13">
    <tableColumn id="1" xr3:uid="{25F04EEC-FD30-4680-810A-6A32107348BD}" name="#" dataDxfId="12"/>
    <tableColumn id="2" xr3:uid="{E936A600-BB79-446A-9797-5E2C4AB43B97}" name="日付" dataDxfId="11"/>
    <tableColumn id="3" xr3:uid="{22BA3FC0-09E7-4BFD-82DF-D13D8386E38F}" name="運航会社" dataDxfId="10"/>
    <tableColumn id="4" xr3:uid="{FDF8AA02-F760-4A21-B9F6-97DEDF7FA91F}" name="便名" dataDxfId="9"/>
    <tableColumn id="5" xr3:uid="{984B1821-BEF5-4BF3-8151-93A6A31F556D}" name="出発地" dataDxfId="8"/>
    <tableColumn id="6" xr3:uid="{23A86341-D05F-48E4-939E-7D98CD701977}" name="出発時刻" dataDxfId="7"/>
    <tableColumn id="7" xr3:uid="{753D86C9-84CB-4331-8E8B-6DF35ABF762A}" name="到着地" dataDxfId="6"/>
    <tableColumn id="8" xr3:uid="{30051E0D-C440-445A-9B95-9F60024EF38B}" name="到着時刻" dataDxfId="5"/>
    <tableColumn id="10" xr3:uid="{6E582BF1-96DE-4004-B779-7F513E45463F}" name="乗継時間" dataDxfId="4"/>
    <tableColumn id="11" xr3:uid="{7F0A06C9-1254-4C38-8EC5-81B7E7D0AD92}" name="予約" dataDxfId="3"/>
    <tableColumn id="12" xr3:uid="{389D55D0-BF72-46BB-97F1-30FCDAE59AD6}" name="料金" dataDxfId="2"/>
    <tableColumn id="9" xr3:uid="{5DDCE075-6FCF-4AA2-8A8E-B18AA970D9E3}" name="結果" dataDxfId="1"/>
    <tableColumn id="13" xr3:uid="{23056111-DB3E-41E0-B5B6-E78A8BBA3EB7}" name="列1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javascript:void(0);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javascript:void(0);" TargetMode="External"/><Relationship Id="rId107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95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javascript:void(0);" TargetMode="External"/><Relationship Id="rId85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119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09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javascript:void(0);" TargetMode="External"/><Relationship Id="rId110" Type="http://schemas.openxmlformats.org/officeDocument/2006/relationships/hyperlink" Target="javascript:void(0);" TargetMode="External"/><Relationship Id="rId115" Type="http://schemas.openxmlformats.org/officeDocument/2006/relationships/hyperlink" Target="javascript:void(0);" TargetMode="External"/><Relationship Id="rId131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199" Type="http://schemas.openxmlformats.org/officeDocument/2006/relationships/hyperlink" Target="javascript:void(0);" TargetMode="External"/><Relationship Id="rId203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105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189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179" Type="http://schemas.openxmlformats.org/officeDocument/2006/relationships/hyperlink" Target="javascript:void(0);" TargetMode="External"/><Relationship Id="rId195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drawing" Target="../drawings/drawing1.xml"/><Relationship Id="rId15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99" Type="http://schemas.openxmlformats.org/officeDocument/2006/relationships/hyperlink" Target="javascript:void(0);" TargetMode="External"/><Relationship Id="rId101" Type="http://schemas.openxmlformats.org/officeDocument/2006/relationships/hyperlink" Target="javascript:void(0);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169" Type="http://schemas.openxmlformats.org/officeDocument/2006/relationships/hyperlink" Target="javascript:void(0);" TargetMode="External"/><Relationship Id="rId185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80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javascript:void(0);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javascript:void(0);" TargetMode="External"/><Relationship Id="rId113" Type="http://schemas.openxmlformats.org/officeDocument/2006/relationships/hyperlink" Target="javascript:void(0);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103" Type="http://schemas.openxmlformats.org/officeDocument/2006/relationships/hyperlink" Target="javascript:void(0);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javascript:void(0);" TargetMode="External"/><Relationship Id="rId145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javascript:void(0);" TargetMode="External"/><Relationship Id="rId135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836D-5153-486D-8B76-48FAFDDE1EA1}">
  <dimension ref="A1:O871"/>
  <sheetViews>
    <sheetView workbookViewId="0">
      <pane xSplit="1" ySplit="3" topLeftCell="B850" activePane="bottomRight" state="frozen"/>
      <selection pane="bottomRight" activeCell="J873" sqref="J873"/>
      <selection pane="bottomLeft"/>
      <selection pane="topRight"/>
    </sheetView>
  </sheetViews>
  <sheetFormatPr defaultRowHeight="13.5"/>
  <cols>
    <col min="1" max="1" width="13.7109375" customWidth="1"/>
    <col min="2" max="2" width="30.140625" customWidth="1"/>
    <col min="3" max="11" width="12.85546875" customWidth="1"/>
    <col min="12" max="13" width="11.85546875" customWidth="1"/>
    <col min="14" max="14" width="32.42578125" customWidth="1"/>
    <col min="15" max="15" width="12.42578125" customWidth="1"/>
  </cols>
  <sheetData>
    <row r="1" spans="1:15">
      <c r="A1" s="66" t="s">
        <v>0</v>
      </c>
      <c r="B1" s="65" t="s">
        <v>1</v>
      </c>
      <c r="C1" s="65"/>
      <c r="D1" s="65"/>
      <c r="E1" s="65"/>
      <c r="F1" s="65"/>
      <c r="G1" s="64"/>
      <c r="H1" s="64" t="s">
        <v>2</v>
      </c>
      <c r="I1" s="64" t="s">
        <v>3</v>
      </c>
      <c r="J1" s="64" t="s">
        <v>4</v>
      </c>
      <c r="K1" s="65" t="s">
        <v>5</v>
      </c>
      <c r="L1" s="64"/>
      <c r="M1" s="64"/>
    </row>
    <row r="2" spans="1:15">
      <c r="A2" s="8">
        <v>42113</v>
      </c>
      <c r="B2" s="9" t="s">
        <v>6</v>
      </c>
      <c r="C2" s="3" t="s">
        <v>7</v>
      </c>
      <c r="D2" s="3"/>
      <c r="E2" s="3"/>
      <c r="F2" s="7"/>
      <c r="G2" s="74"/>
      <c r="H2" s="4">
        <v>2297</v>
      </c>
      <c r="I2" s="4"/>
      <c r="J2" s="36"/>
      <c r="K2" s="37"/>
      <c r="L2" s="74">
        <f>J2</f>
        <v>0</v>
      </c>
      <c r="M2" s="74">
        <f>K2</f>
        <v>0</v>
      </c>
    </row>
    <row r="3" spans="1:15">
      <c r="A3" s="8">
        <v>42116</v>
      </c>
      <c r="B3" s="9" t="s">
        <v>8</v>
      </c>
      <c r="C3" s="3" t="s">
        <v>9</v>
      </c>
      <c r="D3" s="3"/>
      <c r="E3" s="3"/>
      <c r="F3" s="7"/>
      <c r="G3" s="74"/>
      <c r="H3" s="4">
        <v>2297</v>
      </c>
      <c r="I3" s="4"/>
      <c r="J3" s="36"/>
      <c r="K3" s="37"/>
      <c r="L3" s="74">
        <f>J3+L2</f>
        <v>0</v>
      </c>
      <c r="M3" s="74">
        <f>K3+M2</f>
        <v>0</v>
      </c>
    </row>
    <row r="4" spans="1:15">
      <c r="A4" s="8">
        <v>45128</v>
      </c>
      <c r="B4" s="9" t="s">
        <v>10</v>
      </c>
      <c r="C4" s="3" t="s">
        <v>11</v>
      </c>
      <c r="D4" s="3"/>
      <c r="E4" s="3"/>
      <c r="F4" s="7"/>
      <c r="G4" s="74"/>
      <c r="H4" s="74">
        <v>984</v>
      </c>
      <c r="I4" s="4"/>
      <c r="J4" s="36"/>
      <c r="K4" s="37"/>
      <c r="L4" s="74">
        <f t="shared" ref="L4:L68" si="0">J4+L3</f>
        <v>0</v>
      </c>
      <c r="M4" s="74">
        <f t="shared" ref="M4:M68" si="1">K4+M3</f>
        <v>0</v>
      </c>
    </row>
    <row r="5" spans="1:15">
      <c r="A5" s="8">
        <v>45131</v>
      </c>
      <c r="B5" s="9" t="s">
        <v>12</v>
      </c>
      <c r="C5" s="3" t="s">
        <v>13</v>
      </c>
      <c r="D5" s="3"/>
      <c r="E5" s="3"/>
      <c r="F5" s="7"/>
      <c r="G5" s="74"/>
      <c r="H5" s="74">
        <v>567</v>
      </c>
      <c r="I5" s="4"/>
      <c r="J5" s="36"/>
      <c r="K5" s="37"/>
      <c r="L5" s="74">
        <f t="shared" si="0"/>
        <v>0</v>
      </c>
      <c r="M5" s="74">
        <f t="shared" si="1"/>
        <v>0</v>
      </c>
    </row>
    <row r="6" spans="1:15" ht="22.5">
      <c r="A6" s="8">
        <v>45165</v>
      </c>
      <c r="B6" s="9" t="s">
        <v>14</v>
      </c>
      <c r="C6" s="10" t="s">
        <v>15</v>
      </c>
      <c r="D6" s="3"/>
      <c r="E6" s="3"/>
      <c r="F6" s="7"/>
      <c r="G6" s="74"/>
      <c r="H6" s="4">
        <v>1111</v>
      </c>
      <c r="I6" s="4"/>
      <c r="J6" s="36"/>
      <c r="K6" s="37"/>
      <c r="L6" s="74">
        <f t="shared" si="0"/>
        <v>0</v>
      </c>
      <c r="M6" s="74">
        <f t="shared" si="1"/>
        <v>0</v>
      </c>
    </row>
    <row r="7" spans="1:15" ht="22.5">
      <c r="A7" s="8">
        <v>45175</v>
      </c>
      <c r="B7" s="9" t="s">
        <v>14</v>
      </c>
      <c r="C7" s="10" t="s">
        <v>15</v>
      </c>
      <c r="D7" s="3"/>
      <c r="E7" s="3"/>
      <c r="F7" s="7"/>
      <c r="G7" s="74"/>
      <c r="H7" s="4">
        <v>1111</v>
      </c>
      <c r="I7" s="4"/>
      <c r="J7" s="36"/>
      <c r="K7" s="37"/>
      <c r="L7" s="74">
        <f t="shared" si="0"/>
        <v>0</v>
      </c>
      <c r="M7" s="74">
        <f t="shared" si="1"/>
        <v>0</v>
      </c>
    </row>
    <row r="8" spans="1:15" ht="22.5">
      <c r="A8" s="8">
        <v>45331</v>
      </c>
      <c r="B8" s="9" t="s">
        <v>16</v>
      </c>
      <c r="C8" s="10" t="s">
        <v>17</v>
      </c>
      <c r="D8" s="3"/>
      <c r="E8" s="3"/>
      <c r="F8" s="7"/>
      <c r="G8" s="74"/>
      <c r="H8" s="4">
        <v>3831</v>
      </c>
      <c r="I8" s="4"/>
      <c r="J8" s="36"/>
      <c r="K8" s="37"/>
      <c r="L8" s="74">
        <f t="shared" si="0"/>
        <v>0</v>
      </c>
      <c r="M8" s="74">
        <f t="shared" si="1"/>
        <v>0</v>
      </c>
    </row>
    <row r="9" spans="1:15" ht="22.5">
      <c r="A9" s="8">
        <v>45333</v>
      </c>
      <c r="B9" s="9" t="s">
        <v>18</v>
      </c>
      <c r="C9" s="10" t="s">
        <v>19</v>
      </c>
      <c r="D9" s="3"/>
      <c r="E9" s="3"/>
      <c r="F9" s="7"/>
      <c r="G9" s="74"/>
      <c r="H9" s="4">
        <v>3831</v>
      </c>
      <c r="I9" s="4"/>
      <c r="J9" s="36"/>
      <c r="K9" s="37"/>
      <c r="L9" s="74">
        <f t="shared" si="0"/>
        <v>0</v>
      </c>
      <c r="M9" s="74">
        <v>0</v>
      </c>
    </row>
    <row r="10" spans="1:15">
      <c r="A10" s="5" t="s">
        <v>20</v>
      </c>
      <c r="B10" s="80" t="s">
        <v>21</v>
      </c>
      <c r="C10" s="81"/>
      <c r="D10" s="81"/>
      <c r="E10" s="81"/>
      <c r="F10" s="6" t="s">
        <v>20</v>
      </c>
      <c r="G10" s="1" t="s">
        <v>20</v>
      </c>
      <c r="H10" s="1" t="s">
        <v>20</v>
      </c>
      <c r="I10" s="2">
        <v>6265</v>
      </c>
      <c r="J10" s="38">
        <v>0</v>
      </c>
      <c r="K10" s="39">
        <v>0</v>
      </c>
      <c r="L10" s="74">
        <f t="shared" si="0"/>
        <v>0</v>
      </c>
      <c r="M10" s="74">
        <f t="shared" si="1"/>
        <v>0</v>
      </c>
    </row>
    <row r="11" spans="1:15">
      <c r="A11" s="27">
        <v>45511</v>
      </c>
      <c r="B11" s="1" t="s">
        <v>22</v>
      </c>
      <c r="C11" s="3" t="s">
        <v>13</v>
      </c>
      <c r="D11" s="3" t="s">
        <v>20</v>
      </c>
      <c r="E11" s="1" t="s">
        <v>20</v>
      </c>
      <c r="F11" s="74">
        <v>567</v>
      </c>
      <c r="G11" s="74">
        <v>0</v>
      </c>
      <c r="H11" s="74">
        <v>567</v>
      </c>
      <c r="I11" s="4">
        <v>6832</v>
      </c>
      <c r="J11" s="36">
        <v>0</v>
      </c>
      <c r="K11" s="36">
        <v>0</v>
      </c>
      <c r="L11" s="74">
        <f t="shared" si="0"/>
        <v>0</v>
      </c>
      <c r="M11" s="74">
        <f t="shared" si="1"/>
        <v>0</v>
      </c>
    </row>
    <row r="12" spans="1:15">
      <c r="A12" s="27">
        <v>45512</v>
      </c>
      <c r="B12" s="1" t="s">
        <v>23</v>
      </c>
      <c r="C12" s="3" t="s">
        <v>24</v>
      </c>
      <c r="D12" s="3" t="s">
        <v>20</v>
      </c>
      <c r="E12" s="1" t="s">
        <v>20</v>
      </c>
      <c r="F12" s="74">
        <v>567</v>
      </c>
      <c r="G12" s="74">
        <v>0</v>
      </c>
      <c r="H12" s="74">
        <v>567</v>
      </c>
      <c r="I12" s="4">
        <v>7399</v>
      </c>
      <c r="J12" s="36">
        <v>0</v>
      </c>
      <c r="K12" s="36">
        <v>0</v>
      </c>
      <c r="L12" s="74">
        <f t="shared" si="0"/>
        <v>0</v>
      </c>
      <c r="M12" s="74">
        <f t="shared" si="1"/>
        <v>0</v>
      </c>
      <c r="N12" t="s">
        <v>25</v>
      </c>
      <c r="O12" s="11">
        <f>SUMIFS(H2:H29999, B2:B29999, "*JL*")+SUMIFS(H11:H29999, B11:B29999, "*NU*")</f>
        <v>134537</v>
      </c>
    </row>
    <row r="13" spans="1:15">
      <c r="A13" s="27"/>
      <c r="B13" s="1"/>
      <c r="C13" s="3"/>
      <c r="D13" s="3"/>
      <c r="E13" s="1"/>
      <c r="F13" s="74"/>
      <c r="G13" s="74"/>
      <c r="H13" s="74"/>
      <c r="I13" s="4"/>
      <c r="J13" s="36"/>
      <c r="K13" s="36"/>
      <c r="L13" s="74"/>
      <c r="M13" s="74"/>
      <c r="N13" s="31" t="s">
        <v>26</v>
      </c>
      <c r="O13">
        <f>SUMIFS(H11:H29999, B11:B29999, "*ＣｌｕｂＱ*")</f>
        <v>64630</v>
      </c>
    </row>
    <row r="14" spans="1:15" ht="12.75" customHeight="1">
      <c r="A14" s="27">
        <v>45589</v>
      </c>
      <c r="B14" s="1" t="s">
        <v>27</v>
      </c>
      <c r="C14" s="3" t="s">
        <v>13</v>
      </c>
      <c r="D14" s="3" t="s">
        <v>20</v>
      </c>
      <c r="E14" s="1" t="s">
        <v>20</v>
      </c>
      <c r="F14" s="74">
        <v>567</v>
      </c>
      <c r="G14" s="74">
        <v>0</v>
      </c>
      <c r="H14" s="74">
        <v>567</v>
      </c>
      <c r="I14" s="4">
        <v>7966</v>
      </c>
      <c r="J14" s="36">
        <v>0</v>
      </c>
      <c r="K14" s="36">
        <v>0</v>
      </c>
      <c r="L14" s="74">
        <f>J14+L12</f>
        <v>0</v>
      </c>
      <c r="M14" s="74">
        <f>K14+M12</f>
        <v>0</v>
      </c>
      <c r="N14" t="s">
        <v>28</v>
      </c>
      <c r="O14">
        <f>SUMIFS(H11:H29999, B11:B29999, "*ＪＡＬカード入会搭乗ボーナス*")</f>
        <v>5000</v>
      </c>
    </row>
    <row r="15" spans="1:15">
      <c r="A15" s="27">
        <v>45590</v>
      </c>
      <c r="B15" s="1" t="s">
        <v>29</v>
      </c>
      <c r="C15" s="3" t="s">
        <v>24</v>
      </c>
      <c r="D15" s="3" t="s">
        <v>20</v>
      </c>
      <c r="E15" s="1" t="s">
        <v>20</v>
      </c>
      <c r="F15" s="74">
        <v>567</v>
      </c>
      <c r="G15" s="74">
        <v>0</v>
      </c>
      <c r="H15" s="74">
        <v>567</v>
      </c>
      <c r="I15" s="4">
        <v>8533</v>
      </c>
      <c r="J15" s="36">
        <v>0</v>
      </c>
      <c r="K15" s="36">
        <v>0</v>
      </c>
      <c r="L15" s="74">
        <f t="shared" si="0"/>
        <v>0</v>
      </c>
      <c r="M15" s="74">
        <f t="shared" si="1"/>
        <v>0</v>
      </c>
      <c r="N15" t="s">
        <v>30</v>
      </c>
      <c r="O15">
        <f>SUMIFS(H11:H29999, B11:B29999, "*ふるさと納税マイル*")</f>
        <v>2000</v>
      </c>
    </row>
    <row r="16" spans="1:15">
      <c r="A16" s="27">
        <v>45611</v>
      </c>
      <c r="B16" s="1" t="s">
        <v>31</v>
      </c>
      <c r="C16" s="3" t="s">
        <v>32</v>
      </c>
      <c r="D16" s="3" t="s">
        <v>20</v>
      </c>
      <c r="E16" s="1" t="s">
        <v>20</v>
      </c>
      <c r="F16" s="74">
        <v>482</v>
      </c>
      <c r="G16" s="74">
        <v>0</v>
      </c>
      <c r="H16" s="74">
        <v>482</v>
      </c>
      <c r="I16" s="4">
        <v>9015</v>
      </c>
      <c r="J16" s="36">
        <v>0</v>
      </c>
      <c r="K16" s="36">
        <v>0</v>
      </c>
      <c r="L16" s="74">
        <f t="shared" si="0"/>
        <v>0</v>
      </c>
      <c r="M16" s="74">
        <f t="shared" si="1"/>
        <v>0</v>
      </c>
      <c r="N16" s="31" t="s">
        <v>33</v>
      </c>
      <c r="O16">
        <f>SUMIFS(H11:H29999, B11:B29999, "*ＷＥＬＬＮＥＳＳ*")</f>
        <v>8056</v>
      </c>
    </row>
    <row r="17" spans="1:15">
      <c r="A17" s="27">
        <v>45612</v>
      </c>
      <c r="B17" s="1" t="s">
        <v>34</v>
      </c>
      <c r="C17" s="3" t="s">
        <v>35</v>
      </c>
      <c r="D17" s="3" t="s">
        <v>20</v>
      </c>
      <c r="E17" s="1" t="s">
        <v>20</v>
      </c>
      <c r="F17" s="74">
        <v>482</v>
      </c>
      <c r="G17" s="74">
        <v>0</v>
      </c>
      <c r="H17" s="74">
        <v>482</v>
      </c>
      <c r="I17" s="4">
        <v>9497</v>
      </c>
      <c r="J17" s="36">
        <v>0</v>
      </c>
      <c r="K17" s="36">
        <v>0</v>
      </c>
      <c r="L17" s="74">
        <f t="shared" si="0"/>
        <v>0</v>
      </c>
      <c r="M17" s="74">
        <f t="shared" si="1"/>
        <v>0</v>
      </c>
      <c r="N17" s="31" t="s">
        <v>36</v>
      </c>
      <c r="O17">
        <f>SUMIFS(H11:H29999, B11:B29999, "*ＪＭＢアプリ*")</f>
        <v>178</v>
      </c>
    </row>
    <row r="18" spans="1:15" ht="14.25" customHeight="1">
      <c r="A18" s="27">
        <v>45646</v>
      </c>
      <c r="B18" s="1" t="s">
        <v>31</v>
      </c>
      <c r="C18" s="3" t="s">
        <v>32</v>
      </c>
      <c r="D18" s="3" t="s">
        <v>20</v>
      </c>
      <c r="E18" s="1" t="s">
        <v>20</v>
      </c>
      <c r="F18" s="74">
        <v>438</v>
      </c>
      <c r="G18" s="74">
        <v>0</v>
      </c>
      <c r="H18" s="74">
        <v>438</v>
      </c>
      <c r="I18" s="4">
        <v>9935</v>
      </c>
      <c r="J18" s="36">
        <v>0</v>
      </c>
      <c r="K18" s="36">
        <v>0</v>
      </c>
      <c r="L18" s="74">
        <f t="shared" si="0"/>
        <v>0</v>
      </c>
      <c r="M18" s="74">
        <f t="shared" si="1"/>
        <v>0</v>
      </c>
      <c r="N18" s="31" t="s">
        <v>37</v>
      </c>
      <c r="O18">
        <f>SUMIFS(H11:H29999, B11:B29999, "*ＪＡＬ国内線特典航空券交換*")</f>
        <v>-35000</v>
      </c>
    </row>
    <row r="19" spans="1:15">
      <c r="A19" s="27">
        <v>45647</v>
      </c>
      <c r="B19" s="1" t="s">
        <v>38</v>
      </c>
      <c r="C19" s="3" t="s">
        <v>35</v>
      </c>
      <c r="D19" s="3" t="s">
        <v>20</v>
      </c>
      <c r="E19" s="1" t="s">
        <v>20</v>
      </c>
      <c r="F19" s="74">
        <v>482</v>
      </c>
      <c r="G19" s="74">
        <v>0</v>
      </c>
      <c r="H19" s="74">
        <v>482</v>
      </c>
      <c r="I19" s="4">
        <v>10417</v>
      </c>
      <c r="J19" s="36">
        <v>0</v>
      </c>
      <c r="K19" s="36">
        <v>0</v>
      </c>
      <c r="L19" s="74">
        <f t="shared" si="0"/>
        <v>0</v>
      </c>
      <c r="M19" s="74">
        <f t="shared" si="1"/>
        <v>0</v>
      </c>
      <c r="N19" s="31" t="s">
        <v>39</v>
      </c>
      <c r="O19">
        <f>SUMIFS(H11:H29999, B11:B29999, "*特典交換*")</f>
        <v>-3000</v>
      </c>
    </row>
    <row r="20" spans="1:15">
      <c r="A20" s="27">
        <v>45650</v>
      </c>
      <c r="B20" s="1" t="s">
        <v>40</v>
      </c>
      <c r="C20" s="3" t="s">
        <v>13</v>
      </c>
      <c r="D20" s="3" t="s">
        <v>20</v>
      </c>
      <c r="E20" s="1" t="s">
        <v>20</v>
      </c>
      <c r="F20" s="74">
        <v>425</v>
      </c>
      <c r="G20" s="74">
        <v>0</v>
      </c>
      <c r="H20" s="74">
        <v>425</v>
      </c>
      <c r="I20" s="4">
        <v>10842</v>
      </c>
      <c r="J20" s="36">
        <v>0</v>
      </c>
      <c r="K20" s="36">
        <v>0</v>
      </c>
      <c r="L20" s="74">
        <f t="shared" si="0"/>
        <v>0</v>
      </c>
      <c r="M20" s="74">
        <f t="shared" si="1"/>
        <v>0</v>
      </c>
      <c r="N20" s="31"/>
    </row>
    <row r="21" spans="1:15">
      <c r="A21" s="27">
        <v>45680</v>
      </c>
      <c r="B21" s="1" t="s">
        <v>41</v>
      </c>
      <c r="C21" s="1" t="s">
        <v>13</v>
      </c>
      <c r="D21" s="1" t="s">
        <v>42</v>
      </c>
      <c r="E21" s="1" t="s">
        <v>43</v>
      </c>
      <c r="F21" s="74">
        <v>624</v>
      </c>
      <c r="G21" s="74">
        <v>0</v>
      </c>
      <c r="H21" s="74">
        <v>624</v>
      </c>
      <c r="I21" s="4">
        <v>11466</v>
      </c>
      <c r="J21" s="36">
        <v>1648</v>
      </c>
      <c r="K21" s="36">
        <v>1</v>
      </c>
      <c r="L21" s="74">
        <f t="shared" si="0"/>
        <v>1648</v>
      </c>
      <c r="M21" s="74">
        <f t="shared" si="1"/>
        <v>1</v>
      </c>
      <c r="N21" s="31"/>
      <c r="O21">
        <f>SUM(O12:O18)</f>
        <v>179401</v>
      </c>
    </row>
    <row r="22" spans="1:15">
      <c r="A22" s="27">
        <v>45682</v>
      </c>
      <c r="B22" s="1" t="s">
        <v>44</v>
      </c>
      <c r="C22" s="1" t="s">
        <v>24</v>
      </c>
      <c r="D22" s="1" t="s">
        <v>42</v>
      </c>
      <c r="E22" s="1" t="s">
        <v>43</v>
      </c>
      <c r="F22" s="74">
        <v>624</v>
      </c>
      <c r="G22" s="74">
        <v>0</v>
      </c>
      <c r="H22" s="74">
        <v>624</v>
      </c>
      <c r="I22" s="4">
        <v>12090</v>
      </c>
      <c r="J22" s="36">
        <v>1648</v>
      </c>
      <c r="K22" s="36">
        <v>1</v>
      </c>
      <c r="L22" s="74">
        <f t="shared" si="0"/>
        <v>3296</v>
      </c>
      <c r="M22" s="74">
        <f t="shared" si="1"/>
        <v>2</v>
      </c>
    </row>
    <row r="23" spans="1:15">
      <c r="A23" s="27">
        <v>45727</v>
      </c>
      <c r="B23" s="1" t="s">
        <v>23</v>
      </c>
      <c r="C23" s="1" t="s">
        <v>24</v>
      </c>
      <c r="D23" s="1" t="s">
        <v>42</v>
      </c>
      <c r="E23" s="1" t="s">
        <v>43</v>
      </c>
      <c r="F23" s="74">
        <v>624</v>
      </c>
      <c r="G23" s="74">
        <v>0</v>
      </c>
      <c r="H23" s="74">
        <v>624</v>
      </c>
      <c r="I23" s="4">
        <v>12714</v>
      </c>
      <c r="J23" s="36">
        <v>1648</v>
      </c>
      <c r="K23" s="36">
        <v>1</v>
      </c>
      <c r="L23" s="74">
        <f t="shared" si="0"/>
        <v>4944</v>
      </c>
      <c r="M23" s="74">
        <f t="shared" si="1"/>
        <v>3</v>
      </c>
    </row>
    <row r="24" spans="1:15">
      <c r="A24" s="27">
        <v>45727</v>
      </c>
      <c r="B24" s="1" t="s">
        <v>12</v>
      </c>
      <c r="C24" s="1" t="s">
        <v>13</v>
      </c>
      <c r="D24" s="1" t="s">
        <v>42</v>
      </c>
      <c r="E24" s="1" t="s">
        <v>43</v>
      </c>
      <c r="F24" s="74">
        <v>624</v>
      </c>
      <c r="G24" s="74">
        <v>0</v>
      </c>
      <c r="H24" s="74">
        <v>624</v>
      </c>
      <c r="I24" s="4">
        <v>13338</v>
      </c>
      <c r="J24" s="36">
        <v>1648</v>
      </c>
      <c r="K24" s="36">
        <v>1</v>
      </c>
      <c r="L24" s="74">
        <f t="shared" si="0"/>
        <v>6592</v>
      </c>
      <c r="M24" s="74">
        <f t="shared" si="1"/>
        <v>4</v>
      </c>
    </row>
    <row r="25" spans="1:15">
      <c r="A25" s="27">
        <v>45784</v>
      </c>
      <c r="B25" s="1" t="s">
        <v>45</v>
      </c>
      <c r="C25" s="1" t="s">
        <v>13</v>
      </c>
      <c r="D25" s="1" t="s">
        <v>42</v>
      </c>
      <c r="E25" s="1" t="s">
        <v>43</v>
      </c>
      <c r="F25" s="74">
        <v>624</v>
      </c>
      <c r="G25" s="74">
        <v>0</v>
      </c>
      <c r="H25" s="74">
        <v>624</v>
      </c>
      <c r="I25" s="4">
        <v>13962</v>
      </c>
      <c r="J25" s="36">
        <v>1648</v>
      </c>
      <c r="K25" s="36">
        <v>1</v>
      </c>
      <c r="L25" s="74">
        <f t="shared" si="0"/>
        <v>8240</v>
      </c>
      <c r="M25" s="74">
        <f t="shared" si="1"/>
        <v>5</v>
      </c>
    </row>
    <row r="26" spans="1:15">
      <c r="A26" s="27">
        <v>45787</v>
      </c>
      <c r="B26" s="1" t="s">
        <v>46</v>
      </c>
      <c r="C26" s="1" t="s">
        <v>24</v>
      </c>
      <c r="D26" s="1" t="s">
        <v>42</v>
      </c>
      <c r="E26" s="1" t="s">
        <v>43</v>
      </c>
      <c r="F26" s="74">
        <v>624</v>
      </c>
      <c r="G26" s="74">
        <v>0</v>
      </c>
      <c r="H26" s="74">
        <v>624</v>
      </c>
      <c r="I26" s="4">
        <v>14586</v>
      </c>
      <c r="J26" s="36">
        <v>1648</v>
      </c>
      <c r="K26" s="36">
        <v>1</v>
      </c>
      <c r="L26" s="74">
        <f t="shared" si="0"/>
        <v>9888</v>
      </c>
      <c r="M26" s="74">
        <f t="shared" si="1"/>
        <v>6</v>
      </c>
    </row>
    <row r="27" spans="1:15">
      <c r="A27" s="27">
        <v>45834</v>
      </c>
      <c r="B27" s="1" t="s">
        <v>47</v>
      </c>
      <c r="C27" s="1" t="s">
        <v>13</v>
      </c>
      <c r="D27" s="1" t="s">
        <v>42</v>
      </c>
      <c r="E27" s="1" t="s">
        <v>43</v>
      </c>
      <c r="F27" s="74">
        <v>624</v>
      </c>
      <c r="G27" s="74">
        <v>0</v>
      </c>
      <c r="H27" s="74">
        <v>624</v>
      </c>
      <c r="I27" s="4">
        <v>15210</v>
      </c>
      <c r="J27" s="36">
        <v>1648</v>
      </c>
      <c r="K27" s="36">
        <v>1</v>
      </c>
      <c r="L27" s="74">
        <f t="shared" si="0"/>
        <v>11536</v>
      </c>
      <c r="M27" s="74">
        <f t="shared" si="1"/>
        <v>7</v>
      </c>
    </row>
    <row r="28" spans="1:15">
      <c r="A28" s="27">
        <v>45836</v>
      </c>
      <c r="B28" s="1" t="s">
        <v>48</v>
      </c>
      <c r="C28" s="1" t="s">
        <v>24</v>
      </c>
      <c r="D28" s="1" t="s">
        <v>42</v>
      </c>
      <c r="E28" s="1" t="s">
        <v>43</v>
      </c>
      <c r="F28" s="74">
        <v>624</v>
      </c>
      <c r="G28" s="74">
        <v>0</v>
      </c>
      <c r="H28" s="74">
        <v>624</v>
      </c>
      <c r="I28" s="4">
        <v>15834</v>
      </c>
      <c r="J28" s="36">
        <v>1648</v>
      </c>
      <c r="K28" s="36">
        <v>1</v>
      </c>
      <c r="L28" s="74">
        <f t="shared" si="0"/>
        <v>13184</v>
      </c>
      <c r="M28" s="74">
        <f t="shared" si="1"/>
        <v>8</v>
      </c>
    </row>
    <row r="29" spans="1:15">
      <c r="A29" s="27">
        <v>45840</v>
      </c>
      <c r="B29" s="76" t="s">
        <v>33</v>
      </c>
      <c r="C29" s="76"/>
      <c r="D29" s="76"/>
      <c r="E29" s="77"/>
      <c r="F29" s="74">
        <v>0</v>
      </c>
      <c r="G29" s="74">
        <v>17</v>
      </c>
      <c r="H29" s="74">
        <v>17</v>
      </c>
      <c r="I29" s="4">
        <v>15851</v>
      </c>
      <c r="J29" s="36">
        <v>0</v>
      </c>
      <c r="K29" s="36">
        <v>0</v>
      </c>
      <c r="L29" s="74">
        <f t="shared" si="0"/>
        <v>13184</v>
      </c>
      <c r="M29" s="74">
        <f t="shared" si="1"/>
        <v>8</v>
      </c>
    </row>
    <row r="30" spans="1:15">
      <c r="A30" s="27">
        <v>45841</v>
      </c>
      <c r="B30" s="76" t="s">
        <v>49</v>
      </c>
      <c r="C30" s="76"/>
      <c r="D30" s="76"/>
      <c r="E30" s="77"/>
      <c r="F30" s="74">
        <v>0</v>
      </c>
      <c r="G30" s="74">
        <v>1</v>
      </c>
      <c r="H30" s="74">
        <v>1</v>
      </c>
      <c r="I30" s="4">
        <v>15852</v>
      </c>
      <c r="J30" s="36">
        <v>0</v>
      </c>
      <c r="K30" s="36">
        <v>0</v>
      </c>
      <c r="L30" s="74">
        <f t="shared" si="0"/>
        <v>13184</v>
      </c>
      <c r="M30" s="74">
        <f t="shared" si="1"/>
        <v>8</v>
      </c>
    </row>
    <row r="31" spans="1:15">
      <c r="A31" s="27">
        <v>45841</v>
      </c>
      <c r="B31" s="76" t="s">
        <v>33</v>
      </c>
      <c r="C31" s="76"/>
      <c r="D31" s="76"/>
      <c r="E31" s="77"/>
      <c r="F31" s="74">
        <v>0</v>
      </c>
      <c r="G31" s="74">
        <v>17</v>
      </c>
      <c r="H31" s="74">
        <v>17</v>
      </c>
      <c r="I31" s="4">
        <v>15869</v>
      </c>
      <c r="J31" s="36">
        <v>0</v>
      </c>
      <c r="K31" s="36">
        <v>0</v>
      </c>
      <c r="L31" s="74">
        <f t="shared" si="0"/>
        <v>13184</v>
      </c>
      <c r="M31" s="74">
        <f t="shared" si="1"/>
        <v>8</v>
      </c>
    </row>
    <row r="32" spans="1:15">
      <c r="A32" s="27">
        <v>45842</v>
      </c>
      <c r="B32" s="76" t="s">
        <v>33</v>
      </c>
      <c r="C32" s="76"/>
      <c r="D32" s="76"/>
      <c r="E32" s="77"/>
      <c r="F32" s="74">
        <v>0</v>
      </c>
      <c r="G32" s="74">
        <v>9</v>
      </c>
      <c r="H32" s="74">
        <v>9</v>
      </c>
      <c r="I32" s="4">
        <v>15878</v>
      </c>
      <c r="J32" s="36">
        <v>0</v>
      </c>
      <c r="K32" s="36">
        <v>0</v>
      </c>
      <c r="L32" s="74">
        <f t="shared" si="0"/>
        <v>13184</v>
      </c>
      <c r="M32" s="74">
        <f t="shared" si="1"/>
        <v>8</v>
      </c>
    </row>
    <row r="33" spans="1:13">
      <c r="A33" s="27">
        <v>45843</v>
      </c>
      <c r="B33" s="76" t="s">
        <v>33</v>
      </c>
      <c r="C33" s="76"/>
      <c r="D33" s="76"/>
      <c r="E33" s="77"/>
      <c r="F33" s="74">
        <v>0</v>
      </c>
      <c r="G33" s="74">
        <v>9</v>
      </c>
      <c r="H33" s="74">
        <v>9</v>
      </c>
      <c r="I33" s="4">
        <v>15887</v>
      </c>
      <c r="J33" s="36">
        <v>0</v>
      </c>
      <c r="K33" s="36">
        <v>0</v>
      </c>
      <c r="L33" s="74">
        <f t="shared" si="0"/>
        <v>13184</v>
      </c>
      <c r="M33" s="74">
        <f t="shared" si="1"/>
        <v>8</v>
      </c>
    </row>
    <row r="34" spans="1:13">
      <c r="A34" s="27">
        <v>45844</v>
      </c>
      <c r="B34" s="76" t="s">
        <v>33</v>
      </c>
      <c r="C34" s="76"/>
      <c r="D34" s="76"/>
      <c r="E34" s="77"/>
      <c r="F34" s="74">
        <v>0</v>
      </c>
      <c r="G34" s="74">
        <v>40</v>
      </c>
      <c r="H34" s="74">
        <v>40</v>
      </c>
      <c r="I34" s="4">
        <v>15927</v>
      </c>
      <c r="J34" s="36">
        <v>0</v>
      </c>
      <c r="K34" s="36">
        <v>0</v>
      </c>
      <c r="L34" s="74">
        <f t="shared" si="0"/>
        <v>13184</v>
      </c>
      <c r="M34" s="74">
        <f t="shared" si="1"/>
        <v>8</v>
      </c>
    </row>
    <row r="35" spans="1:13">
      <c r="A35" s="27">
        <v>45845</v>
      </c>
      <c r="B35" s="76" t="s">
        <v>33</v>
      </c>
      <c r="C35" s="76"/>
      <c r="D35" s="76"/>
      <c r="E35" s="77"/>
      <c r="F35" s="74">
        <v>0</v>
      </c>
      <c r="G35" s="74">
        <v>8</v>
      </c>
      <c r="H35" s="74">
        <v>8</v>
      </c>
      <c r="I35" s="4">
        <v>15935</v>
      </c>
      <c r="J35" s="36">
        <v>0</v>
      </c>
      <c r="K35" s="36">
        <v>0</v>
      </c>
      <c r="L35" s="74">
        <f t="shared" si="0"/>
        <v>13184</v>
      </c>
      <c r="M35" s="74">
        <f t="shared" si="1"/>
        <v>8</v>
      </c>
    </row>
    <row r="36" spans="1:13">
      <c r="A36" s="27">
        <v>45846</v>
      </c>
      <c r="B36" s="76" t="s">
        <v>49</v>
      </c>
      <c r="C36" s="76"/>
      <c r="D36" s="76"/>
      <c r="E36" s="77"/>
      <c r="F36" s="74">
        <v>0</v>
      </c>
      <c r="G36" s="74">
        <v>1</v>
      </c>
      <c r="H36" s="74">
        <v>1</v>
      </c>
      <c r="I36" s="4">
        <v>15936</v>
      </c>
      <c r="J36" s="36">
        <v>0</v>
      </c>
      <c r="K36" s="36">
        <v>0</v>
      </c>
      <c r="L36" s="74">
        <f t="shared" si="0"/>
        <v>13184</v>
      </c>
      <c r="M36" s="74">
        <f t="shared" si="1"/>
        <v>8</v>
      </c>
    </row>
    <row r="37" spans="1:13">
      <c r="A37" s="27">
        <v>45846</v>
      </c>
      <c r="B37" s="76" t="s">
        <v>33</v>
      </c>
      <c r="C37" s="76"/>
      <c r="D37" s="76"/>
      <c r="E37" s="77"/>
      <c r="F37" s="74">
        <v>0</v>
      </c>
      <c r="G37" s="74">
        <v>8</v>
      </c>
      <c r="H37" s="74">
        <v>8</v>
      </c>
      <c r="I37" s="4">
        <v>15944</v>
      </c>
      <c r="J37" s="36">
        <v>0</v>
      </c>
      <c r="K37" s="36">
        <v>0</v>
      </c>
      <c r="L37" s="74">
        <f t="shared" si="0"/>
        <v>13184</v>
      </c>
      <c r="M37" s="74">
        <f t="shared" si="1"/>
        <v>8</v>
      </c>
    </row>
    <row r="38" spans="1:13">
      <c r="A38" s="27">
        <v>45847</v>
      </c>
      <c r="B38" s="76" t="s">
        <v>33</v>
      </c>
      <c r="C38" s="76"/>
      <c r="D38" s="76"/>
      <c r="E38" s="77"/>
      <c r="F38" s="74">
        <v>0</v>
      </c>
      <c r="G38" s="74">
        <v>8</v>
      </c>
      <c r="H38" s="74">
        <v>8</v>
      </c>
      <c r="I38" s="4">
        <v>15952</v>
      </c>
      <c r="J38" s="36">
        <v>0</v>
      </c>
      <c r="K38" s="36">
        <v>0</v>
      </c>
      <c r="L38" s="74">
        <f t="shared" si="0"/>
        <v>13184</v>
      </c>
      <c r="M38" s="74">
        <f t="shared" si="1"/>
        <v>8</v>
      </c>
    </row>
    <row r="39" spans="1:13">
      <c r="A39" s="27">
        <v>45848</v>
      </c>
      <c r="B39" s="76" t="s">
        <v>49</v>
      </c>
      <c r="C39" s="76"/>
      <c r="D39" s="76"/>
      <c r="E39" s="77"/>
      <c r="F39" s="74">
        <v>0</v>
      </c>
      <c r="G39" s="74">
        <v>1</v>
      </c>
      <c r="H39" s="74">
        <v>1</v>
      </c>
      <c r="I39" s="4">
        <v>15953</v>
      </c>
      <c r="J39" s="36">
        <v>0</v>
      </c>
      <c r="K39" s="36">
        <v>0</v>
      </c>
      <c r="L39" s="74">
        <f t="shared" si="0"/>
        <v>13184</v>
      </c>
      <c r="M39" s="74">
        <f t="shared" si="1"/>
        <v>8</v>
      </c>
    </row>
    <row r="40" spans="1:13">
      <c r="A40" s="27">
        <v>45848</v>
      </c>
      <c r="B40" s="76" t="s">
        <v>33</v>
      </c>
      <c r="C40" s="76"/>
      <c r="D40" s="76"/>
      <c r="E40" s="77"/>
      <c r="F40" s="74">
        <v>0</v>
      </c>
      <c r="G40" s="74">
        <v>7</v>
      </c>
      <c r="H40" s="74">
        <v>7</v>
      </c>
      <c r="I40" s="4">
        <v>15960</v>
      </c>
      <c r="J40" s="36">
        <v>0</v>
      </c>
      <c r="K40" s="36">
        <v>0</v>
      </c>
      <c r="L40" s="74">
        <f t="shared" si="0"/>
        <v>13184</v>
      </c>
      <c r="M40" s="74">
        <f t="shared" si="1"/>
        <v>8</v>
      </c>
    </row>
    <row r="41" spans="1:13">
      <c r="A41" s="27">
        <v>45849</v>
      </c>
      <c r="B41" s="76" t="s">
        <v>49</v>
      </c>
      <c r="C41" s="76"/>
      <c r="D41" s="76"/>
      <c r="E41" s="77"/>
      <c r="F41" s="74">
        <v>0</v>
      </c>
      <c r="G41" s="74">
        <v>1</v>
      </c>
      <c r="H41" s="74">
        <v>1</v>
      </c>
      <c r="I41" s="4">
        <v>15961</v>
      </c>
      <c r="J41" s="36">
        <v>0</v>
      </c>
      <c r="K41" s="36">
        <v>0</v>
      </c>
      <c r="L41" s="74">
        <f t="shared" si="0"/>
        <v>13184</v>
      </c>
      <c r="M41" s="74">
        <f t="shared" si="1"/>
        <v>8</v>
      </c>
    </row>
    <row r="42" spans="1:13">
      <c r="A42" s="27">
        <v>45849</v>
      </c>
      <c r="B42" s="76" t="s">
        <v>33</v>
      </c>
      <c r="C42" s="76"/>
      <c r="D42" s="76"/>
      <c r="E42" s="77"/>
      <c r="F42" s="74">
        <v>0</v>
      </c>
      <c r="G42" s="74">
        <v>9</v>
      </c>
      <c r="H42" s="74">
        <v>9</v>
      </c>
      <c r="I42" s="4">
        <v>15970</v>
      </c>
      <c r="J42" s="36">
        <v>0</v>
      </c>
      <c r="K42" s="36">
        <v>0</v>
      </c>
      <c r="L42" s="74">
        <f t="shared" si="0"/>
        <v>13184</v>
      </c>
      <c r="M42" s="74">
        <f t="shared" si="1"/>
        <v>8</v>
      </c>
    </row>
    <row r="43" spans="1:13">
      <c r="A43" s="27">
        <v>45850</v>
      </c>
      <c r="B43" s="76" t="s">
        <v>49</v>
      </c>
      <c r="C43" s="76"/>
      <c r="D43" s="76"/>
      <c r="E43" s="77"/>
      <c r="F43" s="74">
        <v>0</v>
      </c>
      <c r="G43" s="74">
        <v>1</v>
      </c>
      <c r="H43" s="74">
        <v>1</v>
      </c>
      <c r="I43" s="4">
        <v>15971</v>
      </c>
      <c r="J43" s="36">
        <v>0</v>
      </c>
      <c r="K43" s="36">
        <v>0</v>
      </c>
      <c r="L43" s="74">
        <f t="shared" si="0"/>
        <v>13184</v>
      </c>
      <c r="M43" s="74">
        <f t="shared" si="1"/>
        <v>8</v>
      </c>
    </row>
    <row r="44" spans="1:13">
      <c r="A44" s="27">
        <v>45850</v>
      </c>
      <c r="B44" s="76" t="s">
        <v>33</v>
      </c>
      <c r="C44" s="76"/>
      <c r="D44" s="76"/>
      <c r="E44" s="77"/>
      <c r="F44" s="74">
        <v>0</v>
      </c>
      <c r="G44" s="74">
        <v>8</v>
      </c>
      <c r="H44" s="74">
        <v>8</v>
      </c>
      <c r="I44" s="4">
        <v>15979</v>
      </c>
      <c r="J44" s="36">
        <v>0</v>
      </c>
      <c r="K44" s="36">
        <v>0</v>
      </c>
      <c r="L44" s="74">
        <f t="shared" si="0"/>
        <v>13184</v>
      </c>
      <c r="M44" s="74">
        <f t="shared" si="1"/>
        <v>8</v>
      </c>
    </row>
    <row r="45" spans="1:13">
      <c r="A45" s="27">
        <v>45851</v>
      </c>
      <c r="B45" s="76" t="s">
        <v>30</v>
      </c>
      <c r="C45" s="76"/>
      <c r="D45" s="76"/>
      <c r="E45" s="77"/>
      <c r="F45" s="74">
        <v>0</v>
      </c>
      <c r="G45" s="4">
        <v>2000</v>
      </c>
      <c r="H45" s="4">
        <v>2000</v>
      </c>
      <c r="I45" s="4">
        <v>17979</v>
      </c>
      <c r="J45" s="36">
        <v>0</v>
      </c>
      <c r="K45" s="36">
        <v>0</v>
      </c>
      <c r="L45" s="74">
        <f t="shared" si="0"/>
        <v>13184</v>
      </c>
      <c r="M45" s="74">
        <f t="shared" si="1"/>
        <v>8</v>
      </c>
    </row>
    <row r="46" spans="1:13">
      <c r="A46" s="27">
        <v>45851</v>
      </c>
      <c r="B46" s="76" t="s">
        <v>33</v>
      </c>
      <c r="C46" s="76"/>
      <c r="D46" s="76"/>
      <c r="E46" s="77"/>
      <c r="F46" s="74">
        <v>0</v>
      </c>
      <c r="G46" s="74">
        <v>37</v>
      </c>
      <c r="H46" s="74">
        <v>37</v>
      </c>
      <c r="I46" s="4">
        <v>18016</v>
      </c>
      <c r="J46" s="36">
        <v>0</v>
      </c>
      <c r="K46" s="36">
        <v>0</v>
      </c>
      <c r="L46" s="74">
        <f t="shared" si="0"/>
        <v>13184</v>
      </c>
      <c r="M46" s="74">
        <f t="shared" si="1"/>
        <v>8</v>
      </c>
    </row>
    <row r="47" spans="1:13">
      <c r="A47" s="27">
        <v>45852</v>
      </c>
      <c r="B47" s="76" t="s">
        <v>33</v>
      </c>
      <c r="C47" s="76"/>
      <c r="D47" s="76"/>
      <c r="E47" s="77"/>
      <c r="F47" s="74">
        <v>0</v>
      </c>
      <c r="G47" s="74">
        <v>8</v>
      </c>
      <c r="H47" s="74">
        <v>8</v>
      </c>
      <c r="I47" s="4">
        <v>18024</v>
      </c>
      <c r="J47" s="36">
        <v>0</v>
      </c>
      <c r="K47" s="36">
        <v>0</v>
      </c>
      <c r="L47" s="74">
        <f t="shared" si="0"/>
        <v>13184</v>
      </c>
      <c r="M47" s="74">
        <f t="shared" si="1"/>
        <v>8</v>
      </c>
    </row>
    <row r="48" spans="1:13">
      <c r="A48" s="27">
        <v>45853</v>
      </c>
      <c r="B48" s="76" t="s">
        <v>49</v>
      </c>
      <c r="C48" s="76"/>
      <c r="D48" s="76"/>
      <c r="E48" s="77"/>
      <c r="F48" s="74">
        <v>0</v>
      </c>
      <c r="G48" s="74">
        <v>1</v>
      </c>
      <c r="H48" s="74">
        <v>1</v>
      </c>
      <c r="I48" s="4">
        <v>18025</v>
      </c>
      <c r="J48" s="36">
        <v>0</v>
      </c>
      <c r="K48" s="36">
        <v>0</v>
      </c>
      <c r="L48" s="74">
        <f t="shared" si="0"/>
        <v>13184</v>
      </c>
      <c r="M48" s="74">
        <f t="shared" si="1"/>
        <v>8</v>
      </c>
    </row>
    <row r="49" spans="1:13">
      <c r="A49" s="27">
        <v>45853</v>
      </c>
      <c r="B49" s="76" t="s">
        <v>33</v>
      </c>
      <c r="C49" s="76"/>
      <c r="D49" s="76"/>
      <c r="E49" s="77"/>
      <c r="F49" s="74">
        <v>0</v>
      </c>
      <c r="G49" s="74">
        <v>8</v>
      </c>
      <c r="H49" s="74">
        <v>8</v>
      </c>
      <c r="I49" s="4">
        <v>18033</v>
      </c>
      <c r="J49" s="36">
        <v>0</v>
      </c>
      <c r="K49" s="36">
        <v>0</v>
      </c>
      <c r="L49" s="74">
        <f t="shared" si="0"/>
        <v>13184</v>
      </c>
      <c r="M49" s="74">
        <f t="shared" si="1"/>
        <v>8</v>
      </c>
    </row>
    <row r="50" spans="1:13">
      <c r="A50" s="27">
        <v>45854</v>
      </c>
      <c r="B50" s="76" t="s">
        <v>33</v>
      </c>
      <c r="C50" s="76"/>
      <c r="D50" s="76"/>
      <c r="E50" s="77"/>
      <c r="F50" s="74">
        <v>0</v>
      </c>
      <c r="G50" s="74">
        <v>6</v>
      </c>
      <c r="H50" s="74">
        <v>6</v>
      </c>
      <c r="I50" s="4">
        <v>18039</v>
      </c>
      <c r="J50" s="36">
        <v>0</v>
      </c>
      <c r="K50" s="36">
        <v>0</v>
      </c>
      <c r="L50" s="74">
        <f t="shared" si="0"/>
        <v>13184</v>
      </c>
      <c r="M50" s="74">
        <f t="shared" si="1"/>
        <v>8</v>
      </c>
    </row>
    <row r="51" spans="1:13">
      <c r="A51" s="27">
        <v>45855</v>
      </c>
      <c r="B51" s="76" t="s">
        <v>33</v>
      </c>
      <c r="C51" s="76"/>
      <c r="D51" s="76"/>
      <c r="E51" s="77"/>
      <c r="F51" s="74">
        <v>0</v>
      </c>
      <c r="G51" s="74">
        <v>7</v>
      </c>
      <c r="H51" s="74">
        <v>7</v>
      </c>
      <c r="I51" s="4">
        <v>18046</v>
      </c>
      <c r="J51" s="36">
        <v>0</v>
      </c>
      <c r="K51" s="36">
        <v>0</v>
      </c>
      <c r="L51" s="74">
        <f t="shared" si="0"/>
        <v>13184</v>
      </c>
      <c r="M51" s="74">
        <f t="shared" si="1"/>
        <v>8</v>
      </c>
    </row>
    <row r="52" spans="1:13">
      <c r="A52" s="27">
        <v>45856</v>
      </c>
      <c r="B52" s="76" t="s">
        <v>33</v>
      </c>
      <c r="C52" s="76"/>
      <c r="D52" s="76"/>
      <c r="E52" s="77"/>
      <c r="F52" s="74">
        <v>0</v>
      </c>
      <c r="G52" s="74">
        <v>10</v>
      </c>
      <c r="H52" s="74">
        <v>10</v>
      </c>
      <c r="I52" s="4">
        <v>18056</v>
      </c>
      <c r="J52" s="36">
        <v>0</v>
      </c>
      <c r="K52" s="36">
        <v>0</v>
      </c>
      <c r="L52" s="74">
        <f t="shared" si="0"/>
        <v>13184</v>
      </c>
      <c r="M52" s="74">
        <f t="shared" si="1"/>
        <v>8</v>
      </c>
    </row>
    <row r="53" spans="1:13">
      <c r="A53" s="27">
        <v>45857</v>
      </c>
      <c r="B53" s="76" t="s">
        <v>33</v>
      </c>
      <c r="C53" s="76"/>
      <c r="D53" s="76"/>
      <c r="E53" s="77"/>
      <c r="F53" s="74">
        <v>0</v>
      </c>
      <c r="G53" s="74">
        <v>7</v>
      </c>
      <c r="H53" s="74">
        <v>7</v>
      </c>
      <c r="I53" s="4">
        <v>18063</v>
      </c>
      <c r="J53" s="36">
        <v>0</v>
      </c>
      <c r="K53" s="36">
        <v>0</v>
      </c>
      <c r="L53" s="74">
        <f t="shared" si="0"/>
        <v>13184</v>
      </c>
      <c r="M53" s="74">
        <f t="shared" si="1"/>
        <v>8</v>
      </c>
    </row>
    <row r="54" spans="1:13">
      <c r="A54" s="27">
        <v>45858</v>
      </c>
      <c r="B54" s="76" t="s">
        <v>33</v>
      </c>
      <c r="C54" s="76"/>
      <c r="D54" s="76"/>
      <c r="E54" s="77"/>
      <c r="F54" s="74">
        <v>0</v>
      </c>
      <c r="G54" s="74">
        <v>28</v>
      </c>
      <c r="H54" s="74">
        <v>28</v>
      </c>
      <c r="I54" s="4">
        <v>18091</v>
      </c>
      <c r="J54" s="36">
        <v>0</v>
      </c>
      <c r="K54" s="36">
        <v>0</v>
      </c>
      <c r="L54" s="74">
        <f t="shared" si="0"/>
        <v>13184</v>
      </c>
      <c r="M54" s="74">
        <f t="shared" si="1"/>
        <v>8</v>
      </c>
    </row>
    <row r="55" spans="1:13">
      <c r="A55" s="27">
        <v>45859</v>
      </c>
      <c r="B55" s="76" t="s">
        <v>33</v>
      </c>
      <c r="C55" s="76"/>
      <c r="D55" s="76"/>
      <c r="E55" s="77"/>
      <c r="F55" s="74">
        <v>0</v>
      </c>
      <c r="G55" s="74">
        <v>12</v>
      </c>
      <c r="H55" s="74">
        <v>12</v>
      </c>
      <c r="I55" s="4">
        <v>18103</v>
      </c>
      <c r="J55" s="36">
        <v>0</v>
      </c>
      <c r="K55" s="36">
        <v>0</v>
      </c>
      <c r="L55" s="74">
        <f t="shared" si="0"/>
        <v>13184</v>
      </c>
      <c r="M55" s="74">
        <f t="shared" si="1"/>
        <v>8</v>
      </c>
    </row>
    <row r="56" spans="1:13">
      <c r="A56" s="27">
        <v>45860</v>
      </c>
      <c r="B56" s="1" t="s">
        <v>41</v>
      </c>
      <c r="C56" s="1" t="s">
        <v>13</v>
      </c>
      <c r="D56" s="1" t="s">
        <v>42</v>
      </c>
      <c r="E56" s="1" t="s">
        <v>50</v>
      </c>
      <c r="F56" s="74">
        <v>425</v>
      </c>
      <c r="G56" s="28">
        <v>106</v>
      </c>
      <c r="H56" s="74">
        <v>531</v>
      </c>
      <c r="I56" s="4">
        <v>18634</v>
      </c>
      <c r="J56" s="36">
        <v>1050</v>
      </c>
      <c r="K56" s="36">
        <v>1</v>
      </c>
      <c r="L56" s="74">
        <f t="shared" si="0"/>
        <v>14234</v>
      </c>
      <c r="M56" s="74">
        <f t="shared" si="1"/>
        <v>9</v>
      </c>
    </row>
    <row r="57" spans="1:13">
      <c r="A57" s="27">
        <v>45860</v>
      </c>
      <c r="B57" s="76" t="s">
        <v>33</v>
      </c>
      <c r="C57" s="76"/>
      <c r="D57" s="76"/>
      <c r="E57" s="77"/>
      <c r="F57" s="74">
        <v>0</v>
      </c>
      <c r="G57" s="74">
        <v>56</v>
      </c>
      <c r="H57" s="74">
        <v>56</v>
      </c>
      <c r="I57" s="4">
        <v>18690</v>
      </c>
      <c r="J57" s="36">
        <v>0</v>
      </c>
      <c r="K57" s="36">
        <v>0</v>
      </c>
      <c r="L57" s="74">
        <f t="shared" si="0"/>
        <v>14234</v>
      </c>
      <c r="M57" s="74">
        <f t="shared" si="1"/>
        <v>9</v>
      </c>
    </row>
    <row r="58" spans="1:13">
      <c r="A58" s="27">
        <v>45860</v>
      </c>
      <c r="B58" s="76" t="s">
        <v>28</v>
      </c>
      <c r="C58" s="76"/>
      <c r="D58" s="76"/>
      <c r="E58" s="77"/>
      <c r="F58" s="74">
        <v>0</v>
      </c>
      <c r="G58" s="4">
        <v>5000</v>
      </c>
      <c r="H58" s="4">
        <v>5000</v>
      </c>
      <c r="I58" s="4">
        <v>23690</v>
      </c>
      <c r="J58" s="36">
        <v>0</v>
      </c>
      <c r="K58" s="36">
        <v>0</v>
      </c>
      <c r="L58" s="74">
        <f t="shared" si="0"/>
        <v>14234</v>
      </c>
      <c r="M58" s="74">
        <f t="shared" si="1"/>
        <v>9</v>
      </c>
    </row>
    <row r="59" spans="1:13">
      <c r="A59" s="27">
        <v>45861</v>
      </c>
      <c r="B59" s="76" t="s">
        <v>33</v>
      </c>
      <c r="C59" s="76"/>
      <c r="D59" s="76"/>
      <c r="E59" s="77"/>
      <c r="F59" s="74">
        <v>0</v>
      </c>
      <c r="G59" s="74">
        <v>113</v>
      </c>
      <c r="H59" s="74">
        <v>113</v>
      </c>
      <c r="I59" s="4">
        <v>23803</v>
      </c>
      <c r="J59" s="36">
        <v>0</v>
      </c>
      <c r="K59" s="36">
        <v>0</v>
      </c>
      <c r="L59" s="74">
        <f t="shared" si="0"/>
        <v>14234</v>
      </c>
      <c r="M59" s="74">
        <f t="shared" si="1"/>
        <v>9</v>
      </c>
    </row>
    <row r="60" spans="1:13">
      <c r="A60" s="27">
        <v>45862</v>
      </c>
      <c r="B60" s="76" t="s">
        <v>33</v>
      </c>
      <c r="C60" s="76"/>
      <c r="D60" s="76"/>
      <c r="E60" s="77"/>
      <c r="F60" s="74">
        <v>0</v>
      </c>
      <c r="G60" s="74">
        <v>9</v>
      </c>
      <c r="H60" s="74">
        <v>9</v>
      </c>
      <c r="I60" s="4">
        <v>23812</v>
      </c>
      <c r="J60" s="36">
        <v>0</v>
      </c>
      <c r="K60" s="36">
        <v>0</v>
      </c>
      <c r="L60" s="74">
        <f t="shared" si="0"/>
        <v>14234</v>
      </c>
      <c r="M60" s="74">
        <f t="shared" si="1"/>
        <v>9</v>
      </c>
    </row>
    <row r="61" spans="1:13">
      <c r="A61" s="27">
        <v>45863</v>
      </c>
      <c r="B61" s="76" t="s">
        <v>33</v>
      </c>
      <c r="C61" s="76"/>
      <c r="D61" s="76"/>
      <c r="E61" s="77"/>
      <c r="F61" s="74">
        <v>0</v>
      </c>
      <c r="G61" s="74">
        <v>9</v>
      </c>
      <c r="H61" s="74">
        <v>9</v>
      </c>
      <c r="I61" s="4">
        <v>23821</v>
      </c>
      <c r="J61" s="36">
        <v>0</v>
      </c>
      <c r="K61" s="36">
        <v>0</v>
      </c>
      <c r="L61" s="74">
        <f t="shared" si="0"/>
        <v>14234</v>
      </c>
      <c r="M61" s="74">
        <f t="shared" si="1"/>
        <v>9</v>
      </c>
    </row>
    <row r="62" spans="1:13">
      <c r="A62" s="27">
        <v>45864</v>
      </c>
      <c r="B62" s="76" t="s">
        <v>49</v>
      </c>
      <c r="C62" s="76"/>
      <c r="D62" s="76"/>
      <c r="E62" s="77"/>
      <c r="F62" s="74">
        <v>0</v>
      </c>
      <c r="G62" s="74">
        <v>1</v>
      </c>
      <c r="H62" s="74">
        <v>1</v>
      </c>
      <c r="I62" s="4">
        <v>23822</v>
      </c>
      <c r="J62" s="36">
        <v>0</v>
      </c>
      <c r="K62" s="36">
        <v>0</v>
      </c>
      <c r="L62" s="74">
        <f t="shared" si="0"/>
        <v>14234</v>
      </c>
      <c r="M62" s="74">
        <f t="shared" si="1"/>
        <v>9</v>
      </c>
    </row>
    <row r="63" spans="1:13">
      <c r="A63" s="27">
        <v>45864</v>
      </c>
      <c r="B63" s="76" t="s">
        <v>33</v>
      </c>
      <c r="C63" s="76"/>
      <c r="D63" s="76"/>
      <c r="E63" s="77"/>
      <c r="F63" s="74">
        <v>0</v>
      </c>
      <c r="G63" s="74">
        <v>5</v>
      </c>
      <c r="H63" s="74">
        <v>5</v>
      </c>
      <c r="I63" s="4">
        <v>23827</v>
      </c>
      <c r="J63" s="36">
        <v>0</v>
      </c>
      <c r="K63" s="36">
        <v>0</v>
      </c>
      <c r="L63" s="74">
        <f t="shared" si="0"/>
        <v>14234</v>
      </c>
      <c r="M63" s="74">
        <f t="shared" si="1"/>
        <v>9</v>
      </c>
    </row>
    <row r="64" spans="1:13">
      <c r="A64" s="27">
        <v>45865</v>
      </c>
      <c r="B64" s="1" t="s">
        <v>51</v>
      </c>
      <c r="C64" s="1" t="s">
        <v>24</v>
      </c>
      <c r="D64" s="1" t="s">
        <v>42</v>
      </c>
      <c r="E64" s="1" t="s">
        <v>50</v>
      </c>
      <c r="F64" s="74">
        <v>425</v>
      </c>
      <c r="G64" s="28">
        <v>106</v>
      </c>
      <c r="H64" s="74">
        <v>531</v>
      </c>
      <c r="I64" s="4">
        <v>24358</v>
      </c>
      <c r="J64" s="36">
        <v>1050</v>
      </c>
      <c r="K64" s="36">
        <v>1</v>
      </c>
      <c r="L64" s="74">
        <f t="shared" si="0"/>
        <v>15284</v>
      </c>
      <c r="M64" s="74">
        <f t="shared" si="1"/>
        <v>10</v>
      </c>
    </row>
    <row r="65" spans="1:13">
      <c r="A65" s="27">
        <v>45865</v>
      </c>
      <c r="B65" s="76" t="s">
        <v>33</v>
      </c>
      <c r="C65" s="76"/>
      <c r="D65" s="76"/>
      <c r="E65" s="77"/>
      <c r="F65" s="74">
        <v>0</v>
      </c>
      <c r="G65" s="74">
        <v>29</v>
      </c>
      <c r="H65" s="74">
        <v>29</v>
      </c>
      <c r="I65" s="4">
        <v>24387</v>
      </c>
      <c r="J65" s="36">
        <v>0</v>
      </c>
      <c r="K65" s="36">
        <v>0</v>
      </c>
      <c r="L65" s="74">
        <f t="shared" si="0"/>
        <v>15284</v>
      </c>
      <c r="M65" s="74">
        <f t="shared" si="1"/>
        <v>10</v>
      </c>
    </row>
    <row r="66" spans="1:13">
      <c r="A66" s="27">
        <v>45866</v>
      </c>
      <c r="B66" s="76" t="s">
        <v>33</v>
      </c>
      <c r="C66" s="76"/>
      <c r="D66" s="76"/>
      <c r="E66" s="77"/>
      <c r="F66" s="74">
        <v>0</v>
      </c>
      <c r="G66" s="74">
        <v>9</v>
      </c>
      <c r="H66" s="74">
        <v>9</v>
      </c>
      <c r="I66" s="4">
        <v>24396</v>
      </c>
      <c r="J66" s="36">
        <v>0</v>
      </c>
      <c r="K66" s="36">
        <v>0</v>
      </c>
      <c r="L66" s="74">
        <f t="shared" si="0"/>
        <v>15284</v>
      </c>
      <c r="M66" s="74">
        <f t="shared" si="1"/>
        <v>10</v>
      </c>
    </row>
    <row r="67" spans="1:13">
      <c r="A67" s="27">
        <v>45867</v>
      </c>
      <c r="B67" s="76" t="s">
        <v>49</v>
      </c>
      <c r="C67" s="76"/>
      <c r="D67" s="76"/>
      <c r="E67" s="77"/>
      <c r="F67" s="74">
        <v>0</v>
      </c>
      <c r="G67" s="74">
        <v>1</v>
      </c>
      <c r="H67" s="74">
        <v>1</v>
      </c>
      <c r="I67" s="4">
        <v>24397</v>
      </c>
      <c r="J67" s="36">
        <v>0</v>
      </c>
      <c r="K67" s="36">
        <v>0</v>
      </c>
      <c r="L67" s="74">
        <f t="shared" si="0"/>
        <v>15284</v>
      </c>
      <c r="M67" s="74">
        <f t="shared" si="1"/>
        <v>10</v>
      </c>
    </row>
    <row r="68" spans="1:13">
      <c r="A68" s="27">
        <v>45867</v>
      </c>
      <c r="B68" s="76" t="s">
        <v>33</v>
      </c>
      <c r="C68" s="76"/>
      <c r="D68" s="76"/>
      <c r="E68" s="77"/>
      <c r="F68" s="74">
        <v>0</v>
      </c>
      <c r="G68" s="74">
        <v>10</v>
      </c>
      <c r="H68" s="74">
        <v>10</v>
      </c>
      <c r="I68" s="4">
        <v>24407</v>
      </c>
      <c r="J68" s="36">
        <v>0</v>
      </c>
      <c r="K68" s="36">
        <v>0</v>
      </c>
      <c r="L68" s="74">
        <f t="shared" si="0"/>
        <v>15284</v>
      </c>
      <c r="M68" s="74">
        <f t="shared" si="1"/>
        <v>10</v>
      </c>
    </row>
    <row r="69" spans="1:13">
      <c r="A69" s="27">
        <v>45868</v>
      </c>
      <c r="B69" s="76" t="s">
        <v>49</v>
      </c>
      <c r="C69" s="76"/>
      <c r="D69" s="76"/>
      <c r="E69" s="77"/>
      <c r="F69" s="74">
        <v>0</v>
      </c>
      <c r="G69" s="74">
        <v>1</v>
      </c>
      <c r="H69" s="74">
        <v>1</v>
      </c>
      <c r="I69" s="4">
        <v>24408</v>
      </c>
      <c r="J69" s="36">
        <v>0</v>
      </c>
      <c r="K69" s="36">
        <v>0</v>
      </c>
      <c r="L69" s="74">
        <f t="shared" ref="L69:L123" si="2">J69+L68</f>
        <v>15284</v>
      </c>
      <c r="M69" s="74">
        <f t="shared" ref="M69:M123" si="3">K69+M68</f>
        <v>10</v>
      </c>
    </row>
    <row r="70" spans="1:13">
      <c r="A70" s="27">
        <v>45868</v>
      </c>
      <c r="B70" s="76" t="s">
        <v>33</v>
      </c>
      <c r="C70" s="76"/>
      <c r="D70" s="76"/>
      <c r="E70" s="77"/>
      <c r="F70" s="74">
        <v>0</v>
      </c>
      <c r="G70" s="74">
        <v>13</v>
      </c>
      <c r="H70" s="74">
        <v>13</v>
      </c>
      <c r="I70" s="4">
        <v>24421</v>
      </c>
      <c r="J70" s="36">
        <v>0</v>
      </c>
      <c r="K70" s="36">
        <v>0</v>
      </c>
      <c r="L70" s="74">
        <f t="shared" si="2"/>
        <v>15284</v>
      </c>
      <c r="M70" s="74">
        <f t="shared" si="3"/>
        <v>10</v>
      </c>
    </row>
    <row r="71" spans="1:13">
      <c r="A71" s="27">
        <v>45869</v>
      </c>
      <c r="B71" s="76" t="s">
        <v>33</v>
      </c>
      <c r="C71" s="76"/>
      <c r="D71" s="76"/>
      <c r="E71" s="77"/>
      <c r="F71" s="74">
        <v>0</v>
      </c>
      <c r="G71" s="74">
        <v>8</v>
      </c>
      <c r="H71" s="74">
        <v>8</v>
      </c>
      <c r="I71" s="4">
        <v>24429</v>
      </c>
      <c r="J71" s="36">
        <v>0</v>
      </c>
      <c r="K71" s="36">
        <v>0</v>
      </c>
      <c r="L71" s="74">
        <f t="shared" si="2"/>
        <v>15284</v>
      </c>
      <c r="M71" s="74">
        <f t="shared" si="3"/>
        <v>10</v>
      </c>
    </row>
    <row r="72" spans="1:13">
      <c r="A72" s="27">
        <v>45870</v>
      </c>
      <c r="B72" s="76" t="s">
        <v>33</v>
      </c>
      <c r="C72" s="76"/>
      <c r="D72" s="76"/>
      <c r="E72" s="77"/>
      <c r="F72" s="74">
        <v>0</v>
      </c>
      <c r="G72" s="74">
        <v>18</v>
      </c>
      <c r="H72" s="74">
        <v>18</v>
      </c>
      <c r="I72" s="4">
        <v>24447</v>
      </c>
      <c r="J72" s="36">
        <v>0</v>
      </c>
      <c r="K72" s="36">
        <v>0</v>
      </c>
      <c r="L72" s="74">
        <f t="shared" si="2"/>
        <v>15284</v>
      </c>
      <c r="M72" s="74">
        <f t="shared" si="3"/>
        <v>10</v>
      </c>
    </row>
    <row r="73" spans="1:13">
      <c r="A73" s="27">
        <v>45871</v>
      </c>
      <c r="B73" s="1" t="s">
        <v>52</v>
      </c>
      <c r="C73" s="1" t="s">
        <v>53</v>
      </c>
      <c r="D73" s="1" t="s">
        <v>42</v>
      </c>
      <c r="E73" s="1" t="s">
        <v>50</v>
      </c>
      <c r="F73" s="74">
        <v>158</v>
      </c>
      <c r="G73" s="28">
        <v>40</v>
      </c>
      <c r="H73" s="74">
        <v>198</v>
      </c>
      <c r="I73" s="4">
        <v>24645</v>
      </c>
      <c r="J73" s="36">
        <v>516</v>
      </c>
      <c r="K73" s="36">
        <v>1</v>
      </c>
      <c r="L73" s="74">
        <f t="shared" si="2"/>
        <v>15800</v>
      </c>
      <c r="M73" s="74">
        <f t="shared" si="3"/>
        <v>11</v>
      </c>
    </row>
    <row r="74" spans="1:13">
      <c r="A74" s="27">
        <v>45871</v>
      </c>
      <c r="B74" s="76" t="s">
        <v>33</v>
      </c>
      <c r="C74" s="76"/>
      <c r="D74" s="76"/>
      <c r="E74" s="77"/>
      <c r="F74" s="74">
        <v>0</v>
      </c>
      <c r="G74" s="74">
        <v>9</v>
      </c>
      <c r="H74" s="74">
        <v>9</v>
      </c>
      <c r="I74" s="4">
        <v>24654</v>
      </c>
      <c r="J74" s="36">
        <v>0</v>
      </c>
      <c r="K74" s="36">
        <v>0</v>
      </c>
      <c r="L74" s="74">
        <f t="shared" si="2"/>
        <v>15800</v>
      </c>
      <c r="M74" s="74">
        <f t="shared" si="3"/>
        <v>11</v>
      </c>
    </row>
    <row r="75" spans="1:13">
      <c r="A75" s="27">
        <v>45872</v>
      </c>
      <c r="B75" s="1" t="s">
        <v>54</v>
      </c>
      <c r="C75" s="1" t="s">
        <v>55</v>
      </c>
      <c r="D75" s="1" t="s">
        <v>42</v>
      </c>
      <c r="E75" s="1" t="s">
        <v>50</v>
      </c>
      <c r="F75" s="74">
        <v>158</v>
      </c>
      <c r="G75" s="28">
        <v>40</v>
      </c>
      <c r="H75" s="74">
        <v>198</v>
      </c>
      <c r="I75" s="4">
        <v>24852</v>
      </c>
      <c r="J75" s="36">
        <v>516</v>
      </c>
      <c r="K75" s="36">
        <v>1</v>
      </c>
      <c r="L75" s="74">
        <f t="shared" si="2"/>
        <v>16316</v>
      </c>
      <c r="M75" s="74">
        <f t="shared" si="3"/>
        <v>12</v>
      </c>
    </row>
    <row r="76" spans="1:13">
      <c r="A76" s="27">
        <v>45872</v>
      </c>
      <c r="B76" s="76" t="s">
        <v>33</v>
      </c>
      <c r="C76" s="76"/>
      <c r="D76" s="76"/>
      <c r="E76" s="77"/>
      <c r="F76" s="74">
        <v>0</v>
      </c>
      <c r="G76" s="74">
        <v>70</v>
      </c>
      <c r="H76" s="74">
        <v>70</v>
      </c>
      <c r="I76" s="4">
        <v>24922</v>
      </c>
      <c r="J76" s="36">
        <v>0</v>
      </c>
      <c r="K76" s="36">
        <v>0</v>
      </c>
      <c r="L76" s="74">
        <f t="shared" si="2"/>
        <v>16316</v>
      </c>
      <c r="M76" s="74">
        <f t="shared" si="3"/>
        <v>12</v>
      </c>
    </row>
    <row r="77" spans="1:13">
      <c r="A77" s="27">
        <v>45873</v>
      </c>
      <c r="B77" s="76" t="s">
        <v>33</v>
      </c>
      <c r="C77" s="76"/>
      <c r="D77" s="76"/>
      <c r="E77" s="77"/>
      <c r="F77" s="74">
        <v>0</v>
      </c>
      <c r="G77" s="74">
        <v>49</v>
      </c>
      <c r="H77" s="74">
        <v>49</v>
      </c>
      <c r="I77" s="4">
        <v>24971</v>
      </c>
      <c r="J77" s="36">
        <v>0</v>
      </c>
      <c r="K77" s="36">
        <v>0</v>
      </c>
      <c r="L77" s="74">
        <f t="shared" si="2"/>
        <v>16316</v>
      </c>
      <c r="M77" s="74">
        <f t="shared" si="3"/>
        <v>12</v>
      </c>
    </row>
    <row r="78" spans="1:13">
      <c r="A78" s="27">
        <v>45874</v>
      </c>
      <c r="B78" s="76" t="s">
        <v>33</v>
      </c>
      <c r="C78" s="76"/>
      <c r="D78" s="76"/>
      <c r="E78" s="77"/>
      <c r="F78" s="74">
        <v>0</v>
      </c>
      <c r="G78" s="74">
        <v>6</v>
      </c>
      <c r="H78" s="74">
        <v>6</v>
      </c>
      <c r="I78" s="4">
        <v>24977</v>
      </c>
      <c r="J78" s="36">
        <v>0</v>
      </c>
      <c r="K78" s="36">
        <v>0</v>
      </c>
      <c r="L78" s="74">
        <f t="shared" si="2"/>
        <v>16316</v>
      </c>
      <c r="M78" s="74">
        <f t="shared" si="3"/>
        <v>12</v>
      </c>
    </row>
    <row r="79" spans="1:13">
      <c r="A79" s="27">
        <v>45875</v>
      </c>
      <c r="B79" s="1" t="s">
        <v>56</v>
      </c>
      <c r="C79" s="1" t="s">
        <v>57</v>
      </c>
      <c r="D79" s="1" t="s">
        <v>42</v>
      </c>
      <c r="E79" s="1" t="s">
        <v>43</v>
      </c>
      <c r="F79" s="74">
        <v>308</v>
      </c>
      <c r="G79" s="28">
        <v>77</v>
      </c>
      <c r="H79" s="74">
        <v>385</v>
      </c>
      <c r="I79" s="4">
        <v>25362</v>
      </c>
      <c r="J79" s="36">
        <v>1016</v>
      </c>
      <c r="K79" s="36">
        <v>1</v>
      </c>
      <c r="L79" s="74">
        <f t="shared" si="2"/>
        <v>17332</v>
      </c>
      <c r="M79" s="74">
        <f t="shared" si="3"/>
        <v>13</v>
      </c>
    </row>
    <row r="80" spans="1:13">
      <c r="A80" s="27">
        <v>45875</v>
      </c>
      <c r="B80" s="1" t="s">
        <v>58</v>
      </c>
      <c r="C80" s="1" t="s">
        <v>59</v>
      </c>
      <c r="D80" s="1" t="s">
        <v>42</v>
      </c>
      <c r="E80" s="1" t="s">
        <v>43</v>
      </c>
      <c r="F80" s="74">
        <v>308</v>
      </c>
      <c r="G80" s="28">
        <v>77</v>
      </c>
      <c r="H80" s="74">
        <v>385</v>
      </c>
      <c r="I80" s="4">
        <v>25747</v>
      </c>
      <c r="J80" s="36">
        <v>1016</v>
      </c>
      <c r="K80" s="36">
        <v>1</v>
      </c>
      <c r="L80" s="74">
        <f t="shared" si="2"/>
        <v>18348</v>
      </c>
      <c r="M80" s="74">
        <f t="shared" si="3"/>
        <v>14</v>
      </c>
    </row>
    <row r="81" spans="1:13">
      <c r="A81" s="27">
        <v>45875</v>
      </c>
      <c r="B81" s="76" t="s">
        <v>33</v>
      </c>
      <c r="C81" s="76"/>
      <c r="D81" s="76"/>
      <c r="E81" s="77"/>
      <c r="F81" s="74">
        <v>0</v>
      </c>
      <c r="G81" s="74">
        <v>10</v>
      </c>
      <c r="H81" s="74">
        <v>10</v>
      </c>
      <c r="I81" s="4">
        <v>25757</v>
      </c>
      <c r="J81" s="36">
        <v>0</v>
      </c>
      <c r="K81" s="36">
        <v>0</v>
      </c>
      <c r="L81" s="74">
        <f t="shared" si="2"/>
        <v>18348</v>
      </c>
      <c r="M81" s="74">
        <f t="shared" si="3"/>
        <v>14</v>
      </c>
    </row>
    <row r="82" spans="1:13">
      <c r="A82" s="27">
        <v>45876</v>
      </c>
      <c r="B82" s="76" t="s">
        <v>33</v>
      </c>
      <c r="C82" s="76"/>
      <c r="D82" s="76"/>
      <c r="E82" s="77"/>
      <c r="F82" s="74">
        <v>0</v>
      </c>
      <c r="G82" s="74">
        <v>106</v>
      </c>
      <c r="H82" s="74">
        <v>106</v>
      </c>
      <c r="I82" s="4">
        <v>25863</v>
      </c>
      <c r="J82" s="36">
        <v>0</v>
      </c>
      <c r="K82" s="36">
        <v>0</v>
      </c>
      <c r="L82" s="74">
        <f t="shared" si="2"/>
        <v>18348</v>
      </c>
      <c r="M82" s="74">
        <f t="shared" si="3"/>
        <v>14</v>
      </c>
    </row>
    <row r="83" spans="1:13">
      <c r="A83" s="29">
        <v>45877</v>
      </c>
      <c r="B83" s="78" t="s">
        <v>33</v>
      </c>
      <c r="C83" s="78"/>
      <c r="D83" s="78"/>
      <c r="E83" s="79"/>
      <c r="F83" s="75">
        <v>0</v>
      </c>
      <c r="G83" s="75">
        <v>6</v>
      </c>
      <c r="H83" s="75">
        <v>6</v>
      </c>
      <c r="I83" s="30">
        <v>25869</v>
      </c>
      <c r="J83" s="40">
        <v>0</v>
      </c>
      <c r="K83" s="40">
        <v>0</v>
      </c>
      <c r="L83" s="74">
        <f t="shared" si="2"/>
        <v>18348</v>
      </c>
      <c r="M83" s="74">
        <f t="shared" si="3"/>
        <v>14</v>
      </c>
    </row>
    <row r="84" spans="1:13">
      <c r="A84" s="27">
        <v>45878</v>
      </c>
      <c r="B84" s="76" t="s">
        <v>33</v>
      </c>
      <c r="C84" s="76"/>
      <c r="D84" s="76"/>
      <c r="E84" s="77"/>
      <c r="F84" s="74">
        <v>0</v>
      </c>
      <c r="G84" s="74">
        <v>8</v>
      </c>
      <c r="H84" s="74">
        <v>8</v>
      </c>
      <c r="I84" s="4">
        <v>25878</v>
      </c>
      <c r="J84" s="74">
        <v>0</v>
      </c>
      <c r="K84" s="74">
        <v>0</v>
      </c>
      <c r="L84" s="74">
        <f t="shared" si="2"/>
        <v>18348</v>
      </c>
      <c r="M84" s="74">
        <f t="shared" si="3"/>
        <v>14</v>
      </c>
    </row>
    <row r="85" spans="1:13">
      <c r="A85" s="27">
        <v>45879</v>
      </c>
      <c r="B85" s="76" t="s">
        <v>49</v>
      </c>
      <c r="C85" s="76"/>
      <c r="D85" s="76"/>
      <c r="E85" s="77"/>
      <c r="F85" s="74">
        <v>0</v>
      </c>
      <c r="G85" s="74">
        <v>1</v>
      </c>
      <c r="H85" s="74">
        <v>1</v>
      </c>
      <c r="I85" s="4">
        <v>25879</v>
      </c>
      <c r="J85" s="74">
        <v>0</v>
      </c>
      <c r="K85" s="74">
        <v>0</v>
      </c>
      <c r="L85" s="74">
        <f t="shared" si="2"/>
        <v>18348</v>
      </c>
      <c r="M85" s="74">
        <f t="shared" si="3"/>
        <v>14</v>
      </c>
    </row>
    <row r="86" spans="1:13">
      <c r="A86" s="27">
        <v>45879</v>
      </c>
      <c r="B86" s="76" t="s">
        <v>33</v>
      </c>
      <c r="C86" s="76"/>
      <c r="D86" s="76"/>
      <c r="E86" s="77"/>
      <c r="F86" s="74">
        <v>0</v>
      </c>
      <c r="G86" s="74">
        <v>21</v>
      </c>
      <c r="H86" s="74">
        <v>21</v>
      </c>
      <c r="I86" s="4">
        <v>25900</v>
      </c>
      <c r="J86" s="74">
        <v>0</v>
      </c>
      <c r="K86" s="74">
        <v>0</v>
      </c>
      <c r="L86" s="74">
        <f t="shared" si="2"/>
        <v>18348</v>
      </c>
      <c r="M86" s="74">
        <f t="shared" si="3"/>
        <v>14</v>
      </c>
    </row>
    <row r="87" spans="1:13">
      <c r="A87" s="27">
        <v>45880</v>
      </c>
      <c r="B87" s="76" t="s">
        <v>33</v>
      </c>
      <c r="C87" s="76"/>
      <c r="D87" s="76"/>
      <c r="E87" s="77"/>
      <c r="F87" s="74">
        <v>0</v>
      </c>
      <c r="G87" s="74">
        <v>9</v>
      </c>
      <c r="H87" s="74">
        <v>9</v>
      </c>
      <c r="I87" s="4">
        <v>25909</v>
      </c>
      <c r="J87" s="74">
        <v>0</v>
      </c>
      <c r="K87" s="74">
        <v>0</v>
      </c>
      <c r="L87" s="74">
        <f t="shared" si="2"/>
        <v>18348</v>
      </c>
      <c r="M87" s="74">
        <f t="shared" si="3"/>
        <v>14</v>
      </c>
    </row>
    <row r="88" spans="1:13">
      <c r="A88" s="27">
        <v>45881</v>
      </c>
      <c r="B88" s="76" t="s">
        <v>33</v>
      </c>
      <c r="C88" s="76"/>
      <c r="D88" s="76"/>
      <c r="E88" s="77"/>
      <c r="F88" s="74">
        <v>0</v>
      </c>
      <c r="G88" s="74">
        <v>9</v>
      </c>
      <c r="H88" s="74">
        <v>9</v>
      </c>
      <c r="I88" s="4">
        <v>25918</v>
      </c>
      <c r="J88" s="74">
        <v>0</v>
      </c>
      <c r="K88" s="74">
        <v>0</v>
      </c>
      <c r="L88" s="74">
        <f t="shared" si="2"/>
        <v>18348</v>
      </c>
      <c r="M88" s="74">
        <f t="shared" si="3"/>
        <v>14</v>
      </c>
    </row>
    <row r="89" spans="1:13">
      <c r="A89" s="27">
        <v>45882</v>
      </c>
      <c r="B89" s="76" t="s">
        <v>33</v>
      </c>
      <c r="C89" s="76"/>
      <c r="D89" s="76"/>
      <c r="E89" s="77"/>
      <c r="F89" s="74">
        <v>0</v>
      </c>
      <c r="G89" s="74">
        <v>59</v>
      </c>
      <c r="H89" s="74">
        <v>59</v>
      </c>
      <c r="I89" s="4">
        <v>25977</v>
      </c>
      <c r="J89" s="74">
        <v>0</v>
      </c>
      <c r="K89" s="74">
        <v>0</v>
      </c>
      <c r="L89" s="74">
        <f t="shared" si="2"/>
        <v>18348</v>
      </c>
      <c r="M89" s="74">
        <f t="shared" si="3"/>
        <v>14</v>
      </c>
    </row>
    <row r="90" spans="1:13">
      <c r="A90" s="27">
        <v>45883</v>
      </c>
      <c r="B90" s="76" t="s">
        <v>33</v>
      </c>
      <c r="C90" s="76"/>
      <c r="D90" s="76"/>
      <c r="E90" s="77"/>
      <c r="F90" s="74">
        <v>0</v>
      </c>
      <c r="G90" s="74">
        <v>61</v>
      </c>
      <c r="H90" s="74">
        <v>61</v>
      </c>
      <c r="I90" s="4">
        <v>26038</v>
      </c>
      <c r="J90" s="74">
        <v>0</v>
      </c>
      <c r="K90" s="74">
        <v>0</v>
      </c>
      <c r="L90" s="74">
        <f t="shared" si="2"/>
        <v>18348</v>
      </c>
      <c r="M90" s="74">
        <f t="shared" si="3"/>
        <v>14</v>
      </c>
    </row>
    <row r="91" spans="1:13">
      <c r="A91" s="27">
        <v>45884</v>
      </c>
      <c r="B91" s="76" t="s">
        <v>33</v>
      </c>
      <c r="C91" s="76"/>
      <c r="D91" s="76"/>
      <c r="E91" s="77"/>
      <c r="F91" s="74">
        <v>0</v>
      </c>
      <c r="G91" s="74">
        <v>8</v>
      </c>
      <c r="H91" s="74">
        <v>8</v>
      </c>
      <c r="I91" s="4">
        <v>26046</v>
      </c>
      <c r="J91" s="74">
        <v>0</v>
      </c>
      <c r="K91" s="74">
        <v>0</v>
      </c>
      <c r="L91" s="74">
        <f t="shared" si="2"/>
        <v>18348</v>
      </c>
      <c r="M91" s="74">
        <f t="shared" si="3"/>
        <v>14</v>
      </c>
    </row>
    <row r="92" spans="1:13">
      <c r="A92" s="27">
        <v>45885</v>
      </c>
      <c r="B92" s="76" t="s">
        <v>33</v>
      </c>
      <c r="C92" s="76"/>
      <c r="D92" s="76"/>
      <c r="E92" s="77"/>
      <c r="F92" s="74">
        <v>0</v>
      </c>
      <c r="G92" s="74">
        <v>9</v>
      </c>
      <c r="H92" s="74">
        <v>9</v>
      </c>
      <c r="I92" s="4">
        <v>26055</v>
      </c>
      <c r="J92" s="74">
        <v>0</v>
      </c>
      <c r="K92" s="74">
        <v>0</v>
      </c>
      <c r="L92" s="74">
        <f t="shared" si="2"/>
        <v>18348</v>
      </c>
      <c r="M92" s="74">
        <f t="shared" si="3"/>
        <v>14</v>
      </c>
    </row>
    <row r="93" spans="1:13">
      <c r="A93" s="29">
        <v>45886</v>
      </c>
      <c r="B93" s="78" t="s">
        <v>33</v>
      </c>
      <c r="C93" s="78"/>
      <c r="D93" s="78"/>
      <c r="E93" s="79"/>
      <c r="F93" s="75">
        <v>0</v>
      </c>
      <c r="G93" s="75">
        <v>27</v>
      </c>
      <c r="H93" s="75">
        <v>27</v>
      </c>
      <c r="I93" s="30">
        <v>26082</v>
      </c>
      <c r="J93" s="75">
        <v>0</v>
      </c>
      <c r="K93" s="75">
        <v>0</v>
      </c>
      <c r="L93" s="74">
        <f t="shared" si="2"/>
        <v>18348</v>
      </c>
      <c r="M93" s="74">
        <f t="shared" si="3"/>
        <v>14</v>
      </c>
    </row>
    <row r="94" spans="1:13">
      <c r="A94" s="27">
        <v>45887</v>
      </c>
      <c r="B94" s="76" t="s">
        <v>33</v>
      </c>
      <c r="C94" s="76"/>
      <c r="D94" s="76"/>
      <c r="E94" s="77"/>
      <c r="F94" s="74">
        <v>0</v>
      </c>
      <c r="G94" s="74">
        <v>9</v>
      </c>
      <c r="H94" s="74">
        <v>9</v>
      </c>
      <c r="I94" s="4">
        <v>28598</v>
      </c>
      <c r="J94" s="74">
        <v>0</v>
      </c>
      <c r="K94" s="74">
        <v>0</v>
      </c>
      <c r="L94" s="74">
        <f t="shared" si="2"/>
        <v>18348</v>
      </c>
      <c r="M94" s="74">
        <f t="shared" si="3"/>
        <v>14</v>
      </c>
    </row>
    <row r="95" spans="1:13">
      <c r="A95" s="27">
        <v>45888</v>
      </c>
      <c r="B95" s="76" t="s">
        <v>33</v>
      </c>
      <c r="C95" s="76"/>
      <c r="D95" s="76"/>
      <c r="E95" s="77"/>
      <c r="F95" s="74">
        <v>0</v>
      </c>
      <c r="G95" s="74">
        <v>8</v>
      </c>
      <c r="H95" s="74">
        <v>8</v>
      </c>
      <c r="I95" s="4">
        <v>28606</v>
      </c>
      <c r="J95" s="74">
        <v>0</v>
      </c>
      <c r="K95" s="74">
        <v>0</v>
      </c>
      <c r="L95" s="74">
        <f t="shared" si="2"/>
        <v>18348</v>
      </c>
      <c r="M95" s="74">
        <f t="shared" si="3"/>
        <v>14</v>
      </c>
    </row>
    <row r="96" spans="1:13">
      <c r="A96" s="27">
        <v>45889</v>
      </c>
      <c r="B96" s="76" t="s">
        <v>33</v>
      </c>
      <c r="C96" s="76"/>
      <c r="D96" s="76"/>
      <c r="E96" s="77"/>
      <c r="F96" s="74">
        <v>0</v>
      </c>
      <c r="G96" s="74">
        <v>18</v>
      </c>
      <c r="H96" s="74">
        <v>18</v>
      </c>
      <c r="I96" s="4">
        <v>28624</v>
      </c>
      <c r="J96" s="74">
        <v>0</v>
      </c>
      <c r="K96" s="74">
        <v>0</v>
      </c>
      <c r="L96" s="74">
        <f t="shared" si="2"/>
        <v>18348</v>
      </c>
      <c r="M96" s="74">
        <f t="shared" si="3"/>
        <v>14</v>
      </c>
    </row>
    <row r="97" spans="1:13">
      <c r="A97" s="27">
        <v>45890</v>
      </c>
      <c r="B97" s="1" t="s">
        <v>60</v>
      </c>
      <c r="C97" s="1" t="s">
        <v>61</v>
      </c>
      <c r="D97" s="1" t="s">
        <v>42</v>
      </c>
      <c r="E97" s="1" t="s">
        <v>43</v>
      </c>
      <c r="F97" s="74">
        <v>389</v>
      </c>
      <c r="G97" s="28">
        <v>147</v>
      </c>
      <c r="H97" s="74">
        <v>536</v>
      </c>
      <c r="I97" s="4">
        <v>29160</v>
      </c>
      <c r="J97" s="4">
        <v>1178</v>
      </c>
      <c r="K97" s="74">
        <v>1</v>
      </c>
      <c r="L97" s="74">
        <f t="shared" si="2"/>
        <v>19526</v>
      </c>
      <c r="M97" s="74">
        <f t="shared" si="3"/>
        <v>15</v>
      </c>
    </row>
    <row r="98" spans="1:13">
      <c r="A98" s="27">
        <v>45890</v>
      </c>
      <c r="B98" s="76" t="s">
        <v>33</v>
      </c>
      <c r="C98" s="76"/>
      <c r="D98" s="76"/>
      <c r="E98" s="77"/>
      <c r="F98" s="74">
        <v>0</v>
      </c>
      <c r="G98" s="74">
        <v>8</v>
      </c>
      <c r="H98" s="74">
        <v>8</v>
      </c>
      <c r="I98" s="4">
        <v>29168</v>
      </c>
      <c r="J98" s="74">
        <v>0</v>
      </c>
      <c r="K98" s="74">
        <v>0</v>
      </c>
      <c r="L98" s="74">
        <f t="shared" si="2"/>
        <v>19526</v>
      </c>
      <c r="M98" s="74">
        <f t="shared" si="3"/>
        <v>15</v>
      </c>
    </row>
    <row r="99" spans="1:13">
      <c r="A99" s="27">
        <v>45891</v>
      </c>
      <c r="B99" s="1" t="s">
        <v>62</v>
      </c>
      <c r="C99" s="1" t="s">
        <v>63</v>
      </c>
      <c r="D99" s="1" t="s">
        <v>42</v>
      </c>
      <c r="E99" s="1" t="s">
        <v>43</v>
      </c>
      <c r="F99" s="74">
        <v>389</v>
      </c>
      <c r="G99" s="28">
        <v>147</v>
      </c>
      <c r="H99" s="74">
        <v>536</v>
      </c>
      <c r="I99" s="4">
        <v>29704</v>
      </c>
      <c r="J99" s="4">
        <v>1178</v>
      </c>
      <c r="K99" s="74">
        <v>1</v>
      </c>
      <c r="L99" s="74">
        <f t="shared" si="2"/>
        <v>20704</v>
      </c>
      <c r="M99" s="74">
        <f t="shared" si="3"/>
        <v>16</v>
      </c>
    </row>
    <row r="100" spans="1:13">
      <c r="A100" s="27">
        <v>45891</v>
      </c>
      <c r="B100" s="76" t="s">
        <v>33</v>
      </c>
      <c r="C100" s="76"/>
      <c r="D100" s="76"/>
      <c r="E100" s="77"/>
      <c r="F100" s="74">
        <v>0</v>
      </c>
      <c r="G100" s="74">
        <v>57</v>
      </c>
      <c r="H100" s="74">
        <v>57</v>
      </c>
      <c r="I100" s="4">
        <v>29761</v>
      </c>
      <c r="J100" s="74">
        <v>0</v>
      </c>
      <c r="K100" s="74">
        <v>0</v>
      </c>
      <c r="L100" s="74">
        <f t="shared" si="2"/>
        <v>20704</v>
      </c>
      <c r="M100" s="74">
        <f t="shared" si="3"/>
        <v>16</v>
      </c>
    </row>
    <row r="101" spans="1:13">
      <c r="A101" s="27">
        <v>45892</v>
      </c>
      <c r="B101" s="76" t="s">
        <v>33</v>
      </c>
      <c r="C101" s="76"/>
      <c r="D101" s="76"/>
      <c r="E101" s="77"/>
      <c r="F101" s="74">
        <v>0</v>
      </c>
      <c r="G101" s="74">
        <v>6</v>
      </c>
      <c r="H101" s="74">
        <v>6</v>
      </c>
      <c r="I101" s="4">
        <v>29767</v>
      </c>
      <c r="J101" s="74">
        <v>0</v>
      </c>
      <c r="K101" s="74">
        <v>0</v>
      </c>
      <c r="L101" s="74">
        <f t="shared" si="2"/>
        <v>20704</v>
      </c>
      <c r="M101" s="74">
        <f t="shared" si="3"/>
        <v>16</v>
      </c>
    </row>
    <row r="102" spans="1:13">
      <c r="A102" s="29">
        <v>45893</v>
      </c>
      <c r="B102" s="78" t="s">
        <v>33</v>
      </c>
      <c r="C102" s="78"/>
      <c r="D102" s="78"/>
      <c r="E102" s="79"/>
      <c r="F102" s="75">
        <v>0</v>
      </c>
      <c r="G102" s="75">
        <v>31</v>
      </c>
      <c r="H102" s="75">
        <v>31</v>
      </c>
      <c r="I102" s="30">
        <v>29798</v>
      </c>
      <c r="J102" s="75">
        <v>0</v>
      </c>
      <c r="K102" s="75">
        <v>0</v>
      </c>
      <c r="L102" s="74">
        <f t="shared" si="2"/>
        <v>20704</v>
      </c>
      <c r="M102" s="74">
        <f t="shared" si="3"/>
        <v>16</v>
      </c>
    </row>
    <row r="103" spans="1:13">
      <c r="A103" s="27">
        <v>45894</v>
      </c>
      <c r="B103" s="76" t="s">
        <v>33</v>
      </c>
      <c r="C103" s="76"/>
      <c r="D103" s="76"/>
      <c r="E103" s="77"/>
      <c r="F103" s="74">
        <v>0</v>
      </c>
      <c r="G103" s="74">
        <v>56</v>
      </c>
      <c r="H103" s="74">
        <v>56</v>
      </c>
      <c r="I103" s="4">
        <v>31355</v>
      </c>
      <c r="J103" s="74">
        <v>0</v>
      </c>
      <c r="K103" s="74">
        <v>0</v>
      </c>
      <c r="L103" s="74">
        <f t="shared" si="2"/>
        <v>20704</v>
      </c>
      <c r="M103" s="74">
        <f t="shared" si="3"/>
        <v>16</v>
      </c>
    </row>
    <row r="104" spans="1:13">
      <c r="A104" s="27">
        <v>45895</v>
      </c>
      <c r="B104" s="76" t="s">
        <v>33</v>
      </c>
      <c r="C104" s="76"/>
      <c r="D104" s="76"/>
      <c r="E104" s="77"/>
      <c r="F104" s="74">
        <v>0</v>
      </c>
      <c r="G104" s="74">
        <v>8</v>
      </c>
      <c r="H104" s="74">
        <v>8</v>
      </c>
      <c r="I104" s="4">
        <v>31363</v>
      </c>
      <c r="J104" s="74">
        <v>0</v>
      </c>
      <c r="K104" s="74">
        <v>0</v>
      </c>
      <c r="L104" s="74">
        <f t="shared" si="2"/>
        <v>20704</v>
      </c>
      <c r="M104" s="74">
        <f t="shared" si="3"/>
        <v>16</v>
      </c>
    </row>
    <row r="105" spans="1:13">
      <c r="A105" s="27">
        <v>45896</v>
      </c>
      <c r="B105" s="76" t="s">
        <v>49</v>
      </c>
      <c r="C105" s="76"/>
      <c r="D105" s="76"/>
      <c r="E105" s="77"/>
      <c r="F105" s="74">
        <v>0</v>
      </c>
      <c r="G105" s="74">
        <v>1</v>
      </c>
      <c r="H105" s="74">
        <v>1</v>
      </c>
      <c r="I105" s="4">
        <v>31364</v>
      </c>
      <c r="J105" s="74">
        <v>0</v>
      </c>
      <c r="K105" s="74">
        <v>0</v>
      </c>
      <c r="L105" s="74">
        <f t="shared" si="2"/>
        <v>20704</v>
      </c>
      <c r="M105" s="74">
        <f t="shared" si="3"/>
        <v>16</v>
      </c>
    </row>
    <row r="106" spans="1:13">
      <c r="A106" s="27">
        <v>45896</v>
      </c>
      <c r="B106" s="76" t="s">
        <v>33</v>
      </c>
      <c r="C106" s="76"/>
      <c r="D106" s="76"/>
      <c r="E106" s="77"/>
      <c r="F106" s="74">
        <v>0</v>
      </c>
      <c r="G106" s="74">
        <v>11</v>
      </c>
      <c r="H106" s="74">
        <v>11</v>
      </c>
      <c r="I106" s="4">
        <v>31375</v>
      </c>
      <c r="J106" s="74">
        <v>0</v>
      </c>
      <c r="K106" s="74">
        <v>0</v>
      </c>
      <c r="L106" s="74">
        <f t="shared" si="2"/>
        <v>20704</v>
      </c>
      <c r="M106" s="74">
        <f t="shared" si="3"/>
        <v>16</v>
      </c>
    </row>
    <row r="107" spans="1:13">
      <c r="A107" s="27">
        <v>45897</v>
      </c>
      <c r="B107" s="76" t="s">
        <v>49</v>
      </c>
      <c r="C107" s="76"/>
      <c r="D107" s="76"/>
      <c r="E107" s="77"/>
      <c r="F107" s="74">
        <v>0</v>
      </c>
      <c r="G107" s="74">
        <v>1</v>
      </c>
      <c r="H107" s="74">
        <v>1</v>
      </c>
      <c r="I107" s="4">
        <v>31376</v>
      </c>
      <c r="J107" s="74">
        <v>0</v>
      </c>
      <c r="K107" s="74">
        <v>0</v>
      </c>
      <c r="L107" s="74">
        <f t="shared" si="2"/>
        <v>20704</v>
      </c>
      <c r="M107" s="74">
        <f t="shared" si="3"/>
        <v>16</v>
      </c>
    </row>
    <row r="108" spans="1:13">
      <c r="A108" s="27">
        <v>45897</v>
      </c>
      <c r="B108" s="76" t="s">
        <v>33</v>
      </c>
      <c r="C108" s="76"/>
      <c r="D108" s="76"/>
      <c r="E108" s="77"/>
      <c r="F108" s="74">
        <v>0</v>
      </c>
      <c r="G108" s="74">
        <v>17</v>
      </c>
      <c r="H108" s="74">
        <v>17</v>
      </c>
      <c r="I108" s="4">
        <v>31393</v>
      </c>
      <c r="J108" s="74">
        <v>0</v>
      </c>
      <c r="K108" s="74">
        <v>0</v>
      </c>
      <c r="L108" s="74">
        <f t="shared" si="2"/>
        <v>20704</v>
      </c>
      <c r="M108" s="74">
        <f t="shared" si="3"/>
        <v>16</v>
      </c>
    </row>
    <row r="109" spans="1:13">
      <c r="A109" s="27">
        <v>45898</v>
      </c>
      <c r="B109" s="76" t="s">
        <v>33</v>
      </c>
      <c r="C109" s="76"/>
      <c r="D109" s="76"/>
      <c r="E109" s="77"/>
      <c r="F109" s="74">
        <v>0</v>
      </c>
      <c r="G109" s="74">
        <v>7</v>
      </c>
      <c r="H109" s="74">
        <v>7</v>
      </c>
      <c r="I109" s="4">
        <v>31400</v>
      </c>
      <c r="J109" s="74">
        <v>0</v>
      </c>
      <c r="K109" s="74">
        <v>0</v>
      </c>
      <c r="L109" s="74">
        <f t="shared" si="2"/>
        <v>20704</v>
      </c>
      <c r="M109" s="74">
        <f t="shared" si="3"/>
        <v>16</v>
      </c>
    </row>
    <row r="110" spans="1:13">
      <c r="A110" s="27">
        <v>45899</v>
      </c>
      <c r="B110" s="76" t="s">
        <v>33</v>
      </c>
      <c r="C110" s="76"/>
      <c r="D110" s="76"/>
      <c r="E110" s="77"/>
      <c r="F110" s="74">
        <v>0</v>
      </c>
      <c r="G110" s="74">
        <v>12</v>
      </c>
      <c r="H110" s="74">
        <v>12</v>
      </c>
      <c r="I110" s="4">
        <v>31412</v>
      </c>
      <c r="J110" s="74">
        <v>0</v>
      </c>
      <c r="K110" s="74">
        <v>0</v>
      </c>
      <c r="L110" s="74">
        <f t="shared" si="2"/>
        <v>20704</v>
      </c>
      <c r="M110" s="74">
        <f t="shared" si="3"/>
        <v>16</v>
      </c>
    </row>
    <row r="111" spans="1:13">
      <c r="A111" s="27">
        <v>45900</v>
      </c>
      <c r="B111" s="76" t="s">
        <v>49</v>
      </c>
      <c r="C111" s="76"/>
      <c r="D111" s="76"/>
      <c r="E111" s="77"/>
      <c r="F111" s="74">
        <v>0</v>
      </c>
      <c r="G111" s="74">
        <v>1</v>
      </c>
      <c r="H111" s="74">
        <v>1</v>
      </c>
      <c r="I111" s="4">
        <v>31413</v>
      </c>
      <c r="J111" s="74">
        <v>0</v>
      </c>
      <c r="K111" s="74">
        <v>0</v>
      </c>
      <c r="L111" s="74">
        <f t="shared" si="2"/>
        <v>20704</v>
      </c>
      <c r="M111" s="74">
        <f t="shared" si="3"/>
        <v>16</v>
      </c>
    </row>
    <row r="112" spans="1:13">
      <c r="A112" s="27">
        <v>45900</v>
      </c>
      <c r="B112" s="76" t="s">
        <v>33</v>
      </c>
      <c r="C112" s="76"/>
      <c r="D112" s="76"/>
      <c r="E112" s="77"/>
      <c r="F112" s="74">
        <v>0</v>
      </c>
      <c r="G112" s="74">
        <v>20</v>
      </c>
      <c r="H112" s="74">
        <v>20</v>
      </c>
      <c r="I112" s="4">
        <v>31433</v>
      </c>
      <c r="J112" s="74">
        <v>0</v>
      </c>
      <c r="K112" s="74">
        <v>0</v>
      </c>
      <c r="L112" s="74">
        <f t="shared" si="2"/>
        <v>20704</v>
      </c>
      <c r="M112" s="74">
        <f t="shared" si="3"/>
        <v>16</v>
      </c>
    </row>
    <row r="113" spans="1:13">
      <c r="A113" s="27">
        <v>45901</v>
      </c>
      <c r="B113" s="1" t="s">
        <v>64</v>
      </c>
      <c r="C113" s="1" t="s">
        <v>13</v>
      </c>
      <c r="D113" s="1" t="s">
        <v>42</v>
      </c>
      <c r="E113" s="1" t="s">
        <v>43</v>
      </c>
      <c r="F113" s="74">
        <v>624</v>
      </c>
      <c r="G113" s="28">
        <v>206</v>
      </c>
      <c r="H113" s="74">
        <v>830</v>
      </c>
      <c r="I113" s="4">
        <v>32263</v>
      </c>
      <c r="J113" s="4">
        <v>1648</v>
      </c>
      <c r="K113" s="74">
        <v>1</v>
      </c>
      <c r="L113" s="74">
        <f t="shared" si="2"/>
        <v>22352</v>
      </c>
      <c r="M113" s="74">
        <f t="shared" si="3"/>
        <v>17</v>
      </c>
    </row>
    <row r="114" spans="1:13">
      <c r="A114" s="27">
        <v>45901</v>
      </c>
      <c r="B114" s="76" t="s">
        <v>33</v>
      </c>
      <c r="C114" s="76"/>
      <c r="D114" s="76"/>
      <c r="E114" s="77"/>
      <c r="F114" s="74">
        <v>0</v>
      </c>
      <c r="G114" s="74">
        <v>66</v>
      </c>
      <c r="H114" s="74">
        <v>66</v>
      </c>
      <c r="I114" s="4">
        <v>32329</v>
      </c>
      <c r="J114" s="74">
        <v>0</v>
      </c>
      <c r="K114" s="74">
        <v>0</v>
      </c>
      <c r="L114" s="74">
        <f t="shared" si="2"/>
        <v>22352</v>
      </c>
      <c r="M114" s="74">
        <f t="shared" si="3"/>
        <v>17</v>
      </c>
    </row>
    <row r="115" spans="1:13">
      <c r="A115" s="27">
        <v>45902</v>
      </c>
      <c r="B115" s="76" t="s">
        <v>33</v>
      </c>
      <c r="C115" s="76"/>
      <c r="D115" s="76"/>
      <c r="E115" s="77"/>
      <c r="F115" s="74">
        <v>0</v>
      </c>
      <c r="G115" s="74">
        <v>8</v>
      </c>
      <c r="H115" s="74">
        <v>8</v>
      </c>
      <c r="I115" s="4">
        <v>32337</v>
      </c>
      <c r="J115" s="74">
        <v>0</v>
      </c>
      <c r="K115" s="74">
        <v>0</v>
      </c>
      <c r="L115" s="74">
        <f t="shared" si="2"/>
        <v>22352</v>
      </c>
      <c r="M115" s="74">
        <f t="shared" si="3"/>
        <v>17</v>
      </c>
    </row>
    <row r="116" spans="1:13">
      <c r="A116" s="27">
        <v>45903</v>
      </c>
      <c r="B116" s="1" t="s">
        <v>51</v>
      </c>
      <c r="C116" s="1" t="s">
        <v>24</v>
      </c>
      <c r="D116" s="1" t="s">
        <v>42</v>
      </c>
      <c r="E116" s="1" t="s">
        <v>43</v>
      </c>
      <c r="F116" s="74">
        <v>624</v>
      </c>
      <c r="G116" s="28">
        <v>206</v>
      </c>
      <c r="H116" s="74">
        <v>830</v>
      </c>
      <c r="I116" s="4">
        <v>33167</v>
      </c>
      <c r="J116" s="4">
        <v>1648</v>
      </c>
      <c r="K116" s="74">
        <v>1</v>
      </c>
      <c r="L116" s="74">
        <f t="shared" si="2"/>
        <v>24000</v>
      </c>
      <c r="M116" s="74">
        <f t="shared" si="3"/>
        <v>18</v>
      </c>
    </row>
    <row r="117" spans="1:13">
      <c r="A117" s="27">
        <v>45903</v>
      </c>
      <c r="B117" s="76" t="s">
        <v>33</v>
      </c>
      <c r="C117" s="76"/>
      <c r="D117" s="76"/>
      <c r="E117" s="77"/>
      <c r="F117" s="74">
        <v>0</v>
      </c>
      <c r="G117" s="74">
        <v>10</v>
      </c>
      <c r="H117" s="74">
        <v>10</v>
      </c>
      <c r="I117" s="4">
        <v>33177</v>
      </c>
      <c r="J117" s="74">
        <v>0</v>
      </c>
      <c r="K117" s="74">
        <v>0</v>
      </c>
      <c r="L117" s="74">
        <f t="shared" si="2"/>
        <v>24000</v>
      </c>
      <c r="M117" s="74">
        <f t="shared" si="3"/>
        <v>18</v>
      </c>
    </row>
    <row r="118" spans="1:13">
      <c r="A118" s="27">
        <v>45904</v>
      </c>
      <c r="B118" s="76" t="s">
        <v>33</v>
      </c>
      <c r="C118" s="76"/>
      <c r="D118" s="76"/>
      <c r="E118" s="77"/>
      <c r="F118" s="74">
        <v>0</v>
      </c>
      <c r="G118" s="74">
        <v>16</v>
      </c>
      <c r="H118" s="74">
        <v>16</v>
      </c>
      <c r="I118" s="4">
        <v>33193</v>
      </c>
      <c r="J118" s="74">
        <v>0</v>
      </c>
      <c r="K118" s="74">
        <v>0</v>
      </c>
      <c r="L118" s="74">
        <f t="shared" si="2"/>
        <v>24000</v>
      </c>
      <c r="M118" s="74">
        <f t="shared" si="3"/>
        <v>18</v>
      </c>
    </row>
    <row r="119" spans="1:13">
      <c r="A119" s="27">
        <v>45905</v>
      </c>
      <c r="B119" s="76" t="s">
        <v>33</v>
      </c>
      <c r="C119" s="76"/>
      <c r="D119" s="76"/>
      <c r="E119" s="77"/>
      <c r="F119" s="74">
        <v>0</v>
      </c>
      <c r="G119" s="74">
        <v>13</v>
      </c>
      <c r="H119" s="74">
        <v>13</v>
      </c>
      <c r="I119" s="4">
        <v>33206</v>
      </c>
      <c r="J119" s="74">
        <v>0</v>
      </c>
      <c r="K119" s="74">
        <v>0</v>
      </c>
      <c r="L119" s="74">
        <f t="shared" si="2"/>
        <v>24000</v>
      </c>
      <c r="M119" s="74">
        <f t="shared" si="3"/>
        <v>18</v>
      </c>
    </row>
    <row r="120" spans="1:13">
      <c r="A120" s="27">
        <v>45906</v>
      </c>
      <c r="B120" s="76" t="s">
        <v>33</v>
      </c>
      <c r="C120" s="76"/>
      <c r="D120" s="76"/>
      <c r="E120" s="77"/>
      <c r="F120" s="74">
        <v>0</v>
      </c>
      <c r="G120" s="74">
        <v>5</v>
      </c>
      <c r="H120" s="74">
        <v>5</v>
      </c>
      <c r="I120" s="4">
        <v>33211</v>
      </c>
      <c r="J120" s="74">
        <v>0</v>
      </c>
      <c r="K120" s="74">
        <v>0</v>
      </c>
      <c r="L120" s="74">
        <f t="shared" si="2"/>
        <v>24000</v>
      </c>
      <c r="M120" s="74">
        <f t="shared" si="3"/>
        <v>18</v>
      </c>
    </row>
    <row r="121" spans="1:13">
      <c r="A121" s="29">
        <v>45907</v>
      </c>
      <c r="B121" s="78" t="s">
        <v>33</v>
      </c>
      <c r="C121" s="78"/>
      <c r="D121" s="78"/>
      <c r="E121" s="79"/>
      <c r="F121" s="75">
        <v>0</v>
      </c>
      <c r="G121" s="75">
        <v>19</v>
      </c>
      <c r="H121" s="75">
        <v>19</v>
      </c>
      <c r="I121" s="30">
        <v>33230</v>
      </c>
      <c r="J121" s="75">
        <v>0</v>
      </c>
      <c r="K121" s="75">
        <v>0</v>
      </c>
      <c r="L121" s="74">
        <f t="shared" si="2"/>
        <v>24000</v>
      </c>
      <c r="M121" s="74">
        <f t="shared" si="3"/>
        <v>18</v>
      </c>
    </row>
    <row r="122" spans="1:13">
      <c r="A122" s="27">
        <v>45908</v>
      </c>
      <c r="B122" s="76" t="s">
        <v>33</v>
      </c>
      <c r="C122" s="76"/>
      <c r="D122" s="76"/>
      <c r="E122" s="77"/>
      <c r="F122" s="74">
        <v>0</v>
      </c>
      <c r="G122" s="74">
        <v>10</v>
      </c>
      <c r="H122" s="74">
        <v>10</v>
      </c>
      <c r="I122" s="4">
        <v>33244</v>
      </c>
      <c r="J122" s="74">
        <v>0</v>
      </c>
      <c r="K122" s="74">
        <v>0</v>
      </c>
      <c r="L122" s="74">
        <f t="shared" si="2"/>
        <v>24000</v>
      </c>
      <c r="M122" s="74">
        <f t="shared" si="3"/>
        <v>18</v>
      </c>
    </row>
    <row r="123" spans="1:13">
      <c r="A123" s="27">
        <v>45909</v>
      </c>
      <c r="B123" s="76" t="s">
        <v>33</v>
      </c>
      <c r="C123" s="76"/>
      <c r="D123" s="76"/>
      <c r="E123" s="77"/>
      <c r="F123" s="74">
        <v>0</v>
      </c>
      <c r="G123" s="74">
        <v>9</v>
      </c>
      <c r="H123" s="74">
        <v>9</v>
      </c>
      <c r="I123" s="4">
        <v>33253</v>
      </c>
      <c r="J123" s="74">
        <v>0</v>
      </c>
      <c r="K123" s="74">
        <v>0</v>
      </c>
      <c r="L123" s="74">
        <f t="shared" si="2"/>
        <v>24000</v>
      </c>
      <c r="M123" s="74">
        <f t="shared" si="3"/>
        <v>18</v>
      </c>
    </row>
    <row r="124" spans="1:13">
      <c r="A124" s="27">
        <v>45910</v>
      </c>
      <c r="B124" s="76" t="s">
        <v>65</v>
      </c>
      <c r="C124" s="76"/>
      <c r="D124" s="76"/>
      <c r="E124" s="77"/>
      <c r="F124" s="4">
        <v>2207</v>
      </c>
      <c r="G124" s="74">
        <v>0</v>
      </c>
      <c r="H124" s="4">
        <v>2207</v>
      </c>
      <c r="I124" s="4">
        <v>35460</v>
      </c>
      <c r="J124" s="74">
        <v>0</v>
      </c>
      <c r="K124" s="74">
        <v>0</v>
      </c>
      <c r="L124" s="74">
        <f t="shared" ref="L124:L129" si="4">J124+L123</f>
        <v>24000</v>
      </c>
      <c r="M124" s="74">
        <f t="shared" ref="M124:M129" si="5">K124+M123</f>
        <v>18</v>
      </c>
    </row>
    <row r="125" spans="1:13">
      <c r="A125" s="27">
        <v>45910</v>
      </c>
      <c r="B125" s="76" t="s">
        <v>33</v>
      </c>
      <c r="C125" s="76"/>
      <c r="D125" s="76"/>
      <c r="E125" s="77"/>
      <c r="F125" s="74">
        <v>0</v>
      </c>
      <c r="G125" s="74">
        <v>8</v>
      </c>
      <c r="H125" s="74">
        <v>8</v>
      </c>
      <c r="I125" s="4">
        <v>35468</v>
      </c>
      <c r="J125" s="74">
        <v>0</v>
      </c>
      <c r="K125" s="74">
        <v>0</v>
      </c>
      <c r="L125" s="74">
        <f t="shared" si="4"/>
        <v>24000</v>
      </c>
      <c r="M125" s="74">
        <f t="shared" si="5"/>
        <v>18</v>
      </c>
    </row>
    <row r="126" spans="1:13">
      <c r="A126" s="27">
        <v>45911</v>
      </c>
      <c r="B126" s="76" t="s">
        <v>65</v>
      </c>
      <c r="C126" s="76"/>
      <c r="D126" s="76"/>
      <c r="E126" s="77"/>
      <c r="F126" s="74">
        <v>12</v>
      </c>
      <c r="G126" s="74">
        <v>0</v>
      </c>
      <c r="H126" s="74">
        <v>12</v>
      </c>
      <c r="I126" s="4">
        <v>35480</v>
      </c>
      <c r="J126" s="74">
        <v>0</v>
      </c>
      <c r="K126" s="74">
        <v>0</v>
      </c>
      <c r="L126" s="74">
        <f t="shared" si="4"/>
        <v>24000</v>
      </c>
      <c r="M126" s="74">
        <f t="shared" si="5"/>
        <v>18</v>
      </c>
    </row>
    <row r="127" spans="1:13">
      <c r="A127" s="27">
        <v>45911</v>
      </c>
      <c r="B127" s="76" t="s">
        <v>33</v>
      </c>
      <c r="C127" s="76"/>
      <c r="D127" s="76"/>
      <c r="E127" s="77"/>
      <c r="F127" s="74">
        <v>0</v>
      </c>
      <c r="G127" s="74">
        <v>9</v>
      </c>
      <c r="H127" s="74">
        <v>9</v>
      </c>
      <c r="I127" s="4">
        <v>35489</v>
      </c>
      <c r="J127" s="74">
        <v>0</v>
      </c>
      <c r="K127" s="74">
        <v>0</v>
      </c>
      <c r="L127" s="74">
        <f t="shared" si="4"/>
        <v>24000</v>
      </c>
      <c r="M127" s="74">
        <f t="shared" si="5"/>
        <v>18</v>
      </c>
    </row>
    <row r="128" spans="1:13">
      <c r="A128" s="27">
        <v>45912</v>
      </c>
      <c r="B128" s="76" t="s">
        <v>33</v>
      </c>
      <c r="C128" s="76"/>
      <c r="D128" s="76"/>
      <c r="E128" s="77"/>
      <c r="F128" s="74">
        <v>0</v>
      </c>
      <c r="G128" s="74">
        <v>15</v>
      </c>
      <c r="H128" s="74">
        <v>15</v>
      </c>
      <c r="I128" s="4">
        <v>35504</v>
      </c>
      <c r="J128" s="74">
        <v>0</v>
      </c>
      <c r="K128" s="74">
        <v>0</v>
      </c>
      <c r="L128" s="74">
        <f t="shared" si="4"/>
        <v>24000</v>
      </c>
      <c r="M128" s="74">
        <f t="shared" si="5"/>
        <v>18</v>
      </c>
    </row>
    <row r="129" spans="1:13">
      <c r="A129" s="29">
        <v>45913</v>
      </c>
      <c r="B129" s="78" t="s">
        <v>33</v>
      </c>
      <c r="C129" s="78"/>
      <c r="D129" s="78"/>
      <c r="E129" s="79"/>
      <c r="F129" s="75">
        <v>0</v>
      </c>
      <c r="G129" s="75">
        <v>12</v>
      </c>
      <c r="H129" s="75">
        <v>12</v>
      </c>
      <c r="I129" s="30">
        <v>35516</v>
      </c>
      <c r="J129" s="75">
        <v>0</v>
      </c>
      <c r="K129" s="75">
        <v>0</v>
      </c>
      <c r="L129" s="74">
        <f t="shared" si="4"/>
        <v>24000</v>
      </c>
      <c r="M129" s="74">
        <f t="shared" si="5"/>
        <v>18</v>
      </c>
    </row>
    <row r="130" spans="1:13">
      <c r="A130" s="27">
        <v>45914</v>
      </c>
      <c r="B130" s="76" t="s">
        <v>49</v>
      </c>
      <c r="C130" s="76"/>
      <c r="D130" s="76"/>
      <c r="E130" s="77"/>
      <c r="F130" s="74">
        <v>0</v>
      </c>
      <c r="G130" s="74">
        <v>1</v>
      </c>
      <c r="H130" s="74">
        <v>1</v>
      </c>
      <c r="I130" s="4">
        <v>35522</v>
      </c>
      <c r="J130" s="74">
        <v>0</v>
      </c>
      <c r="K130" s="74">
        <v>0</v>
      </c>
      <c r="L130" s="74">
        <f t="shared" ref="L130:L144" si="6">J130+L129</f>
        <v>24000</v>
      </c>
      <c r="M130" s="74">
        <f t="shared" ref="M130:M144" si="7">K130+M129</f>
        <v>18</v>
      </c>
    </row>
    <row r="131" spans="1:13">
      <c r="A131" s="27">
        <v>45914</v>
      </c>
      <c r="B131" s="76" t="s">
        <v>33</v>
      </c>
      <c r="C131" s="76"/>
      <c r="D131" s="76"/>
      <c r="E131" s="77"/>
      <c r="F131" s="74">
        <v>0</v>
      </c>
      <c r="G131" s="74">
        <v>71</v>
      </c>
      <c r="H131" s="74">
        <v>71</v>
      </c>
      <c r="I131" s="4">
        <v>35593</v>
      </c>
      <c r="J131" s="74">
        <v>0</v>
      </c>
      <c r="K131" s="74">
        <v>0</v>
      </c>
      <c r="L131" s="74">
        <f t="shared" si="6"/>
        <v>24000</v>
      </c>
      <c r="M131" s="74">
        <f t="shared" si="7"/>
        <v>18</v>
      </c>
    </row>
    <row r="132" spans="1:13">
      <c r="A132" s="29">
        <v>45914</v>
      </c>
      <c r="B132" s="78" t="s">
        <v>39</v>
      </c>
      <c r="C132" s="78"/>
      <c r="D132" s="78"/>
      <c r="E132" s="79"/>
      <c r="F132" s="30">
        <v>-1500</v>
      </c>
      <c r="G132" s="75">
        <v>0</v>
      </c>
      <c r="H132" s="30">
        <v>-1500</v>
      </c>
      <c r="I132" s="30">
        <v>34093</v>
      </c>
      <c r="J132" s="75">
        <v>0</v>
      </c>
      <c r="K132" s="75">
        <v>0</v>
      </c>
      <c r="L132" s="74">
        <f t="shared" ref="L132:L144" si="8">J132+L131</f>
        <v>24000</v>
      </c>
      <c r="M132" s="74">
        <f t="shared" ref="M132:M144" si="9">K132+M131</f>
        <v>18</v>
      </c>
    </row>
    <row r="133" spans="1:13">
      <c r="A133" s="27">
        <v>45915</v>
      </c>
      <c r="B133" s="1" t="s">
        <v>66</v>
      </c>
      <c r="C133" s="1" t="s">
        <v>13</v>
      </c>
      <c r="D133" s="1" t="s">
        <v>42</v>
      </c>
      <c r="E133" s="1" t="s">
        <v>43</v>
      </c>
      <c r="F133" s="74">
        <v>624</v>
      </c>
      <c r="G133" s="28">
        <v>206</v>
      </c>
      <c r="H133" s="74">
        <v>830</v>
      </c>
      <c r="I133" s="4">
        <v>34923</v>
      </c>
      <c r="J133" s="4">
        <v>1648</v>
      </c>
      <c r="K133" s="74">
        <v>1</v>
      </c>
      <c r="L133" s="74">
        <f t="shared" si="8"/>
        <v>25648</v>
      </c>
      <c r="M133" s="74">
        <f t="shared" si="9"/>
        <v>19</v>
      </c>
    </row>
    <row r="134" spans="1:13">
      <c r="A134" s="27">
        <v>45915</v>
      </c>
      <c r="B134" s="76" t="s">
        <v>33</v>
      </c>
      <c r="C134" s="76"/>
      <c r="D134" s="76"/>
      <c r="E134" s="77"/>
      <c r="F134" s="74">
        <v>0</v>
      </c>
      <c r="G134" s="74">
        <v>17</v>
      </c>
      <c r="H134" s="74">
        <v>17</v>
      </c>
      <c r="I134" s="4">
        <v>34940</v>
      </c>
      <c r="J134" s="74">
        <v>0</v>
      </c>
      <c r="K134" s="74">
        <v>0</v>
      </c>
      <c r="L134" s="74">
        <f t="shared" si="8"/>
        <v>25648</v>
      </c>
      <c r="M134" s="74">
        <f t="shared" si="9"/>
        <v>19</v>
      </c>
    </row>
    <row r="135" spans="1:13">
      <c r="A135" s="27">
        <v>45916</v>
      </c>
      <c r="B135" s="76" t="s">
        <v>33</v>
      </c>
      <c r="C135" s="76"/>
      <c r="D135" s="76"/>
      <c r="E135" s="77"/>
      <c r="F135" s="74">
        <v>0</v>
      </c>
      <c r="G135" s="74">
        <v>8</v>
      </c>
      <c r="H135" s="74">
        <v>8</v>
      </c>
      <c r="I135" s="4">
        <v>34948</v>
      </c>
      <c r="J135" s="74">
        <v>0</v>
      </c>
      <c r="K135" s="74">
        <v>0</v>
      </c>
      <c r="L135" s="74">
        <f t="shared" si="8"/>
        <v>25648</v>
      </c>
      <c r="M135" s="74">
        <f t="shared" si="9"/>
        <v>19</v>
      </c>
    </row>
    <row r="136" spans="1:13">
      <c r="A136" s="27">
        <v>45917</v>
      </c>
      <c r="B136" s="1" t="s">
        <v>67</v>
      </c>
      <c r="C136" s="1" t="s">
        <v>24</v>
      </c>
      <c r="D136" s="1" t="s">
        <v>42</v>
      </c>
      <c r="E136" s="1" t="s">
        <v>43</v>
      </c>
      <c r="F136" s="74">
        <v>624</v>
      </c>
      <c r="G136" s="28">
        <v>206</v>
      </c>
      <c r="H136" s="74">
        <v>830</v>
      </c>
      <c r="I136" s="4">
        <v>35778</v>
      </c>
      <c r="J136" s="4">
        <v>1648</v>
      </c>
      <c r="K136" s="74">
        <v>1</v>
      </c>
      <c r="L136" s="74">
        <f t="shared" si="8"/>
        <v>27296</v>
      </c>
      <c r="M136" s="74">
        <f t="shared" si="9"/>
        <v>20</v>
      </c>
    </row>
    <row r="137" spans="1:13">
      <c r="A137" s="27">
        <v>45917</v>
      </c>
      <c r="B137" s="76" t="s">
        <v>33</v>
      </c>
      <c r="C137" s="76"/>
      <c r="D137" s="76"/>
      <c r="E137" s="77"/>
      <c r="F137" s="74">
        <v>0</v>
      </c>
      <c r="G137" s="74">
        <v>10</v>
      </c>
      <c r="H137" s="74">
        <v>10</v>
      </c>
      <c r="I137" s="4">
        <v>35788</v>
      </c>
      <c r="J137" s="74">
        <v>0</v>
      </c>
      <c r="K137" s="74">
        <v>0</v>
      </c>
      <c r="L137" s="74">
        <f t="shared" si="8"/>
        <v>27296</v>
      </c>
      <c r="M137" s="74">
        <f t="shared" si="9"/>
        <v>20</v>
      </c>
    </row>
    <row r="138" spans="1:13">
      <c r="A138" s="27">
        <v>45918</v>
      </c>
      <c r="B138" s="76" t="s">
        <v>33</v>
      </c>
      <c r="C138" s="76"/>
      <c r="D138" s="76"/>
      <c r="E138" s="77"/>
      <c r="F138" s="74">
        <v>0</v>
      </c>
      <c r="G138" s="74">
        <v>11</v>
      </c>
      <c r="H138" s="74">
        <v>11</v>
      </c>
      <c r="I138" s="4">
        <v>35799</v>
      </c>
      <c r="J138" s="74">
        <v>0</v>
      </c>
      <c r="K138" s="74">
        <v>0</v>
      </c>
      <c r="L138" s="74">
        <f t="shared" si="8"/>
        <v>27296</v>
      </c>
      <c r="M138" s="74">
        <f t="shared" si="9"/>
        <v>20</v>
      </c>
    </row>
    <row r="139" spans="1:13">
      <c r="A139" s="27">
        <v>45919</v>
      </c>
      <c r="B139" s="76" t="s">
        <v>33</v>
      </c>
      <c r="C139" s="76"/>
      <c r="D139" s="76"/>
      <c r="E139" s="77"/>
      <c r="F139" s="74">
        <v>0</v>
      </c>
      <c r="G139" s="74">
        <v>9</v>
      </c>
      <c r="H139" s="74">
        <v>9</v>
      </c>
      <c r="I139" s="4">
        <v>35808</v>
      </c>
      <c r="J139" s="74">
        <v>0</v>
      </c>
      <c r="K139" s="74">
        <v>0</v>
      </c>
      <c r="L139" s="74">
        <f t="shared" si="8"/>
        <v>27296</v>
      </c>
      <c r="M139" s="74">
        <f t="shared" si="9"/>
        <v>20</v>
      </c>
    </row>
    <row r="140" spans="1:13">
      <c r="A140" s="27">
        <v>45919</v>
      </c>
      <c r="B140" s="76" t="s">
        <v>37</v>
      </c>
      <c r="C140" s="76"/>
      <c r="D140" s="76"/>
      <c r="E140" s="77"/>
      <c r="F140" s="4">
        <v>-7000</v>
      </c>
      <c r="G140" s="74">
        <v>0</v>
      </c>
      <c r="H140" s="4">
        <v>-7000</v>
      </c>
      <c r="I140" s="4">
        <v>28808</v>
      </c>
      <c r="J140" s="74">
        <v>0</v>
      </c>
      <c r="K140" s="74">
        <v>0</v>
      </c>
      <c r="L140" s="74">
        <f t="shared" si="8"/>
        <v>27296</v>
      </c>
      <c r="M140" s="74">
        <f t="shared" si="9"/>
        <v>20</v>
      </c>
    </row>
    <row r="141" spans="1:13">
      <c r="A141" s="27">
        <v>45919</v>
      </c>
      <c r="B141" s="76" t="s">
        <v>37</v>
      </c>
      <c r="C141" s="76"/>
      <c r="D141" s="76"/>
      <c r="E141" s="77"/>
      <c r="F141" s="4">
        <v>-7000</v>
      </c>
      <c r="G141" s="74">
        <v>0</v>
      </c>
      <c r="H141" s="4">
        <v>-7000</v>
      </c>
      <c r="I141" s="4">
        <v>21808</v>
      </c>
      <c r="J141" s="74">
        <v>0</v>
      </c>
      <c r="K141" s="74">
        <v>0</v>
      </c>
      <c r="L141" s="74">
        <f t="shared" si="8"/>
        <v>27296</v>
      </c>
      <c r="M141" s="74">
        <f t="shared" si="9"/>
        <v>20</v>
      </c>
    </row>
    <row r="142" spans="1:13">
      <c r="A142" s="27">
        <v>45919</v>
      </c>
      <c r="B142" s="76" t="s">
        <v>37</v>
      </c>
      <c r="C142" s="76"/>
      <c r="D142" s="76"/>
      <c r="E142" s="77"/>
      <c r="F142" s="4">
        <v>-7000</v>
      </c>
      <c r="G142" s="74">
        <v>0</v>
      </c>
      <c r="H142" s="4">
        <v>-7000</v>
      </c>
      <c r="I142" s="4">
        <v>14808</v>
      </c>
      <c r="J142" s="74">
        <v>0</v>
      </c>
      <c r="K142" s="74">
        <v>0</v>
      </c>
      <c r="L142" s="74">
        <f t="shared" si="8"/>
        <v>27296</v>
      </c>
      <c r="M142" s="74">
        <f t="shared" si="9"/>
        <v>20</v>
      </c>
    </row>
    <row r="143" spans="1:13">
      <c r="A143" s="27">
        <v>45919</v>
      </c>
      <c r="B143" s="76" t="s">
        <v>37</v>
      </c>
      <c r="C143" s="76"/>
      <c r="D143" s="76"/>
      <c r="E143" s="77"/>
      <c r="F143" s="4">
        <v>-7000</v>
      </c>
      <c r="G143" s="74">
        <v>0</v>
      </c>
      <c r="H143" s="4">
        <v>-7000</v>
      </c>
      <c r="I143" s="4">
        <v>7808</v>
      </c>
      <c r="J143" s="74">
        <v>0</v>
      </c>
      <c r="K143" s="74">
        <v>0</v>
      </c>
      <c r="L143" s="74">
        <f t="shared" si="8"/>
        <v>27296</v>
      </c>
      <c r="M143" s="74">
        <f t="shared" si="9"/>
        <v>20</v>
      </c>
    </row>
    <row r="144" spans="1:13">
      <c r="A144" s="29">
        <v>45920</v>
      </c>
      <c r="B144" s="78" t="s">
        <v>33</v>
      </c>
      <c r="C144" s="78"/>
      <c r="D144" s="78"/>
      <c r="E144" s="79"/>
      <c r="F144" s="75">
        <v>0</v>
      </c>
      <c r="G144" s="75">
        <v>8</v>
      </c>
      <c r="H144" s="75">
        <v>8</v>
      </c>
      <c r="I144" s="30">
        <v>7816</v>
      </c>
      <c r="J144" s="75">
        <v>0</v>
      </c>
      <c r="K144" s="75">
        <v>0</v>
      </c>
      <c r="L144" s="74">
        <f t="shared" si="8"/>
        <v>27296</v>
      </c>
      <c r="M144" s="74">
        <f t="shared" si="9"/>
        <v>20</v>
      </c>
    </row>
    <row r="145" spans="1:13">
      <c r="A145" s="27">
        <v>45921</v>
      </c>
      <c r="B145" s="76" t="s">
        <v>33</v>
      </c>
      <c r="C145" s="76"/>
      <c r="D145" s="76"/>
      <c r="E145" s="77"/>
      <c r="F145" s="74">
        <v>0</v>
      </c>
      <c r="G145" s="74">
        <v>27</v>
      </c>
      <c r="H145" s="74">
        <v>27</v>
      </c>
      <c r="I145" s="4">
        <v>7847</v>
      </c>
      <c r="J145" s="74">
        <v>0</v>
      </c>
      <c r="K145" s="74">
        <v>0</v>
      </c>
      <c r="L145" s="74">
        <f t="shared" ref="L145:L169" si="10">J145+L144</f>
        <v>27296</v>
      </c>
      <c r="M145" s="74">
        <f t="shared" ref="M145:M169" si="11">K145+M144</f>
        <v>20</v>
      </c>
    </row>
    <row r="146" spans="1:13">
      <c r="A146" s="27">
        <v>45922</v>
      </c>
      <c r="B146" s="76" t="s">
        <v>33</v>
      </c>
      <c r="C146" s="76"/>
      <c r="D146" s="76"/>
      <c r="E146" s="77"/>
      <c r="F146" s="74">
        <v>0</v>
      </c>
      <c r="G146" s="74">
        <v>8</v>
      </c>
      <c r="H146" s="74">
        <v>8</v>
      </c>
      <c r="I146" s="4">
        <v>7855</v>
      </c>
      <c r="J146" s="74">
        <v>0</v>
      </c>
      <c r="K146" s="74">
        <v>0</v>
      </c>
      <c r="L146" s="74">
        <f t="shared" si="10"/>
        <v>27296</v>
      </c>
      <c r="M146" s="74">
        <f t="shared" si="11"/>
        <v>20</v>
      </c>
    </row>
    <row r="147" spans="1:13">
      <c r="A147" s="27">
        <v>45923</v>
      </c>
      <c r="B147" s="76" t="s">
        <v>33</v>
      </c>
      <c r="C147" s="76"/>
      <c r="D147" s="76"/>
      <c r="E147" s="77"/>
      <c r="F147" s="74">
        <v>0</v>
      </c>
      <c r="G147" s="74">
        <v>10</v>
      </c>
      <c r="H147" s="74">
        <v>10</v>
      </c>
      <c r="I147" s="4">
        <v>7865</v>
      </c>
      <c r="J147" s="74">
        <v>0</v>
      </c>
      <c r="K147" s="74">
        <v>0</v>
      </c>
      <c r="L147" s="74">
        <f t="shared" si="10"/>
        <v>27296</v>
      </c>
      <c r="M147" s="74">
        <f t="shared" si="11"/>
        <v>20</v>
      </c>
    </row>
    <row r="148" spans="1:13">
      <c r="A148" s="27">
        <v>45924</v>
      </c>
      <c r="B148" s="76" t="s">
        <v>33</v>
      </c>
      <c r="C148" s="76"/>
      <c r="D148" s="76"/>
      <c r="E148" s="77"/>
      <c r="F148" s="74">
        <v>0</v>
      </c>
      <c r="G148" s="74">
        <v>7</v>
      </c>
      <c r="H148" s="74">
        <v>7</v>
      </c>
      <c r="I148" s="4">
        <v>7872</v>
      </c>
      <c r="J148" s="74">
        <v>0</v>
      </c>
      <c r="K148" s="74">
        <v>0</v>
      </c>
      <c r="L148" s="74">
        <f t="shared" si="10"/>
        <v>27296</v>
      </c>
      <c r="M148" s="74">
        <f t="shared" si="11"/>
        <v>20</v>
      </c>
    </row>
    <row r="149" spans="1:13">
      <c r="A149" s="27">
        <v>45925</v>
      </c>
      <c r="B149" s="76" t="s">
        <v>33</v>
      </c>
      <c r="C149" s="76"/>
      <c r="D149" s="76"/>
      <c r="E149" s="77"/>
      <c r="F149" s="74">
        <v>0</v>
      </c>
      <c r="G149" s="74">
        <v>55</v>
      </c>
      <c r="H149" s="74">
        <v>55</v>
      </c>
      <c r="I149" s="4">
        <v>7927</v>
      </c>
      <c r="J149" s="74">
        <v>0</v>
      </c>
      <c r="K149" s="74">
        <v>0</v>
      </c>
      <c r="L149" s="74">
        <f t="shared" si="10"/>
        <v>27296</v>
      </c>
      <c r="M149" s="74">
        <f t="shared" si="11"/>
        <v>20</v>
      </c>
    </row>
    <row r="150" spans="1:13">
      <c r="A150" s="27">
        <v>45926</v>
      </c>
      <c r="B150" s="1" t="s">
        <v>68</v>
      </c>
      <c r="C150" s="1" t="s">
        <v>69</v>
      </c>
      <c r="D150" s="1" t="s">
        <v>42</v>
      </c>
      <c r="E150" s="1" t="s">
        <v>50</v>
      </c>
      <c r="F150" s="74">
        <v>403</v>
      </c>
      <c r="G150" s="28">
        <v>151</v>
      </c>
      <c r="H150" s="74">
        <v>554</v>
      </c>
      <c r="I150" s="4">
        <v>8481</v>
      </c>
      <c r="J150" s="4">
        <v>1006</v>
      </c>
      <c r="K150" s="74">
        <v>1</v>
      </c>
      <c r="L150" s="74">
        <f t="shared" si="10"/>
        <v>28302</v>
      </c>
      <c r="M150" s="74">
        <f t="shared" si="11"/>
        <v>21</v>
      </c>
    </row>
    <row r="151" spans="1:13">
      <c r="A151" s="27">
        <v>45926</v>
      </c>
      <c r="B151" s="1" t="s">
        <v>70</v>
      </c>
      <c r="C151" s="1" t="s">
        <v>71</v>
      </c>
      <c r="D151" s="1" t="s">
        <v>42</v>
      </c>
      <c r="E151" s="1" t="s">
        <v>50</v>
      </c>
      <c r="F151" s="74">
        <v>403</v>
      </c>
      <c r="G151" s="28">
        <v>151</v>
      </c>
      <c r="H151" s="74">
        <v>554</v>
      </c>
      <c r="I151" s="4">
        <v>9035</v>
      </c>
      <c r="J151" s="4">
        <v>1006</v>
      </c>
      <c r="K151" s="74">
        <v>1</v>
      </c>
      <c r="L151" s="74">
        <f t="shared" si="10"/>
        <v>29308</v>
      </c>
      <c r="M151" s="74">
        <f t="shared" si="11"/>
        <v>22</v>
      </c>
    </row>
    <row r="152" spans="1:13">
      <c r="A152" s="27">
        <v>45926</v>
      </c>
      <c r="B152" s="1" t="s">
        <v>72</v>
      </c>
      <c r="C152" s="1" t="s">
        <v>73</v>
      </c>
      <c r="D152" s="1" t="s">
        <v>42</v>
      </c>
      <c r="E152" s="1" t="s">
        <v>50</v>
      </c>
      <c r="F152" s="74">
        <v>98</v>
      </c>
      <c r="G152" s="28">
        <v>75</v>
      </c>
      <c r="H152" s="74">
        <v>173</v>
      </c>
      <c r="I152" s="4">
        <v>9208</v>
      </c>
      <c r="J152" s="74">
        <v>396</v>
      </c>
      <c r="K152" s="74">
        <v>1</v>
      </c>
      <c r="L152" s="74">
        <f t="shared" si="10"/>
        <v>29704</v>
      </c>
      <c r="M152" s="74">
        <f t="shared" si="11"/>
        <v>23</v>
      </c>
    </row>
    <row r="153" spans="1:13">
      <c r="A153" s="27">
        <v>45926</v>
      </c>
      <c r="B153" s="1" t="s">
        <v>74</v>
      </c>
      <c r="C153" s="1" t="s">
        <v>75</v>
      </c>
      <c r="D153" s="1" t="s">
        <v>42</v>
      </c>
      <c r="E153" s="1" t="s">
        <v>50</v>
      </c>
      <c r="F153" s="74">
        <v>98</v>
      </c>
      <c r="G153" s="28">
        <v>75</v>
      </c>
      <c r="H153" s="74">
        <v>173</v>
      </c>
      <c r="I153" s="4">
        <v>9381</v>
      </c>
      <c r="J153" s="74">
        <v>396</v>
      </c>
      <c r="K153" s="74">
        <v>1</v>
      </c>
      <c r="L153" s="74">
        <f t="shared" si="10"/>
        <v>30100</v>
      </c>
      <c r="M153" s="74">
        <f t="shared" si="11"/>
        <v>24</v>
      </c>
    </row>
    <row r="154" spans="1:13">
      <c r="A154" s="27">
        <v>45926</v>
      </c>
      <c r="B154" s="1" t="s">
        <v>76</v>
      </c>
      <c r="C154" s="1" t="s">
        <v>77</v>
      </c>
      <c r="D154" s="1" t="s">
        <v>42</v>
      </c>
      <c r="E154" s="1" t="s">
        <v>50</v>
      </c>
      <c r="F154" s="74">
        <v>182</v>
      </c>
      <c r="G154" s="28">
        <v>96</v>
      </c>
      <c r="H154" s="74">
        <v>278</v>
      </c>
      <c r="I154" s="4">
        <v>9659</v>
      </c>
      <c r="J154" s="74">
        <v>564</v>
      </c>
      <c r="K154" s="74">
        <v>1</v>
      </c>
      <c r="L154" s="74">
        <f t="shared" si="10"/>
        <v>30664</v>
      </c>
      <c r="M154" s="74">
        <f t="shared" si="11"/>
        <v>25</v>
      </c>
    </row>
    <row r="155" spans="1:13">
      <c r="A155" s="27">
        <v>45926</v>
      </c>
      <c r="B155" s="1" t="s">
        <v>78</v>
      </c>
      <c r="C155" s="1" t="s">
        <v>79</v>
      </c>
      <c r="D155" s="1" t="s">
        <v>42</v>
      </c>
      <c r="E155" s="1" t="s">
        <v>50</v>
      </c>
      <c r="F155" s="74">
        <v>182</v>
      </c>
      <c r="G155" s="28">
        <v>96</v>
      </c>
      <c r="H155" s="74">
        <v>278</v>
      </c>
      <c r="I155" s="4">
        <v>9937</v>
      </c>
      <c r="J155" s="74">
        <v>564</v>
      </c>
      <c r="K155" s="74">
        <v>1</v>
      </c>
      <c r="L155" s="74">
        <f t="shared" si="10"/>
        <v>31228</v>
      </c>
      <c r="M155" s="74">
        <f t="shared" si="11"/>
        <v>26</v>
      </c>
    </row>
    <row r="156" spans="1:13">
      <c r="A156" s="27">
        <v>45926</v>
      </c>
      <c r="B156" s="1" t="s">
        <v>12</v>
      </c>
      <c r="C156" s="1" t="s">
        <v>13</v>
      </c>
      <c r="D156" s="1" t="s">
        <v>42</v>
      </c>
      <c r="E156" s="1" t="s">
        <v>50</v>
      </c>
      <c r="F156" s="74">
        <v>425</v>
      </c>
      <c r="G156" s="28">
        <v>156</v>
      </c>
      <c r="H156" s="74">
        <v>581</v>
      </c>
      <c r="I156" s="4">
        <v>10518</v>
      </c>
      <c r="J156" s="4">
        <v>1050</v>
      </c>
      <c r="K156" s="74">
        <v>1</v>
      </c>
      <c r="L156" s="74">
        <f t="shared" si="10"/>
        <v>32278</v>
      </c>
      <c r="M156" s="74">
        <f t="shared" si="11"/>
        <v>27</v>
      </c>
    </row>
    <row r="157" spans="1:13">
      <c r="A157" s="27">
        <v>45926</v>
      </c>
      <c r="B157" s="76" t="s">
        <v>33</v>
      </c>
      <c r="C157" s="76"/>
      <c r="D157" s="76"/>
      <c r="E157" s="77"/>
      <c r="F157" s="74">
        <v>0</v>
      </c>
      <c r="G157" s="74">
        <v>7</v>
      </c>
      <c r="H157" s="74">
        <v>7</v>
      </c>
      <c r="I157" s="4">
        <v>10525</v>
      </c>
      <c r="J157" s="74">
        <v>0</v>
      </c>
      <c r="K157" s="74">
        <v>0</v>
      </c>
      <c r="L157" s="74">
        <f t="shared" si="10"/>
        <v>32278</v>
      </c>
      <c r="M157" s="74">
        <f t="shared" si="11"/>
        <v>27</v>
      </c>
    </row>
    <row r="158" spans="1:13">
      <c r="A158" s="27">
        <v>45927</v>
      </c>
      <c r="B158" s="1" t="s">
        <v>80</v>
      </c>
      <c r="C158" s="1" t="s">
        <v>81</v>
      </c>
      <c r="D158" s="1" t="s">
        <v>42</v>
      </c>
      <c r="E158" s="1" t="s">
        <v>50</v>
      </c>
      <c r="F158" s="74">
        <v>29</v>
      </c>
      <c r="G158" s="28">
        <v>57</v>
      </c>
      <c r="H158" s="74">
        <v>86</v>
      </c>
      <c r="I158" s="4">
        <v>10611</v>
      </c>
      <c r="J158" s="74">
        <v>258</v>
      </c>
      <c r="K158" s="74">
        <v>1</v>
      </c>
      <c r="L158" s="74">
        <f t="shared" si="10"/>
        <v>32536</v>
      </c>
      <c r="M158" s="74">
        <f t="shared" si="11"/>
        <v>28</v>
      </c>
    </row>
    <row r="159" spans="1:13">
      <c r="A159" s="27">
        <v>45927</v>
      </c>
      <c r="B159" s="1" t="s">
        <v>82</v>
      </c>
      <c r="C159" s="1" t="s">
        <v>83</v>
      </c>
      <c r="D159" s="1" t="s">
        <v>42</v>
      </c>
      <c r="E159" s="1" t="s">
        <v>50</v>
      </c>
      <c r="F159" s="74">
        <v>29</v>
      </c>
      <c r="G159" s="28">
        <v>57</v>
      </c>
      <c r="H159" s="74">
        <v>86</v>
      </c>
      <c r="I159" s="4">
        <v>10697</v>
      </c>
      <c r="J159" s="74">
        <v>258</v>
      </c>
      <c r="K159" s="74">
        <v>1</v>
      </c>
      <c r="L159" s="74">
        <f t="shared" si="10"/>
        <v>32794</v>
      </c>
      <c r="M159" s="74">
        <f t="shared" si="11"/>
        <v>29</v>
      </c>
    </row>
    <row r="160" spans="1:13">
      <c r="A160" s="27">
        <v>45927</v>
      </c>
      <c r="B160" s="1" t="s">
        <v>84</v>
      </c>
      <c r="C160" s="1" t="s">
        <v>85</v>
      </c>
      <c r="D160" s="1" t="s">
        <v>42</v>
      </c>
      <c r="E160" s="1" t="s">
        <v>50</v>
      </c>
      <c r="F160" s="74">
        <v>54</v>
      </c>
      <c r="G160" s="28">
        <v>64</v>
      </c>
      <c r="H160" s="74">
        <v>118</v>
      </c>
      <c r="I160" s="4">
        <v>10815</v>
      </c>
      <c r="J160" s="74">
        <v>308</v>
      </c>
      <c r="K160" s="74">
        <v>1</v>
      </c>
      <c r="L160" s="74">
        <f t="shared" si="10"/>
        <v>33102</v>
      </c>
      <c r="M160" s="74">
        <f t="shared" si="11"/>
        <v>30</v>
      </c>
    </row>
    <row r="161" spans="1:13">
      <c r="A161" s="27">
        <v>45927</v>
      </c>
      <c r="B161" s="1" t="s">
        <v>86</v>
      </c>
      <c r="C161" s="1" t="s">
        <v>87</v>
      </c>
      <c r="D161" s="1" t="s">
        <v>42</v>
      </c>
      <c r="E161" s="1" t="s">
        <v>50</v>
      </c>
      <c r="F161" s="74">
        <v>60</v>
      </c>
      <c r="G161" s="28">
        <v>65</v>
      </c>
      <c r="H161" s="74">
        <v>125</v>
      </c>
      <c r="I161" s="4">
        <v>10940</v>
      </c>
      <c r="J161" s="74">
        <v>320</v>
      </c>
      <c r="K161" s="74">
        <v>1</v>
      </c>
      <c r="L161" s="74">
        <f t="shared" si="10"/>
        <v>33422</v>
      </c>
      <c r="M161" s="74">
        <f t="shared" si="11"/>
        <v>31</v>
      </c>
    </row>
    <row r="162" spans="1:13">
      <c r="A162" s="27">
        <v>45927</v>
      </c>
      <c r="B162" s="1" t="s">
        <v>88</v>
      </c>
      <c r="C162" s="1" t="s">
        <v>89</v>
      </c>
      <c r="D162" s="1" t="s">
        <v>42</v>
      </c>
      <c r="E162" s="1" t="s">
        <v>50</v>
      </c>
      <c r="F162" s="74">
        <v>60</v>
      </c>
      <c r="G162" s="28">
        <v>65</v>
      </c>
      <c r="H162" s="74">
        <v>125</v>
      </c>
      <c r="I162" s="4">
        <v>11065</v>
      </c>
      <c r="J162" s="74">
        <v>320</v>
      </c>
      <c r="K162" s="74">
        <v>1</v>
      </c>
      <c r="L162" s="74">
        <f t="shared" si="10"/>
        <v>33742</v>
      </c>
      <c r="M162" s="74">
        <f t="shared" si="11"/>
        <v>32</v>
      </c>
    </row>
    <row r="163" spans="1:13">
      <c r="A163" s="27">
        <v>45927</v>
      </c>
      <c r="B163" s="1" t="s">
        <v>90</v>
      </c>
      <c r="C163" s="1" t="s">
        <v>91</v>
      </c>
      <c r="D163" s="1" t="s">
        <v>42</v>
      </c>
      <c r="E163" s="1" t="s">
        <v>50</v>
      </c>
      <c r="F163" s="74">
        <v>185</v>
      </c>
      <c r="G163" s="28">
        <v>96</v>
      </c>
      <c r="H163" s="74">
        <v>281</v>
      </c>
      <c r="I163" s="4">
        <v>11346</v>
      </c>
      <c r="J163" s="74">
        <v>570</v>
      </c>
      <c r="K163" s="74">
        <v>1</v>
      </c>
      <c r="L163" s="74">
        <f t="shared" si="10"/>
        <v>34312</v>
      </c>
      <c r="M163" s="74">
        <f t="shared" si="11"/>
        <v>33</v>
      </c>
    </row>
    <row r="164" spans="1:13">
      <c r="A164" s="27">
        <v>45927</v>
      </c>
      <c r="B164" s="1" t="s">
        <v>92</v>
      </c>
      <c r="C164" s="1" t="s">
        <v>93</v>
      </c>
      <c r="D164" s="1" t="s">
        <v>42</v>
      </c>
      <c r="E164" s="1" t="s">
        <v>50</v>
      </c>
      <c r="F164" s="74">
        <v>133</v>
      </c>
      <c r="G164" s="28">
        <v>83</v>
      </c>
      <c r="H164" s="74">
        <v>216</v>
      </c>
      <c r="I164" s="4">
        <v>11562</v>
      </c>
      <c r="J164" s="74">
        <v>466</v>
      </c>
      <c r="K164" s="74">
        <v>1</v>
      </c>
      <c r="L164" s="74">
        <f t="shared" si="10"/>
        <v>34778</v>
      </c>
      <c r="M164" s="74">
        <f t="shared" si="11"/>
        <v>34</v>
      </c>
    </row>
    <row r="165" spans="1:13">
      <c r="A165" s="27">
        <v>45927</v>
      </c>
      <c r="B165" s="1" t="s">
        <v>94</v>
      </c>
      <c r="C165" s="1" t="s">
        <v>71</v>
      </c>
      <c r="D165" s="1" t="s">
        <v>42</v>
      </c>
      <c r="E165" s="1" t="s">
        <v>50</v>
      </c>
      <c r="F165" s="74">
        <v>403</v>
      </c>
      <c r="G165" s="28">
        <v>151</v>
      </c>
      <c r="H165" s="74">
        <v>554</v>
      </c>
      <c r="I165" s="4">
        <v>12116</v>
      </c>
      <c r="J165" s="4">
        <v>1006</v>
      </c>
      <c r="K165" s="74">
        <v>1</v>
      </c>
      <c r="L165" s="74">
        <f t="shared" si="10"/>
        <v>35784</v>
      </c>
      <c r="M165" s="74">
        <f t="shared" si="11"/>
        <v>35</v>
      </c>
    </row>
    <row r="166" spans="1:13">
      <c r="A166" s="27">
        <v>45927</v>
      </c>
      <c r="B166" s="1" t="s">
        <v>95</v>
      </c>
      <c r="C166" s="1" t="s">
        <v>69</v>
      </c>
      <c r="D166" s="1" t="s">
        <v>42</v>
      </c>
      <c r="E166" s="1" t="s">
        <v>50</v>
      </c>
      <c r="F166" s="74">
        <v>403</v>
      </c>
      <c r="G166" s="28">
        <v>151</v>
      </c>
      <c r="H166" s="74">
        <v>554</v>
      </c>
      <c r="I166" s="4">
        <v>12670</v>
      </c>
      <c r="J166" s="4">
        <v>1006</v>
      </c>
      <c r="K166" s="74">
        <v>1</v>
      </c>
      <c r="L166" s="74">
        <f t="shared" si="10"/>
        <v>36790</v>
      </c>
      <c r="M166" s="74">
        <f t="shared" si="11"/>
        <v>36</v>
      </c>
    </row>
    <row r="167" spans="1:13">
      <c r="A167" s="27">
        <v>45927</v>
      </c>
      <c r="B167" s="76" t="s">
        <v>33</v>
      </c>
      <c r="C167" s="76"/>
      <c r="D167" s="76"/>
      <c r="E167" s="77"/>
      <c r="F167" s="74">
        <v>0</v>
      </c>
      <c r="G167" s="74">
        <v>160</v>
      </c>
      <c r="H167" s="74">
        <v>160</v>
      </c>
      <c r="I167" s="4">
        <v>12830</v>
      </c>
      <c r="J167" s="74">
        <v>0</v>
      </c>
      <c r="K167" s="74">
        <v>0</v>
      </c>
      <c r="L167" s="74">
        <f t="shared" si="10"/>
        <v>36790</v>
      </c>
      <c r="M167" s="74">
        <f t="shared" si="11"/>
        <v>36</v>
      </c>
    </row>
    <row r="168" spans="1:13">
      <c r="A168" s="27">
        <v>45928</v>
      </c>
      <c r="B168" s="76" t="s">
        <v>33</v>
      </c>
      <c r="C168" s="76"/>
      <c r="D168" s="76"/>
      <c r="E168" s="77"/>
      <c r="F168" s="74">
        <v>0</v>
      </c>
      <c r="G168" s="74">
        <v>172</v>
      </c>
      <c r="H168" s="74">
        <v>172</v>
      </c>
      <c r="I168" s="4">
        <v>13002</v>
      </c>
      <c r="J168" s="74">
        <v>0</v>
      </c>
      <c r="K168" s="74">
        <v>0</v>
      </c>
      <c r="L168" s="74">
        <f t="shared" si="10"/>
        <v>36790</v>
      </c>
      <c r="M168" s="74">
        <f t="shared" si="11"/>
        <v>36</v>
      </c>
    </row>
    <row r="169" spans="1:13">
      <c r="A169" s="29">
        <v>45929</v>
      </c>
      <c r="B169" s="78" t="s">
        <v>33</v>
      </c>
      <c r="C169" s="78"/>
      <c r="D169" s="78"/>
      <c r="E169" s="79"/>
      <c r="F169" s="75">
        <v>0</v>
      </c>
      <c r="G169" s="75">
        <v>219</v>
      </c>
      <c r="H169" s="75">
        <v>219</v>
      </c>
      <c r="I169" s="30">
        <v>13221</v>
      </c>
      <c r="J169" s="75">
        <v>0</v>
      </c>
      <c r="K169" s="75">
        <v>0</v>
      </c>
      <c r="L169" s="74">
        <f t="shared" si="10"/>
        <v>36790</v>
      </c>
      <c r="M169" s="74">
        <f t="shared" si="11"/>
        <v>36</v>
      </c>
    </row>
    <row r="170" spans="1:13">
      <c r="A170" s="27">
        <v>45930</v>
      </c>
      <c r="B170" s="76" t="s">
        <v>49</v>
      </c>
      <c r="C170" s="76"/>
      <c r="D170" s="76"/>
      <c r="E170" s="77"/>
      <c r="F170" s="74">
        <v>0</v>
      </c>
      <c r="G170" s="74">
        <v>1</v>
      </c>
      <c r="H170" s="74">
        <v>1</v>
      </c>
      <c r="I170" s="4">
        <v>15617</v>
      </c>
      <c r="J170" s="74">
        <v>0</v>
      </c>
      <c r="K170" s="74">
        <v>0</v>
      </c>
      <c r="L170" s="74">
        <f t="shared" ref="L170:L197" si="12">J170+L169</f>
        <v>36790</v>
      </c>
      <c r="M170" s="74">
        <f t="shared" ref="M170:M197" si="13">K170+M169</f>
        <v>36</v>
      </c>
    </row>
    <row r="171" spans="1:13">
      <c r="A171" s="27">
        <v>45930</v>
      </c>
      <c r="B171" s="76" t="s">
        <v>33</v>
      </c>
      <c r="C171" s="76"/>
      <c r="D171" s="76"/>
      <c r="E171" s="77"/>
      <c r="F171" s="74">
        <v>0</v>
      </c>
      <c r="G171" s="74">
        <v>4</v>
      </c>
      <c r="H171" s="74">
        <v>4</v>
      </c>
      <c r="I171" s="4">
        <v>15621</v>
      </c>
      <c r="J171" s="74">
        <v>0</v>
      </c>
      <c r="K171" s="74">
        <v>0</v>
      </c>
      <c r="L171" s="74">
        <f t="shared" si="12"/>
        <v>36790</v>
      </c>
      <c r="M171" s="74">
        <f t="shared" si="13"/>
        <v>36</v>
      </c>
    </row>
    <row r="172" spans="1:13">
      <c r="A172" s="27">
        <v>45931</v>
      </c>
      <c r="B172" s="76" t="s">
        <v>33</v>
      </c>
      <c r="C172" s="76"/>
      <c r="D172" s="76"/>
      <c r="E172" s="77"/>
      <c r="F172" s="74">
        <v>0</v>
      </c>
      <c r="G172" s="74">
        <v>18</v>
      </c>
      <c r="H172" s="74">
        <v>18</v>
      </c>
      <c r="I172" s="4">
        <v>15639</v>
      </c>
      <c r="J172" s="74">
        <v>0</v>
      </c>
      <c r="K172" s="74">
        <v>0</v>
      </c>
      <c r="L172" s="74">
        <f t="shared" si="12"/>
        <v>36790</v>
      </c>
      <c r="M172" s="74">
        <f t="shared" si="13"/>
        <v>36</v>
      </c>
    </row>
    <row r="173" spans="1:13">
      <c r="A173" s="27">
        <v>45932</v>
      </c>
      <c r="B173" s="1" t="s">
        <v>96</v>
      </c>
      <c r="C173" s="1" t="s">
        <v>61</v>
      </c>
      <c r="D173" s="1" t="s">
        <v>42</v>
      </c>
      <c r="E173" s="1" t="s">
        <v>43</v>
      </c>
      <c r="F173" s="74">
        <v>389</v>
      </c>
      <c r="G173" s="28">
        <v>264</v>
      </c>
      <c r="H173" s="74">
        <v>653</v>
      </c>
      <c r="I173" s="4">
        <v>16292</v>
      </c>
      <c r="J173" s="4">
        <v>1178</v>
      </c>
      <c r="K173" s="74">
        <v>1</v>
      </c>
      <c r="L173" s="74">
        <f t="shared" si="12"/>
        <v>37968</v>
      </c>
      <c r="M173" s="74">
        <f t="shared" si="13"/>
        <v>37</v>
      </c>
    </row>
    <row r="174" spans="1:13">
      <c r="A174" s="27">
        <v>45932</v>
      </c>
      <c r="B174" s="76" t="s">
        <v>33</v>
      </c>
      <c r="C174" s="76"/>
      <c r="D174" s="76"/>
      <c r="E174" s="77"/>
      <c r="F174" s="74">
        <v>0</v>
      </c>
      <c r="G174" s="74">
        <v>8</v>
      </c>
      <c r="H174" s="74">
        <v>8</v>
      </c>
      <c r="I174" s="4">
        <v>16300</v>
      </c>
      <c r="J174" s="74">
        <v>0</v>
      </c>
      <c r="K174" s="74">
        <v>0</v>
      </c>
      <c r="L174" s="74">
        <f t="shared" si="12"/>
        <v>37968</v>
      </c>
      <c r="M174" s="74">
        <f t="shared" si="13"/>
        <v>37</v>
      </c>
    </row>
    <row r="175" spans="1:13">
      <c r="A175" s="27">
        <v>45933</v>
      </c>
      <c r="B175" s="76" t="s">
        <v>49</v>
      </c>
      <c r="C175" s="76"/>
      <c r="D175" s="76"/>
      <c r="E175" s="77"/>
      <c r="F175" s="74">
        <v>0</v>
      </c>
      <c r="G175" s="74">
        <v>1</v>
      </c>
      <c r="H175" s="74">
        <v>1</v>
      </c>
      <c r="I175" s="4">
        <v>16301</v>
      </c>
      <c r="J175" s="74">
        <v>0</v>
      </c>
      <c r="K175" s="74">
        <v>0</v>
      </c>
      <c r="L175" s="74">
        <f t="shared" si="12"/>
        <v>37968</v>
      </c>
      <c r="M175" s="74">
        <f t="shared" si="13"/>
        <v>37</v>
      </c>
    </row>
    <row r="176" spans="1:13">
      <c r="A176" s="27">
        <v>45933</v>
      </c>
      <c r="B176" s="76" t="s">
        <v>33</v>
      </c>
      <c r="C176" s="76"/>
      <c r="D176" s="76"/>
      <c r="E176" s="77"/>
      <c r="F176" s="74">
        <v>0</v>
      </c>
      <c r="G176" s="74">
        <v>8</v>
      </c>
      <c r="H176" s="74">
        <v>8</v>
      </c>
      <c r="I176" s="4">
        <v>16309</v>
      </c>
      <c r="J176" s="74">
        <v>0</v>
      </c>
      <c r="K176" s="74">
        <v>0</v>
      </c>
      <c r="L176" s="74">
        <f t="shared" si="12"/>
        <v>37968</v>
      </c>
      <c r="M176" s="74">
        <f t="shared" si="13"/>
        <v>37</v>
      </c>
    </row>
    <row r="177" spans="1:13">
      <c r="A177" s="27">
        <v>45934</v>
      </c>
      <c r="B177" s="1" t="s">
        <v>97</v>
      </c>
      <c r="C177" s="1" t="s">
        <v>13</v>
      </c>
      <c r="D177" s="1" t="s">
        <v>42</v>
      </c>
      <c r="E177" s="1" t="s">
        <v>50</v>
      </c>
      <c r="F177" s="74">
        <v>425</v>
      </c>
      <c r="G177" s="28">
        <v>284</v>
      </c>
      <c r="H177" s="74">
        <v>709</v>
      </c>
      <c r="I177" s="4">
        <v>17018</v>
      </c>
      <c r="J177" s="4">
        <v>1050</v>
      </c>
      <c r="K177" s="74">
        <v>1</v>
      </c>
      <c r="L177" s="74">
        <f t="shared" si="12"/>
        <v>39018</v>
      </c>
      <c r="M177" s="74">
        <f t="shared" si="13"/>
        <v>38</v>
      </c>
    </row>
    <row r="178" spans="1:13">
      <c r="A178" s="27">
        <v>45934</v>
      </c>
      <c r="B178" s="76" t="s">
        <v>49</v>
      </c>
      <c r="C178" s="76"/>
      <c r="D178" s="76"/>
      <c r="E178" s="77"/>
      <c r="F178" s="74">
        <v>0</v>
      </c>
      <c r="G178" s="74">
        <v>1</v>
      </c>
      <c r="H178" s="74">
        <v>1</v>
      </c>
      <c r="I178" s="4">
        <v>17019</v>
      </c>
      <c r="J178" s="74">
        <v>0</v>
      </c>
      <c r="K178" s="74">
        <v>0</v>
      </c>
      <c r="L178" s="74">
        <f t="shared" si="12"/>
        <v>39018</v>
      </c>
      <c r="M178" s="74">
        <f t="shared" si="13"/>
        <v>38</v>
      </c>
    </row>
    <row r="179" spans="1:13">
      <c r="A179" s="27">
        <v>45934</v>
      </c>
      <c r="B179" s="76" t="s">
        <v>33</v>
      </c>
      <c r="C179" s="76"/>
      <c r="D179" s="76"/>
      <c r="E179" s="77"/>
      <c r="F179" s="74">
        <v>0</v>
      </c>
      <c r="G179" s="74">
        <v>7</v>
      </c>
      <c r="H179" s="74">
        <v>7</v>
      </c>
      <c r="I179" s="4">
        <v>17026</v>
      </c>
      <c r="J179" s="74">
        <v>0</v>
      </c>
      <c r="K179" s="74">
        <v>0</v>
      </c>
      <c r="L179" s="74">
        <f t="shared" si="12"/>
        <v>39018</v>
      </c>
      <c r="M179" s="74">
        <f t="shared" si="13"/>
        <v>38</v>
      </c>
    </row>
    <row r="180" spans="1:13">
      <c r="A180" s="27">
        <v>45935</v>
      </c>
      <c r="B180" s="1" t="s">
        <v>84</v>
      </c>
      <c r="C180" s="1" t="s">
        <v>85</v>
      </c>
      <c r="D180" s="1" t="s">
        <v>42</v>
      </c>
      <c r="E180" s="1" t="s">
        <v>50</v>
      </c>
      <c r="F180" s="74">
        <v>54</v>
      </c>
      <c r="G180" s="28">
        <v>80</v>
      </c>
      <c r="H180" s="74">
        <v>134</v>
      </c>
      <c r="I180" s="4">
        <v>17160</v>
      </c>
      <c r="J180" s="74">
        <v>308</v>
      </c>
      <c r="K180" s="74">
        <v>1</v>
      </c>
      <c r="L180" s="74">
        <f t="shared" si="12"/>
        <v>39326</v>
      </c>
      <c r="M180" s="74">
        <f t="shared" si="13"/>
        <v>39</v>
      </c>
    </row>
    <row r="181" spans="1:13">
      <c r="A181" s="27">
        <v>45935</v>
      </c>
      <c r="B181" s="1" t="s">
        <v>86</v>
      </c>
      <c r="C181" s="1" t="s">
        <v>87</v>
      </c>
      <c r="D181" s="1" t="s">
        <v>42</v>
      </c>
      <c r="E181" s="1" t="s">
        <v>50</v>
      </c>
      <c r="F181" s="74">
        <v>60</v>
      </c>
      <c r="G181" s="28">
        <v>83</v>
      </c>
      <c r="H181" s="74">
        <v>143</v>
      </c>
      <c r="I181" s="4">
        <v>17303</v>
      </c>
      <c r="J181" s="74">
        <v>320</v>
      </c>
      <c r="K181" s="74">
        <v>1</v>
      </c>
      <c r="L181" s="74">
        <f t="shared" si="12"/>
        <v>39646</v>
      </c>
      <c r="M181" s="74">
        <f t="shared" si="13"/>
        <v>40</v>
      </c>
    </row>
    <row r="182" spans="1:13">
      <c r="A182" s="27">
        <v>45935</v>
      </c>
      <c r="B182" s="1" t="s">
        <v>88</v>
      </c>
      <c r="C182" s="1" t="s">
        <v>89</v>
      </c>
      <c r="D182" s="1" t="s">
        <v>42</v>
      </c>
      <c r="E182" s="1" t="s">
        <v>50</v>
      </c>
      <c r="F182" s="74">
        <v>60</v>
      </c>
      <c r="G182" s="28">
        <v>83</v>
      </c>
      <c r="H182" s="74">
        <v>143</v>
      </c>
      <c r="I182" s="4">
        <v>17446</v>
      </c>
      <c r="J182" s="74">
        <v>320</v>
      </c>
      <c r="K182" s="74">
        <v>1</v>
      </c>
      <c r="L182" s="74">
        <f t="shared" si="12"/>
        <v>39966</v>
      </c>
      <c r="M182" s="74">
        <f t="shared" si="13"/>
        <v>41</v>
      </c>
    </row>
    <row r="183" spans="1:13">
      <c r="A183" s="27">
        <v>45935</v>
      </c>
      <c r="B183" s="1" t="s">
        <v>90</v>
      </c>
      <c r="C183" s="1" t="s">
        <v>91</v>
      </c>
      <c r="D183" s="1" t="s">
        <v>42</v>
      </c>
      <c r="E183" s="1" t="s">
        <v>50</v>
      </c>
      <c r="F183" s="74">
        <v>185</v>
      </c>
      <c r="G183" s="28">
        <v>152</v>
      </c>
      <c r="H183" s="74">
        <v>337</v>
      </c>
      <c r="I183" s="4">
        <v>17783</v>
      </c>
      <c r="J183" s="74">
        <v>570</v>
      </c>
      <c r="K183" s="74">
        <v>1</v>
      </c>
      <c r="L183" s="74">
        <f t="shared" si="12"/>
        <v>40536</v>
      </c>
      <c r="M183" s="74">
        <f t="shared" si="13"/>
        <v>42</v>
      </c>
    </row>
    <row r="184" spans="1:13">
      <c r="A184" s="27">
        <v>45935</v>
      </c>
      <c r="B184" s="1" t="s">
        <v>98</v>
      </c>
      <c r="C184" s="1" t="s">
        <v>93</v>
      </c>
      <c r="D184" s="1" t="s">
        <v>42</v>
      </c>
      <c r="E184" s="1" t="s">
        <v>50</v>
      </c>
      <c r="F184" s="74">
        <v>133</v>
      </c>
      <c r="G184" s="28">
        <v>123</v>
      </c>
      <c r="H184" s="74">
        <v>256</v>
      </c>
      <c r="I184" s="4">
        <v>18039</v>
      </c>
      <c r="J184" s="74">
        <v>466</v>
      </c>
      <c r="K184" s="74">
        <v>1</v>
      </c>
      <c r="L184" s="74">
        <f t="shared" si="12"/>
        <v>41002</v>
      </c>
      <c r="M184" s="74">
        <f t="shared" si="13"/>
        <v>43</v>
      </c>
    </row>
    <row r="185" spans="1:13">
      <c r="A185" s="27">
        <v>45935</v>
      </c>
      <c r="B185" s="1" t="s">
        <v>95</v>
      </c>
      <c r="C185" s="1" t="s">
        <v>69</v>
      </c>
      <c r="D185" s="1" t="s">
        <v>42</v>
      </c>
      <c r="E185" s="1" t="s">
        <v>50</v>
      </c>
      <c r="F185" s="74">
        <v>403</v>
      </c>
      <c r="G185" s="28">
        <v>272</v>
      </c>
      <c r="H185" s="74">
        <v>675</v>
      </c>
      <c r="I185" s="4">
        <v>18714</v>
      </c>
      <c r="J185" s="4">
        <v>1006</v>
      </c>
      <c r="K185" s="74">
        <v>1</v>
      </c>
      <c r="L185" s="74">
        <f t="shared" si="12"/>
        <v>42008</v>
      </c>
      <c r="M185" s="74">
        <f t="shared" si="13"/>
        <v>44</v>
      </c>
    </row>
    <row r="186" spans="1:13">
      <c r="A186" s="27">
        <v>45935</v>
      </c>
      <c r="B186" s="1" t="s">
        <v>99</v>
      </c>
      <c r="C186" s="1" t="s">
        <v>100</v>
      </c>
      <c r="D186" s="1" t="s">
        <v>42</v>
      </c>
      <c r="E186" s="1" t="s">
        <v>50</v>
      </c>
      <c r="F186" s="74">
        <v>738</v>
      </c>
      <c r="G186" s="28">
        <v>456</v>
      </c>
      <c r="H186" s="4">
        <v>1194</v>
      </c>
      <c r="I186" s="4">
        <v>19908</v>
      </c>
      <c r="J186" s="4">
        <v>1676</v>
      </c>
      <c r="K186" s="74">
        <v>1</v>
      </c>
      <c r="L186" s="74">
        <f t="shared" si="12"/>
        <v>43684</v>
      </c>
      <c r="M186" s="74">
        <f t="shared" si="13"/>
        <v>45</v>
      </c>
    </row>
    <row r="187" spans="1:13">
      <c r="A187" s="27">
        <v>45935</v>
      </c>
      <c r="B187" s="76" t="s">
        <v>49</v>
      </c>
      <c r="C187" s="76"/>
      <c r="D187" s="76"/>
      <c r="E187" s="77"/>
      <c r="F187" s="74">
        <v>0</v>
      </c>
      <c r="G187" s="74">
        <v>1</v>
      </c>
      <c r="H187" s="74">
        <v>1</v>
      </c>
      <c r="I187" s="4">
        <v>19909</v>
      </c>
      <c r="J187" s="74">
        <v>0</v>
      </c>
      <c r="K187" s="74">
        <v>0</v>
      </c>
      <c r="L187" s="74">
        <f t="shared" si="12"/>
        <v>43684</v>
      </c>
      <c r="M187" s="74">
        <f t="shared" si="13"/>
        <v>45</v>
      </c>
    </row>
    <row r="188" spans="1:13">
      <c r="A188" s="27">
        <v>45935</v>
      </c>
      <c r="B188" s="76" t="s">
        <v>33</v>
      </c>
      <c r="C188" s="76"/>
      <c r="D188" s="76"/>
      <c r="E188" s="77"/>
      <c r="F188" s="74">
        <v>0</v>
      </c>
      <c r="G188" s="74">
        <v>22</v>
      </c>
      <c r="H188" s="74">
        <v>22</v>
      </c>
      <c r="I188" s="4">
        <v>19931</v>
      </c>
      <c r="J188" s="74">
        <v>0</v>
      </c>
      <c r="K188" s="74">
        <v>0</v>
      </c>
      <c r="L188" s="74">
        <f t="shared" si="12"/>
        <v>43684</v>
      </c>
      <c r="M188" s="74">
        <f t="shared" si="13"/>
        <v>45</v>
      </c>
    </row>
    <row r="189" spans="1:13">
      <c r="A189" s="27">
        <v>45936</v>
      </c>
      <c r="B189" s="76" t="s">
        <v>33</v>
      </c>
      <c r="C189" s="76"/>
      <c r="D189" s="76"/>
      <c r="E189" s="77"/>
      <c r="F189" s="74">
        <v>0</v>
      </c>
      <c r="G189" s="74">
        <v>9</v>
      </c>
      <c r="H189" s="74">
        <v>9</v>
      </c>
      <c r="I189" s="4">
        <v>19940</v>
      </c>
      <c r="J189" s="74">
        <v>0</v>
      </c>
      <c r="K189" s="74">
        <v>0</v>
      </c>
      <c r="L189" s="74">
        <f t="shared" si="12"/>
        <v>43684</v>
      </c>
      <c r="M189" s="74">
        <f t="shared" si="13"/>
        <v>45</v>
      </c>
    </row>
    <row r="190" spans="1:13">
      <c r="A190" s="27">
        <v>45937</v>
      </c>
      <c r="B190" s="76" t="s">
        <v>33</v>
      </c>
      <c r="C190" s="76"/>
      <c r="D190" s="76"/>
      <c r="E190" s="77"/>
      <c r="F190" s="74">
        <v>0</v>
      </c>
      <c r="G190" s="74">
        <v>10</v>
      </c>
      <c r="H190" s="74">
        <v>10</v>
      </c>
      <c r="I190" s="4">
        <v>19950</v>
      </c>
      <c r="J190" s="74">
        <v>0</v>
      </c>
      <c r="K190" s="74">
        <v>0</v>
      </c>
      <c r="L190" s="74">
        <f t="shared" si="12"/>
        <v>43684</v>
      </c>
      <c r="M190" s="74">
        <f t="shared" si="13"/>
        <v>45</v>
      </c>
    </row>
    <row r="191" spans="1:13">
      <c r="A191" s="27">
        <v>45938</v>
      </c>
      <c r="B191" s="76" t="s">
        <v>33</v>
      </c>
      <c r="C191" s="76"/>
      <c r="D191" s="76"/>
      <c r="E191" s="77"/>
      <c r="F191" s="74">
        <v>0</v>
      </c>
      <c r="G191" s="74">
        <v>7</v>
      </c>
      <c r="H191" s="74">
        <v>7</v>
      </c>
      <c r="I191" s="4">
        <v>19957</v>
      </c>
      <c r="J191" s="74">
        <v>0</v>
      </c>
      <c r="K191" s="74">
        <v>0</v>
      </c>
      <c r="L191" s="74">
        <f t="shared" si="12"/>
        <v>43684</v>
      </c>
      <c r="M191" s="74">
        <f t="shared" si="13"/>
        <v>45</v>
      </c>
    </row>
    <row r="192" spans="1:13">
      <c r="A192" s="27">
        <v>45939</v>
      </c>
      <c r="B192" s="1" t="s">
        <v>101</v>
      </c>
      <c r="C192" s="1" t="s">
        <v>13</v>
      </c>
      <c r="D192" s="1" t="s">
        <v>42</v>
      </c>
      <c r="E192" s="1" t="s">
        <v>43</v>
      </c>
      <c r="F192" s="74">
        <v>624</v>
      </c>
      <c r="G192" s="28">
        <v>705</v>
      </c>
      <c r="H192" s="4">
        <v>1329</v>
      </c>
      <c r="I192" s="4">
        <v>21286</v>
      </c>
      <c r="J192" s="4">
        <v>1648</v>
      </c>
      <c r="K192" s="74">
        <v>1</v>
      </c>
      <c r="L192" s="74">
        <f t="shared" si="12"/>
        <v>45332</v>
      </c>
      <c r="M192" s="74">
        <f t="shared" si="13"/>
        <v>46</v>
      </c>
    </row>
    <row r="193" spans="1:13">
      <c r="A193" s="27">
        <v>45939</v>
      </c>
      <c r="B193" s="76" t="s">
        <v>33</v>
      </c>
      <c r="C193" s="76"/>
      <c r="D193" s="76"/>
      <c r="E193" s="77"/>
      <c r="F193" s="74">
        <v>0</v>
      </c>
      <c r="G193" s="74">
        <v>8</v>
      </c>
      <c r="H193" s="74">
        <v>8</v>
      </c>
      <c r="I193" s="4">
        <v>21294</v>
      </c>
      <c r="J193" s="74">
        <v>0</v>
      </c>
      <c r="K193" s="74">
        <v>0</v>
      </c>
      <c r="L193" s="74">
        <f t="shared" si="12"/>
        <v>45332</v>
      </c>
      <c r="M193" s="74">
        <f t="shared" si="13"/>
        <v>46</v>
      </c>
    </row>
    <row r="194" spans="1:13">
      <c r="A194" s="27">
        <v>45940</v>
      </c>
      <c r="B194" s="76" t="s">
        <v>65</v>
      </c>
      <c r="C194" s="76"/>
      <c r="D194" s="76"/>
      <c r="E194" s="77"/>
      <c r="F194" s="4">
        <v>7252</v>
      </c>
      <c r="G194" s="74">
        <v>0</v>
      </c>
      <c r="H194" s="4">
        <v>7252</v>
      </c>
      <c r="I194" s="4">
        <v>28546</v>
      </c>
      <c r="J194" s="74">
        <v>0</v>
      </c>
      <c r="K194" s="74">
        <v>0</v>
      </c>
      <c r="L194" s="74">
        <f t="shared" si="12"/>
        <v>45332</v>
      </c>
      <c r="M194" s="74">
        <f t="shared" si="13"/>
        <v>46</v>
      </c>
    </row>
    <row r="195" spans="1:13">
      <c r="A195" s="27">
        <v>45940</v>
      </c>
      <c r="B195" s="76" t="s">
        <v>33</v>
      </c>
      <c r="C195" s="76"/>
      <c r="D195" s="76"/>
      <c r="E195" s="77"/>
      <c r="F195" s="74">
        <v>0</v>
      </c>
      <c r="G195" s="74">
        <v>7</v>
      </c>
      <c r="H195" s="74">
        <v>7</v>
      </c>
      <c r="I195" s="4">
        <v>28553</v>
      </c>
      <c r="J195" s="74">
        <v>0</v>
      </c>
      <c r="K195" s="74">
        <v>0</v>
      </c>
      <c r="L195" s="74">
        <f t="shared" si="12"/>
        <v>45332</v>
      </c>
      <c r="M195" s="74">
        <f t="shared" si="13"/>
        <v>46</v>
      </c>
    </row>
    <row r="196" spans="1:13">
      <c r="A196" s="27">
        <v>45941</v>
      </c>
      <c r="B196" s="76" t="s">
        <v>33</v>
      </c>
      <c r="C196" s="76"/>
      <c r="D196" s="76"/>
      <c r="E196" s="77"/>
      <c r="F196" s="74">
        <v>0</v>
      </c>
      <c r="G196" s="74">
        <v>57</v>
      </c>
      <c r="H196" s="74">
        <v>57</v>
      </c>
      <c r="I196" s="4">
        <v>28610</v>
      </c>
      <c r="J196" s="74">
        <v>0</v>
      </c>
      <c r="K196" s="74">
        <v>0</v>
      </c>
      <c r="L196" s="74">
        <f t="shared" si="12"/>
        <v>45332</v>
      </c>
      <c r="M196" s="74">
        <f t="shared" si="13"/>
        <v>46</v>
      </c>
    </row>
    <row r="197" spans="1:13">
      <c r="A197" s="29">
        <v>45942</v>
      </c>
      <c r="B197" s="78" t="s">
        <v>33</v>
      </c>
      <c r="C197" s="78"/>
      <c r="D197" s="78"/>
      <c r="E197" s="79"/>
      <c r="F197" s="75">
        <v>0</v>
      </c>
      <c r="G197" s="75">
        <v>23</v>
      </c>
      <c r="H197" s="75">
        <v>23</v>
      </c>
      <c r="I197" s="30">
        <v>28633</v>
      </c>
      <c r="J197" s="75">
        <v>0</v>
      </c>
      <c r="K197" s="75">
        <v>0</v>
      </c>
      <c r="L197" s="74">
        <f t="shared" si="12"/>
        <v>45332</v>
      </c>
      <c r="M197" s="74">
        <f t="shared" si="13"/>
        <v>46</v>
      </c>
    </row>
    <row r="198" spans="1:13">
      <c r="A198" s="27">
        <v>45943</v>
      </c>
      <c r="B198" s="76" t="s">
        <v>33</v>
      </c>
      <c r="C198" s="76"/>
      <c r="D198" s="76"/>
      <c r="E198" s="77"/>
      <c r="F198" s="74">
        <v>0</v>
      </c>
      <c r="G198" s="74">
        <v>8</v>
      </c>
      <c r="H198" s="74">
        <v>8</v>
      </c>
      <c r="I198" s="4">
        <v>29982</v>
      </c>
      <c r="J198" s="74">
        <v>0</v>
      </c>
      <c r="K198" s="74">
        <v>0</v>
      </c>
      <c r="L198" s="74">
        <f t="shared" ref="L198:L206" si="14">J198+L197</f>
        <v>45332</v>
      </c>
      <c r="M198" s="74">
        <f t="shared" ref="M198:M206" si="15">K198+M197</f>
        <v>46</v>
      </c>
    </row>
    <row r="199" spans="1:13">
      <c r="A199" s="27">
        <v>45944</v>
      </c>
      <c r="B199" s="1" t="s">
        <v>102</v>
      </c>
      <c r="C199" s="3" t="s">
        <v>103</v>
      </c>
      <c r="D199" s="3" t="s">
        <v>20</v>
      </c>
      <c r="E199" s="1" t="s">
        <v>20</v>
      </c>
      <c r="F199" s="74">
        <v>0</v>
      </c>
      <c r="G199" s="74">
        <v>0</v>
      </c>
      <c r="H199" s="74">
        <v>0</v>
      </c>
      <c r="I199" s="4">
        <v>29982</v>
      </c>
      <c r="J199" s="74">
        <v>0</v>
      </c>
      <c r="K199" s="74">
        <v>0</v>
      </c>
      <c r="L199" s="74">
        <f t="shared" si="14"/>
        <v>45332</v>
      </c>
      <c r="M199" s="74">
        <f t="shared" si="15"/>
        <v>46</v>
      </c>
    </row>
    <row r="200" spans="1:13">
      <c r="A200" s="27">
        <v>45944</v>
      </c>
      <c r="B200" s="1" t="s">
        <v>104</v>
      </c>
      <c r="C200" s="3" t="s">
        <v>105</v>
      </c>
      <c r="D200" s="3" t="s">
        <v>20</v>
      </c>
      <c r="E200" s="1" t="s">
        <v>20</v>
      </c>
      <c r="F200" s="74">
        <v>0</v>
      </c>
      <c r="G200" s="74">
        <v>0</v>
      </c>
      <c r="H200" s="74">
        <v>0</v>
      </c>
      <c r="I200" s="4">
        <v>29982</v>
      </c>
      <c r="J200" s="74">
        <v>0</v>
      </c>
      <c r="K200" s="74">
        <v>0</v>
      </c>
      <c r="L200" s="74">
        <f t="shared" si="14"/>
        <v>45332</v>
      </c>
      <c r="M200" s="74">
        <f t="shared" si="15"/>
        <v>46</v>
      </c>
    </row>
    <row r="201" spans="1:13">
      <c r="A201" s="27">
        <v>45944</v>
      </c>
      <c r="B201" s="76" t="s">
        <v>33</v>
      </c>
      <c r="C201" s="76"/>
      <c r="D201" s="76"/>
      <c r="E201" s="77"/>
      <c r="F201" s="74">
        <v>0</v>
      </c>
      <c r="G201" s="74">
        <v>11</v>
      </c>
      <c r="H201" s="74">
        <v>11</v>
      </c>
      <c r="I201" s="4">
        <v>29993</v>
      </c>
      <c r="J201" s="74">
        <v>0</v>
      </c>
      <c r="K201" s="74">
        <v>0</v>
      </c>
      <c r="L201" s="74">
        <f t="shared" si="14"/>
        <v>45332</v>
      </c>
      <c r="M201" s="74">
        <f t="shared" si="15"/>
        <v>46</v>
      </c>
    </row>
    <row r="202" spans="1:13">
      <c r="A202" s="27">
        <v>45945</v>
      </c>
      <c r="B202" s="76" t="s">
        <v>33</v>
      </c>
      <c r="C202" s="76"/>
      <c r="D202" s="76"/>
      <c r="E202" s="77"/>
      <c r="F202" s="74">
        <v>0</v>
      </c>
      <c r="G202" s="74">
        <v>11</v>
      </c>
      <c r="H202" s="74">
        <v>11</v>
      </c>
      <c r="I202" s="4">
        <v>30004</v>
      </c>
      <c r="J202" s="74">
        <v>0</v>
      </c>
      <c r="K202" s="74">
        <v>0</v>
      </c>
      <c r="L202" s="74">
        <f t="shared" si="14"/>
        <v>45332</v>
      </c>
      <c r="M202" s="74">
        <f t="shared" si="15"/>
        <v>46</v>
      </c>
    </row>
    <row r="203" spans="1:13">
      <c r="A203" s="27">
        <v>45946</v>
      </c>
      <c r="B203" s="76" t="s">
        <v>33</v>
      </c>
      <c r="C203" s="76"/>
      <c r="D203" s="76"/>
      <c r="E203" s="77"/>
      <c r="F203" s="74">
        <v>0</v>
      </c>
      <c r="G203" s="74">
        <v>7</v>
      </c>
      <c r="H203" s="74">
        <v>7</v>
      </c>
      <c r="I203" s="4">
        <v>30011</v>
      </c>
      <c r="J203" s="74">
        <v>0</v>
      </c>
      <c r="K203" s="74">
        <v>0</v>
      </c>
      <c r="L203" s="74">
        <f t="shared" si="14"/>
        <v>45332</v>
      </c>
      <c r="M203" s="74">
        <f t="shared" si="15"/>
        <v>46</v>
      </c>
    </row>
    <row r="204" spans="1:13">
      <c r="A204" s="27">
        <v>45947</v>
      </c>
      <c r="B204" s="76" t="s">
        <v>33</v>
      </c>
      <c r="C204" s="76"/>
      <c r="D204" s="76"/>
      <c r="E204" s="77"/>
      <c r="F204" s="74">
        <v>0</v>
      </c>
      <c r="G204" s="74">
        <v>6</v>
      </c>
      <c r="H204" s="74">
        <v>6</v>
      </c>
      <c r="I204" s="4">
        <v>30017</v>
      </c>
      <c r="J204" s="74">
        <v>0</v>
      </c>
      <c r="K204" s="74">
        <v>0</v>
      </c>
      <c r="L204" s="74">
        <f t="shared" si="14"/>
        <v>45332</v>
      </c>
      <c r="M204" s="74">
        <f t="shared" si="15"/>
        <v>46</v>
      </c>
    </row>
    <row r="205" spans="1:13">
      <c r="A205" s="27">
        <v>45948</v>
      </c>
      <c r="B205" s="76" t="s">
        <v>33</v>
      </c>
      <c r="C205" s="76"/>
      <c r="D205" s="76"/>
      <c r="E205" s="77"/>
      <c r="F205" s="74">
        <v>0</v>
      </c>
      <c r="G205" s="74">
        <v>8</v>
      </c>
      <c r="H205" s="74">
        <v>8</v>
      </c>
      <c r="I205" s="4">
        <v>30025</v>
      </c>
      <c r="J205" s="74">
        <v>0</v>
      </c>
      <c r="K205" s="74">
        <v>0</v>
      </c>
      <c r="L205" s="74">
        <f t="shared" si="14"/>
        <v>45332</v>
      </c>
      <c r="M205" s="74">
        <f t="shared" si="15"/>
        <v>46</v>
      </c>
    </row>
    <row r="206" spans="1:13">
      <c r="A206" s="29">
        <v>45949</v>
      </c>
      <c r="B206" s="78" t="s">
        <v>33</v>
      </c>
      <c r="C206" s="78"/>
      <c r="D206" s="78"/>
      <c r="E206" s="79"/>
      <c r="F206" s="75">
        <v>0</v>
      </c>
      <c r="G206" s="75">
        <v>17</v>
      </c>
      <c r="H206" s="75">
        <v>17</v>
      </c>
      <c r="I206" s="30">
        <v>30042</v>
      </c>
      <c r="J206" s="75">
        <v>0</v>
      </c>
      <c r="K206" s="75">
        <v>0</v>
      </c>
      <c r="L206" s="74">
        <f t="shared" si="14"/>
        <v>45332</v>
      </c>
      <c r="M206" s="74">
        <f t="shared" si="15"/>
        <v>46</v>
      </c>
    </row>
    <row r="207" spans="1:13">
      <c r="A207" s="27">
        <v>45950</v>
      </c>
      <c r="B207" s="76" t="s">
        <v>33</v>
      </c>
      <c r="C207" s="76"/>
      <c r="D207" s="76"/>
      <c r="E207" s="77"/>
      <c r="F207" s="74">
        <v>0</v>
      </c>
      <c r="G207" s="74">
        <v>57</v>
      </c>
      <c r="H207" s="74">
        <v>57</v>
      </c>
      <c r="I207" s="4">
        <v>31102</v>
      </c>
      <c r="J207" s="74">
        <v>0</v>
      </c>
      <c r="K207" s="74">
        <v>0</v>
      </c>
      <c r="L207" s="74">
        <f t="shared" ref="L207:L216" si="16">J207+L206</f>
        <v>45332</v>
      </c>
      <c r="M207" s="74">
        <f t="shared" ref="M207:M216" si="17">K207+M206</f>
        <v>46</v>
      </c>
    </row>
    <row r="208" spans="1:13">
      <c r="A208" s="27">
        <v>45951</v>
      </c>
      <c r="B208" s="1" t="s">
        <v>106</v>
      </c>
      <c r="C208" s="1" t="s">
        <v>107</v>
      </c>
      <c r="D208" s="1" t="s">
        <v>42</v>
      </c>
      <c r="E208" s="1" t="s">
        <v>43</v>
      </c>
      <c r="F208" s="74">
        <v>308</v>
      </c>
      <c r="G208" s="28">
        <v>373</v>
      </c>
      <c r="H208" s="74">
        <v>681</v>
      </c>
      <c r="I208" s="4">
        <v>31783</v>
      </c>
      <c r="J208" s="4">
        <v>1016</v>
      </c>
      <c r="K208" s="74">
        <v>1</v>
      </c>
      <c r="L208" s="74">
        <f t="shared" si="16"/>
        <v>46348</v>
      </c>
      <c r="M208" s="74">
        <f t="shared" si="17"/>
        <v>47</v>
      </c>
    </row>
    <row r="209" spans="1:13">
      <c r="A209" s="27">
        <v>45951</v>
      </c>
      <c r="B209" s="76" t="s">
        <v>33</v>
      </c>
      <c r="C209" s="76"/>
      <c r="D209" s="76"/>
      <c r="E209" s="77"/>
      <c r="F209" s="74">
        <v>0</v>
      </c>
      <c r="G209" s="74">
        <v>17</v>
      </c>
      <c r="H209" s="74">
        <v>17</v>
      </c>
      <c r="I209" s="4">
        <v>31800</v>
      </c>
      <c r="J209" s="74">
        <v>0</v>
      </c>
      <c r="K209" s="74">
        <v>0</v>
      </c>
      <c r="L209" s="74">
        <f t="shared" si="16"/>
        <v>46348</v>
      </c>
      <c r="M209" s="74">
        <f t="shared" si="17"/>
        <v>47</v>
      </c>
    </row>
    <row r="210" spans="1:13">
      <c r="A210" s="27">
        <v>45952</v>
      </c>
      <c r="B210" s="76" t="s">
        <v>33</v>
      </c>
      <c r="C210" s="76"/>
      <c r="D210" s="76"/>
      <c r="E210" s="77"/>
      <c r="F210" s="74">
        <v>0</v>
      </c>
      <c r="G210" s="74">
        <v>7</v>
      </c>
      <c r="H210" s="74">
        <v>7</v>
      </c>
      <c r="I210" s="4">
        <v>31807</v>
      </c>
      <c r="J210" s="74">
        <v>0</v>
      </c>
      <c r="K210" s="74">
        <v>0</v>
      </c>
      <c r="L210" s="74">
        <f t="shared" si="16"/>
        <v>46348</v>
      </c>
      <c r="M210" s="74">
        <f t="shared" si="17"/>
        <v>47</v>
      </c>
    </row>
    <row r="211" spans="1:13">
      <c r="A211" s="27">
        <v>45953</v>
      </c>
      <c r="B211" s="1" t="s">
        <v>108</v>
      </c>
      <c r="C211" s="1" t="s">
        <v>109</v>
      </c>
      <c r="D211" s="1" t="s">
        <v>42</v>
      </c>
      <c r="E211" s="1" t="s">
        <v>50</v>
      </c>
      <c r="F211" s="74">
        <v>131</v>
      </c>
      <c r="G211" s="28">
        <v>188</v>
      </c>
      <c r="H211" s="74">
        <v>319</v>
      </c>
      <c r="I211" s="4">
        <v>32126</v>
      </c>
      <c r="J211" s="74">
        <v>662</v>
      </c>
      <c r="K211" s="74">
        <v>1</v>
      </c>
      <c r="L211" s="74">
        <f t="shared" si="16"/>
        <v>47010</v>
      </c>
      <c r="M211" s="74">
        <f t="shared" si="17"/>
        <v>48</v>
      </c>
    </row>
    <row r="212" spans="1:13">
      <c r="A212" s="27">
        <v>45953</v>
      </c>
      <c r="B212" s="76" t="s">
        <v>33</v>
      </c>
      <c r="C212" s="76"/>
      <c r="D212" s="76"/>
      <c r="E212" s="77"/>
      <c r="F212" s="74">
        <v>0</v>
      </c>
      <c r="G212" s="74">
        <v>3</v>
      </c>
      <c r="H212" s="74">
        <v>3</v>
      </c>
      <c r="I212" s="4">
        <v>32129</v>
      </c>
      <c r="J212" s="74">
        <v>0</v>
      </c>
      <c r="K212" s="74">
        <v>0</v>
      </c>
      <c r="L212" s="74">
        <f t="shared" si="16"/>
        <v>47010</v>
      </c>
      <c r="M212" s="74">
        <f t="shared" si="17"/>
        <v>48</v>
      </c>
    </row>
    <row r="213" spans="1:13">
      <c r="A213" s="27">
        <v>45954</v>
      </c>
      <c r="B213" s="1" t="s">
        <v>51</v>
      </c>
      <c r="C213" s="1" t="s">
        <v>24</v>
      </c>
      <c r="D213" s="1" t="s">
        <v>42</v>
      </c>
      <c r="E213" s="1" t="s">
        <v>43</v>
      </c>
      <c r="F213" s="74">
        <v>624</v>
      </c>
      <c r="G213" s="28">
        <v>705</v>
      </c>
      <c r="H213" s="4">
        <v>1329</v>
      </c>
      <c r="I213" s="4">
        <v>33458</v>
      </c>
      <c r="J213" s="4">
        <v>1648</v>
      </c>
      <c r="K213" s="74">
        <v>1</v>
      </c>
      <c r="L213" s="74">
        <f t="shared" si="16"/>
        <v>48658</v>
      </c>
      <c r="M213" s="74">
        <f t="shared" si="17"/>
        <v>49</v>
      </c>
    </row>
    <row r="214" spans="1:13">
      <c r="A214" s="27">
        <v>45954</v>
      </c>
      <c r="B214" s="76" t="s">
        <v>33</v>
      </c>
      <c r="C214" s="76"/>
      <c r="D214" s="76"/>
      <c r="E214" s="77"/>
      <c r="F214" s="74">
        <v>0</v>
      </c>
      <c r="G214" s="74">
        <v>60</v>
      </c>
      <c r="H214" s="74">
        <v>60</v>
      </c>
      <c r="I214" s="4">
        <v>33518</v>
      </c>
      <c r="J214" s="74">
        <v>0</v>
      </c>
      <c r="K214" s="74">
        <v>0</v>
      </c>
      <c r="L214" s="74">
        <f t="shared" si="16"/>
        <v>48658</v>
      </c>
      <c r="M214" s="74">
        <f t="shared" si="17"/>
        <v>49</v>
      </c>
    </row>
    <row r="215" spans="1:13">
      <c r="A215" s="27">
        <v>45955</v>
      </c>
      <c r="B215" s="76" t="s">
        <v>33</v>
      </c>
      <c r="C215" s="76"/>
      <c r="D215" s="76"/>
      <c r="E215" s="77"/>
      <c r="F215" s="74">
        <v>0</v>
      </c>
      <c r="G215" s="74">
        <v>8</v>
      </c>
      <c r="H215" s="74">
        <v>8</v>
      </c>
      <c r="I215" s="4">
        <v>33526</v>
      </c>
      <c r="J215" s="74">
        <v>0</v>
      </c>
      <c r="K215" s="74">
        <v>0</v>
      </c>
      <c r="L215" s="74">
        <f t="shared" si="16"/>
        <v>48658</v>
      </c>
      <c r="M215" s="74">
        <f t="shared" si="17"/>
        <v>49</v>
      </c>
    </row>
    <row r="216" spans="1:13">
      <c r="A216" s="29">
        <v>45956</v>
      </c>
      <c r="B216" s="78" t="s">
        <v>33</v>
      </c>
      <c r="C216" s="78"/>
      <c r="D216" s="78"/>
      <c r="E216" s="79"/>
      <c r="F216" s="75">
        <v>0</v>
      </c>
      <c r="G216" s="75">
        <v>19</v>
      </c>
      <c r="H216" s="75">
        <v>19</v>
      </c>
      <c r="I216" s="30">
        <v>33545</v>
      </c>
      <c r="J216" s="75">
        <v>0</v>
      </c>
      <c r="K216" s="75">
        <v>0</v>
      </c>
      <c r="L216" s="74">
        <f t="shared" si="16"/>
        <v>48658</v>
      </c>
      <c r="M216" s="74">
        <f t="shared" si="17"/>
        <v>49</v>
      </c>
    </row>
    <row r="217" spans="1:13">
      <c r="A217" s="27">
        <v>45957</v>
      </c>
      <c r="B217" s="76" t="s">
        <v>33</v>
      </c>
      <c r="C217" s="76"/>
      <c r="D217" s="76"/>
      <c r="E217" s="77"/>
      <c r="F217" s="74">
        <v>0</v>
      </c>
      <c r="G217" s="74">
        <v>7</v>
      </c>
      <c r="H217" s="74">
        <v>7</v>
      </c>
      <c r="I217" s="4">
        <v>33554</v>
      </c>
      <c r="J217" s="74">
        <v>0</v>
      </c>
      <c r="K217" s="74">
        <v>0</v>
      </c>
      <c r="L217" s="74">
        <f t="shared" ref="L217:L223" si="18">J217+L216</f>
        <v>48658</v>
      </c>
      <c r="M217" s="74">
        <f t="shared" ref="M217:M223" si="19">K217+M216</f>
        <v>49</v>
      </c>
    </row>
    <row r="218" spans="1:13">
      <c r="A218" s="27">
        <v>45958</v>
      </c>
      <c r="B218" s="76" t="s">
        <v>33</v>
      </c>
      <c r="C218" s="76"/>
      <c r="D218" s="76"/>
      <c r="E218" s="77"/>
      <c r="F218" s="74">
        <v>0</v>
      </c>
      <c r="G218" s="74">
        <v>10</v>
      </c>
      <c r="H218" s="74">
        <v>10</v>
      </c>
      <c r="I218" s="4">
        <v>33564</v>
      </c>
      <c r="J218" s="74">
        <v>0</v>
      </c>
      <c r="K218" s="74">
        <v>0</v>
      </c>
      <c r="L218" s="74">
        <f t="shared" si="18"/>
        <v>48658</v>
      </c>
      <c r="M218" s="74">
        <f t="shared" si="19"/>
        <v>49</v>
      </c>
    </row>
    <row r="219" spans="1:13">
      <c r="A219" s="27">
        <v>45959</v>
      </c>
      <c r="B219" s="76" t="s">
        <v>33</v>
      </c>
      <c r="C219" s="76"/>
      <c r="D219" s="76"/>
      <c r="E219" s="77"/>
      <c r="F219" s="74">
        <v>0</v>
      </c>
      <c r="G219" s="74">
        <v>9</v>
      </c>
      <c r="H219" s="74">
        <v>9</v>
      </c>
      <c r="I219" s="4">
        <v>33573</v>
      </c>
      <c r="J219" s="74">
        <v>0</v>
      </c>
      <c r="K219" s="74">
        <v>0</v>
      </c>
      <c r="L219" s="74">
        <f t="shared" si="18"/>
        <v>48658</v>
      </c>
      <c r="M219" s="74">
        <f t="shared" si="19"/>
        <v>49</v>
      </c>
    </row>
    <row r="220" spans="1:13">
      <c r="A220" s="27">
        <v>45960</v>
      </c>
      <c r="B220" s="76" t="s">
        <v>33</v>
      </c>
      <c r="C220" s="76"/>
      <c r="D220" s="76"/>
      <c r="E220" s="77"/>
      <c r="F220" s="74">
        <v>0</v>
      </c>
      <c r="G220" s="74">
        <v>9</v>
      </c>
      <c r="H220" s="74">
        <v>9</v>
      </c>
      <c r="I220" s="4">
        <v>33582</v>
      </c>
      <c r="J220" s="74">
        <v>0</v>
      </c>
      <c r="K220" s="74">
        <v>0</v>
      </c>
      <c r="L220" s="74">
        <f t="shared" si="18"/>
        <v>48658</v>
      </c>
      <c r="M220" s="74">
        <f t="shared" si="19"/>
        <v>49</v>
      </c>
    </row>
    <row r="221" spans="1:13">
      <c r="A221" s="27">
        <v>45961</v>
      </c>
      <c r="B221" s="76" t="s">
        <v>33</v>
      </c>
      <c r="C221" s="76"/>
      <c r="D221" s="76"/>
      <c r="E221" s="77"/>
      <c r="F221" s="74">
        <v>0</v>
      </c>
      <c r="G221" s="74">
        <v>11</v>
      </c>
      <c r="H221" s="74">
        <v>11</v>
      </c>
      <c r="I221" s="4">
        <v>33593</v>
      </c>
      <c r="J221" s="74">
        <v>0</v>
      </c>
      <c r="K221" s="74">
        <v>0</v>
      </c>
      <c r="L221" s="74">
        <f t="shared" si="18"/>
        <v>48658</v>
      </c>
      <c r="M221" s="74">
        <f t="shared" si="19"/>
        <v>49</v>
      </c>
    </row>
    <row r="222" spans="1:13">
      <c r="A222" s="27">
        <v>45962</v>
      </c>
      <c r="B222" s="76" t="s">
        <v>33</v>
      </c>
      <c r="C222" s="76"/>
      <c r="D222" s="76"/>
      <c r="E222" s="77"/>
      <c r="F222" s="74">
        <v>0</v>
      </c>
      <c r="G222" s="74">
        <v>27</v>
      </c>
      <c r="H222" s="74">
        <v>27</v>
      </c>
      <c r="I222" s="4">
        <v>33620</v>
      </c>
      <c r="J222" s="74">
        <v>0</v>
      </c>
      <c r="K222" s="74">
        <v>0</v>
      </c>
      <c r="L222" s="74">
        <f t="shared" si="18"/>
        <v>48658</v>
      </c>
      <c r="M222" s="74">
        <f t="shared" si="19"/>
        <v>49</v>
      </c>
    </row>
    <row r="223" spans="1:13">
      <c r="A223" s="29">
        <v>45963</v>
      </c>
      <c r="B223" s="78" t="s">
        <v>33</v>
      </c>
      <c r="C223" s="78"/>
      <c r="D223" s="78"/>
      <c r="E223" s="79"/>
      <c r="F223" s="75">
        <v>0</v>
      </c>
      <c r="G223" s="75">
        <v>21</v>
      </c>
      <c r="H223" s="75">
        <v>21</v>
      </c>
      <c r="I223" s="30">
        <v>33641</v>
      </c>
      <c r="J223" s="75">
        <v>0</v>
      </c>
      <c r="K223" s="75">
        <v>0</v>
      </c>
      <c r="L223" s="74">
        <f t="shared" si="18"/>
        <v>48658</v>
      </c>
      <c r="M223" s="74">
        <f t="shared" si="19"/>
        <v>49</v>
      </c>
    </row>
    <row r="224" spans="1:13">
      <c r="A224" s="27">
        <v>45964</v>
      </c>
      <c r="B224" s="76" t="s">
        <v>33</v>
      </c>
      <c r="C224" s="76"/>
      <c r="D224" s="76"/>
      <c r="E224" s="77"/>
      <c r="F224" s="74">
        <v>0</v>
      </c>
      <c r="G224" s="74">
        <v>15</v>
      </c>
      <c r="H224" s="74">
        <v>15</v>
      </c>
      <c r="I224" s="4">
        <v>33663</v>
      </c>
      <c r="J224" s="74">
        <v>0</v>
      </c>
      <c r="K224" s="74">
        <v>0</v>
      </c>
      <c r="L224" s="74">
        <f t="shared" ref="L224:L240" si="20">J224+L223</f>
        <v>48658</v>
      </c>
      <c r="M224" s="74">
        <f t="shared" ref="M224:M240" si="21">K224+M223</f>
        <v>49</v>
      </c>
    </row>
    <row r="225" spans="1:13">
      <c r="A225" s="27">
        <v>45965</v>
      </c>
      <c r="B225" s="76" t="s">
        <v>33</v>
      </c>
      <c r="C225" s="76"/>
      <c r="D225" s="76"/>
      <c r="E225" s="77"/>
      <c r="F225" s="74">
        <v>0</v>
      </c>
      <c r="G225" s="74">
        <v>10</v>
      </c>
      <c r="H225" s="74">
        <v>10</v>
      </c>
      <c r="I225" s="4">
        <v>33673</v>
      </c>
      <c r="J225" s="74">
        <v>0</v>
      </c>
      <c r="K225" s="74">
        <v>0</v>
      </c>
      <c r="L225" s="74">
        <f t="shared" si="20"/>
        <v>48658</v>
      </c>
      <c r="M225" s="74">
        <f t="shared" si="21"/>
        <v>49</v>
      </c>
    </row>
    <row r="226" spans="1:13">
      <c r="A226" s="27">
        <v>45966</v>
      </c>
      <c r="B226" s="76" t="s">
        <v>33</v>
      </c>
      <c r="C226" s="76"/>
      <c r="D226" s="76"/>
      <c r="E226" s="77"/>
      <c r="F226" s="74">
        <v>0</v>
      </c>
      <c r="G226" s="74">
        <v>10</v>
      </c>
      <c r="H226" s="74">
        <v>10</v>
      </c>
      <c r="I226" s="4">
        <v>33683</v>
      </c>
      <c r="J226" s="74">
        <v>0</v>
      </c>
      <c r="K226" s="74">
        <v>0</v>
      </c>
      <c r="L226" s="74">
        <f t="shared" si="20"/>
        <v>48658</v>
      </c>
      <c r="M226" s="74">
        <f t="shared" si="21"/>
        <v>49</v>
      </c>
    </row>
    <row r="227" spans="1:13">
      <c r="A227" s="27">
        <v>45967</v>
      </c>
      <c r="B227" s="76" t="s">
        <v>33</v>
      </c>
      <c r="C227" s="76"/>
      <c r="D227" s="76"/>
      <c r="E227" s="77"/>
      <c r="F227" s="74">
        <v>0</v>
      </c>
      <c r="G227" s="74">
        <v>9</v>
      </c>
      <c r="H227" s="74">
        <v>9</v>
      </c>
      <c r="I227" s="4">
        <v>33692</v>
      </c>
      <c r="J227" s="74">
        <v>0</v>
      </c>
      <c r="K227" s="74">
        <v>0</v>
      </c>
      <c r="L227" s="74">
        <f t="shared" si="20"/>
        <v>48658</v>
      </c>
      <c r="M227" s="74">
        <f t="shared" si="21"/>
        <v>49</v>
      </c>
    </row>
    <row r="228" spans="1:13">
      <c r="A228" s="27">
        <v>45968</v>
      </c>
      <c r="B228" s="76" t="s">
        <v>49</v>
      </c>
      <c r="C228" s="76"/>
      <c r="D228" s="76"/>
      <c r="E228" s="77"/>
      <c r="F228" s="74">
        <v>0</v>
      </c>
      <c r="G228" s="74">
        <v>2</v>
      </c>
      <c r="H228" s="74">
        <v>2</v>
      </c>
      <c r="I228" s="4">
        <v>33694</v>
      </c>
      <c r="J228" s="74">
        <v>0</v>
      </c>
      <c r="K228" s="74">
        <v>0</v>
      </c>
      <c r="L228" s="74">
        <f t="shared" si="20"/>
        <v>48658</v>
      </c>
      <c r="M228" s="74">
        <f t="shared" si="21"/>
        <v>49</v>
      </c>
    </row>
    <row r="229" spans="1:13">
      <c r="A229" s="27">
        <v>45968</v>
      </c>
      <c r="B229" s="76" t="s">
        <v>33</v>
      </c>
      <c r="C229" s="76"/>
      <c r="D229" s="76"/>
      <c r="E229" s="77"/>
      <c r="F229" s="74">
        <v>0</v>
      </c>
      <c r="G229" s="74">
        <v>7</v>
      </c>
      <c r="H229" s="74">
        <v>7</v>
      </c>
      <c r="I229" s="4">
        <v>33701</v>
      </c>
      <c r="J229" s="74">
        <v>0</v>
      </c>
      <c r="K229" s="74">
        <v>0</v>
      </c>
      <c r="L229" s="74">
        <f t="shared" si="20"/>
        <v>48658</v>
      </c>
      <c r="M229" s="74">
        <f t="shared" si="21"/>
        <v>49</v>
      </c>
    </row>
    <row r="230" spans="1:13">
      <c r="A230" s="27">
        <v>45969</v>
      </c>
      <c r="B230" s="76" t="s">
        <v>33</v>
      </c>
      <c r="C230" s="76"/>
      <c r="D230" s="76"/>
      <c r="E230" s="77"/>
      <c r="F230" s="74">
        <v>0</v>
      </c>
      <c r="G230" s="74">
        <v>9</v>
      </c>
      <c r="H230" s="74">
        <v>9</v>
      </c>
      <c r="I230" s="4">
        <v>33710</v>
      </c>
      <c r="J230" s="74">
        <v>0</v>
      </c>
      <c r="K230" s="74">
        <v>0</v>
      </c>
      <c r="L230" s="74">
        <f t="shared" si="20"/>
        <v>48658</v>
      </c>
      <c r="M230" s="74">
        <f t="shared" si="21"/>
        <v>49</v>
      </c>
    </row>
    <row r="231" spans="1:13">
      <c r="A231" s="27">
        <v>45970</v>
      </c>
      <c r="B231" s="76" t="s">
        <v>49</v>
      </c>
      <c r="C231" s="76"/>
      <c r="D231" s="76"/>
      <c r="E231" s="77"/>
      <c r="F231" s="74">
        <v>0</v>
      </c>
      <c r="G231" s="74">
        <v>1</v>
      </c>
      <c r="H231" s="74">
        <v>1</v>
      </c>
      <c r="I231" s="4">
        <v>33711</v>
      </c>
      <c r="J231" s="74">
        <v>0</v>
      </c>
      <c r="K231" s="74">
        <v>0</v>
      </c>
      <c r="L231" s="74">
        <f t="shared" si="20"/>
        <v>48658</v>
      </c>
      <c r="M231" s="74">
        <f t="shared" si="21"/>
        <v>49</v>
      </c>
    </row>
    <row r="232" spans="1:13">
      <c r="A232" s="27">
        <v>45970</v>
      </c>
      <c r="B232" s="76" t="s">
        <v>33</v>
      </c>
      <c r="C232" s="76"/>
      <c r="D232" s="76"/>
      <c r="E232" s="77"/>
      <c r="F232" s="74">
        <v>0</v>
      </c>
      <c r="G232" s="74">
        <v>22</v>
      </c>
      <c r="H232" s="74">
        <v>22</v>
      </c>
      <c r="I232" s="4">
        <v>33733</v>
      </c>
      <c r="J232" s="74">
        <v>0</v>
      </c>
      <c r="K232" s="74">
        <v>0</v>
      </c>
      <c r="L232" s="74">
        <f t="shared" si="20"/>
        <v>48658</v>
      </c>
      <c r="M232" s="74">
        <f t="shared" si="21"/>
        <v>49</v>
      </c>
    </row>
    <row r="233" spans="1:13">
      <c r="A233" s="27">
        <v>45971</v>
      </c>
      <c r="B233" s="76" t="s">
        <v>65</v>
      </c>
      <c r="C233" s="76"/>
      <c r="D233" s="76"/>
      <c r="E233" s="77"/>
      <c r="F233" s="4">
        <v>7457</v>
      </c>
      <c r="G233" s="74">
        <v>0</v>
      </c>
      <c r="H233" s="4">
        <v>7457</v>
      </c>
      <c r="I233" s="4">
        <v>41190</v>
      </c>
      <c r="J233" s="74">
        <v>0</v>
      </c>
      <c r="K233" s="74">
        <v>0</v>
      </c>
      <c r="L233" s="74">
        <f t="shared" si="20"/>
        <v>48658</v>
      </c>
      <c r="M233" s="74">
        <f t="shared" si="21"/>
        <v>49</v>
      </c>
    </row>
    <row r="234" spans="1:13">
      <c r="A234" s="27">
        <v>45971</v>
      </c>
      <c r="B234" s="76" t="s">
        <v>33</v>
      </c>
      <c r="C234" s="76"/>
      <c r="D234" s="76"/>
      <c r="E234" s="77"/>
      <c r="F234" s="74">
        <v>0</v>
      </c>
      <c r="G234" s="74">
        <v>9</v>
      </c>
      <c r="H234" s="74">
        <v>9</v>
      </c>
      <c r="I234" s="4">
        <v>41199</v>
      </c>
      <c r="J234" s="74">
        <v>0</v>
      </c>
      <c r="K234" s="74">
        <v>0</v>
      </c>
      <c r="L234" s="74">
        <f t="shared" si="20"/>
        <v>48658</v>
      </c>
      <c r="M234" s="74">
        <f t="shared" si="21"/>
        <v>49</v>
      </c>
    </row>
    <row r="235" spans="1:13">
      <c r="A235" s="27">
        <v>45972</v>
      </c>
      <c r="B235" s="76" t="s">
        <v>33</v>
      </c>
      <c r="C235" s="76"/>
      <c r="D235" s="76"/>
      <c r="E235" s="77"/>
      <c r="F235" s="74">
        <v>0</v>
      </c>
      <c r="G235" s="74">
        <v>8</v>
      </c>
      <c r="H235" s="74">
        <v>8</v>
      </c>
      <c r="I235" s="4">
        <v>41207</v>
      </c>
      <c r="J235" s="74">
        <v>0</v>
      </c>
      <c r="K235" s="74">
        <v>0</v>
      </c>
      <c r="L235" s="74">
        <f t="shared" si="20"/>
        <v>48658</v>
      </c>
      <c r="M235" s="74">
        <f t="shared" si="21"/>
        <v>49</v>
      </c>
    </row>
    <row r="236" spans="1:13">
      <c r="A236" s="27">
        <v>45973</v>
      </c>
      <c r="B236" s="76" t="s">
        <v>33</v>
      </c>
      <c r="C236" s="76"/>
      <c r="D236" s="76"/>
      <c r="E236" s="77"/>
      <c r="F236" s="74">
        <v>0</v>
      </c>
      <c r="G236" s="74">
        <v>17</v>
      </c>
      <c r="H236" s="74">
        <v>17</v>
      </c>
      <c r="I236" s="4">
        <v>41224</v>
      </c>
      <c r="J236" s="74">
        <v>0</v>
      </c>
      <c r="K236" s="74">
        <v>0</v>
      </c>
      <c r="L236" s="74">
        <f t="shared" si="20"/>
        <v>48658</v>
      </c>
      <c r="M236" s="74">
        <f t="shared" si="21"/>
        <v>49</v>
      </c>
    </row>
    <row r="237" spans="1:13">
      <c r="A237" s="27">
        <v>45974</v>
      </c>
      <c r="B237" s="76" t="s">
        <v>33</v>
      </c>
      <c r="C237" s="76"/>
      <c r="D237" s="76"/>
      <c r="E237" s="77"/>
      <c r="F237" s="74">
        <v>0</v>
      </c>
      <c r="G237" s="74">
        <v>15</v>
      </c>
      <c r="H237" s="74">
        <v>15</v>
      </c>
      <c r="I237" s="4">
        <v>41239</v>
      </c>
      <c r="J237" s="74">
        <v>0</v>
      </c>
      <c r="K237" s="74">
        <v>0</v>
      </c>
      <c r="L237" s="74">
        <f t="shared" si="20"/>
        <v>48658</v>
      </c>
      <c r="M237" s="74">
        <f t="shared" si="21"/>
        <v>49</v>
      </c>
    </row>
    <row r="238" spans="1:13">
      <c r="A238" s="27">
        <v>45975</v>
      </c>
      <c r="B238" s="76" t="s">
        <v>33</v>
      </c>
      <c r="C238" s="76"/>
      <c r="D238" s="76"/>
      <c r="E238" s="77"/>
      <c r="F238" s="74">
        <v>0</v>
      </c>
      <c r="G238" s="74">
        <v>7</v>
      </c>
      <c r="H238" s="74">
        <v>7</v>
      </c>
      <c r="I238" s="4">
        <v>41246</v>
      </c>
      <c r="J238" s="74">
        <v>0</v>
      </c>
      <c r="K238" s="74">
        <v>0</v>
      </c>
      <c r="L238" s="74">
        <f t="shared" si="20"/>
        <v>48658</v>
      </c>
      <c r="M238" s="74">
        <f t="shared" si="21"/>
        <v>49</v>
      </c>
    </row>
    <row r="239" spans="1:13">
      <c r="A239" s="27">
        <v>45976</v>
      </c>
      <c r="B239" s="76" t="s">
        <v>33</v>
      </c>
      <c r="C239" s="76"/>
      <c r="D239" s="76"/>
      <c r="E239" s="77"/>
      <c r="F239" s="74">
        <v>0</v>
      </c>
      <c r="G239" s="74">
        <v>7</v>
      </c>
      <c r="H239" s="74">
        <v>7</v>
      </c>
      <c r="I239" s="4">
        <v>41253</v>
      </c>
      <c r="J239" s="74">
        <v>0</v>
      </c>
      <c r="K239" s="74">
        <v>0</v>
      </c>
      <c r="L239" s="74">
        <f t="shared" si="20"/>
        <v>48658</v>
      </c>
      <c r="M239" s="74">
        <f t="shared" si="21"/>
        <v>49</v>
      </c>
    </row>
    <row r="240" spans="1:13">
      <c r="A240" s="29">
        <v>45977</v>
      </c>
      <c r="B240" s="78" t="s">
        <v>33</v>
      </c>
      <c r="C240" s="78"/>
      <c r="D240" s="78"/>
      <c r="E240" s="79"/>
      <c r="F240" s="75">
        <v>0</v>
      </c>
      <c r="G240" s="75">
        <v>32</v>
      </c>
      <c r="H240" s="75">
        <v>32</v>
      </c>
      <c r="I240" s="30">
        <v>41285</v>
      </c>
      <c r="J240" s="75">
        <v>0</v>
      </c>
      <c r="K240" s="75">
        <v>0</v>
      </c>
      <c r="L240" s="74">
        <f t="shared" si="20"/>
        <v>48658</v>
      </c>
      <c r="M240" s="74">
        <f t="shared" si="21"/>
        <v>49</v>
      </c>
    </row>
    <row r="241" spans="1:13">
      <c r="A241" s="27">
        <v>45978</v>
      </c>
      <c r="B241" s="76" t="s">
        <v>33</v>
      </c>
      <c r="C241" s="76"/>
      <c r="D241" s="76"/>
      <c r="E241" s="77"/>
      <c r="F241" s="74">
        <v>0</v>
      </c>
      <c r="G241" s="74">
        <v>11</v>
      </c>
      <c r="H241" s="74">
        <v>11</v>
      </c>
      <c r="I241" s="4">
        <v>41833</v>
      </c>
      <c r="J241" s="74">
        <v>0</v>
      </c>
      <c r="K241" s="74">
        <v>0</v>
      </c>
      <c r="L241" s="74">
        <f t="shared" ref="L241:L249" si="22">J241+L240</f>
        <v>48658</v>
      </c>
      <c r="M241" s="74">
        <f t="shared" ref="M241:M249" si="23">K241+M240</f>
        <v>49</v>
      </c>
    </row>
    <row r="242" spans="1:13">
      <c r="A242" s="27">
        <v>45979</v>
      </c>
      <c r="B242" s="76" t="s">
        <v>33</v>
      </c>
      <c r="C242" s="76"/>
      <c r="D242" s="76"/>
      <c r="E242" s="77"/>
      <c r="F242" s="74">
        <v>0</v>
      </c>
      <c r="G242" s="74">
        <v>9</v>
      </c>
      <c r="H242" s="74">
        <v>9</v>
      </c>
      <c r="I242" s="4">
        <v>41842</v>
      </c>
      <c r="J242" s="74">
        <v>0</v>
      </c>
      <c r="K242" s="74">
        <v>0</v>
      </c>
      <c r="L242" s="74">
        <f t="shared" si="22"/>
        <v>48658</v>
      </c>
      <c r="M242" s="74">
        <f t="shared" si="23"/>
        <v>49</v>
      </c>
    </row>
    <row r="243" spans="1:13">
      <c r="A243" s="27">
        <v>45980</v>
      </c>
      <c r="B243" s="1" t="s">
        <v>110</v>
      </c>
      <c r="C243" s="3" t="s">
        <v>111</v>
      </c>
      <c r="D243" s="3" t="s">
        <v>20</v>
      </c>
      <c r="E243" s="1" t="s">
        <v>20</v>
      </c>
      <c r="F243" s="74">
        <v>0</v>
      </c>
      <c r="G243" s="74">
        <v>0</v>
      </c>
      <c r="H243" s="74">
        <v>0</v>
      </c>
      <c r="I243" s="4">
        <v>41842</v>
      </c>
      <c r="J243" s="74">
        <v>0</v>
      </c>
      <c r="K243" s="74">
        <v>0</v>
      </c>
      <c r="L243" s="74">
        <f t="shared" si="22"/>
        <v>48658</v>
      </c>
      <c r="M243" s="74">
        <f t="shared" si="23"/>
        <v>49</v>
      </c>
    </row>
    <row r="244" spans="1:13">
      <c r="A244" s="27">
        <v>45980</v>
      </c>
      <c r="B244" s="1" t="s">
        <v>112</v>
      </c>
      <c r="C244" s="3" t="s">
        <v>113</v>
      </c>
      <c r="D244" s="3" t="s">
        <v>20</v>
      </c>
      <c r="E244" s="1" t="s">
        <v>20</v>
      </c>
      <c r="F244" s="74">
        <v>0</v>
      </c>
      <c r="G244" s="74">
        <v>0</v>
      </c>
      <c r="H244" s="74">
        <v>0</v>
      </c>
      <c r="I244" s="4">
        <v>41842</v>
      </c>
      <c r="J244" s="74">
        <v>0</v>
      </c>
      <c r="K244" s="74">
        <v>0</v>
      </c>
      <c r="L244" s="74">
        <f t="shared" si="22"/>
        <v>48658</v>
      </c>
      <c r="M244" s="74">
        <f t="shared" si="23"/>
        <v>49</v>
      </c>
    </row>
    <row r="245" spans="1:13">
      <c r="A245" s="27">
        <v>45980</v>
      </c>
      <c r="B245" s="76" t="s">
        <v>33</v>
      </c>
      <c r="C245" s="76"/>
      <c r="D245" s="76"/>
      <c r="E245" s="77"/>
      <c r="F245" s="74">
        <v>0</v>
      </c>
      <c r="G245" s="74">
        <v>10</v>
      </c>
      <c r="H245" s="74">
        <v>10</v>
      </c>
      <c r="I245" s="4">
        <v>41852</v>
      </c>
      <c r="J245" s="74">
        <v>0</v>
      </c>
      <c r="K245" s="74">
        <v>0</v>
      </c>
      <c r="L245" s="74">
        <f t="shared" si="22"/>
        <v>48658</v>
      </c>
      <c r="M245" s="74">
        <f t="shared" si="23"/>
        <v>49</v>
      </c>
    </row>
    <row r="246" spans="1:13">
      <c r="A246" s="27">
        <v>45981</v>
      </c>
      <c r="B246" s="1" t="s">
        <v>114</v>
      </c>
      <c r="C246" s="1" t="s">
        <v>115</v>
      </c>
      <c r="D246" s="1" t="s">
        <v>42</v>
      </c>
      <c r="E246" s="1" t="s">
        <v>43</v>
      </c>
      <c r="F246" s="74">
        <v>455</v>
      </c>
      <c r="G246" s="28">
        <v>528</v>
      </c>
      <c r="H246" s="74">
        <v>983</v>
      </c>
      <c r="I246" s="4">
        <v>42835</v>
      </c>
      <c r="J246" s="4">
        <v>1310</v>
      </c>
      <c r="K246" s="74">
        <v>1</v>
      </c>
      <c r="L246" s="74">
        <f t="shared" si="22"/>
        <v>49968</v>
      </c>
      <c r="M246" s="74">
        <f t="shared" si="23"/>
        <v>50</v>
      </c>
    </row>
    <row r="247" spans="1:13">
      <c r="A247" s="27">
        <v>45981</v>
      </c>
      <c r="B247" s="76" t="s">
        <v>33</v>
      </c>
      <c r="C247" s="76"/>
      <c r="D247" s="76"/>
      <c r="E247" s="77"/>
      <c r="F247" s="74">
        <v>0</v>
      </c>
      <c r="G247" s="74">
        <v>179</v>
      </c>
      <c r="H247" s="74">
        <v>179</v>
      </c>
      <c r="I247" s="4">
        <v>43014</v>
      </c>
      <c r="J247" s="74">
        <v>0</v>
      </c>
      <c r="K247" s="74">
        <v>0</v>
      </c>
      <c r="L247" s="74">
        <f t="shared" si="22"/>
        <v>49968</v>
      </c>
      <c r="M247" s="74">
        <f t="shared" si="23"/>
        <v>50</v>
      </c>
    </row>
    <row r="248" spans="1:13">
      <c r="A248" s="27">
        <v>45982</v>
      </c>
      <c r="B248" s="76" t="s">
        <v>33</v>
      </c>
      <c r="C248" s="76"/>
      <c r="D248" s="76"/>
      <c r="E248" s="77"/>
      <c r="F248" s="74">
        <v>0</v>
      </c>
      <c r="G248" s="74">
        <v>65</v>
      </c>
      <c r="H248" s="74">
        <v>65</v>
      </c>
      <c r="I248" s="4">
        <v>43079</v>
      </c>
      <c r="J248" s="74">
        <v>0</v>
      </c>
      <c r="K248" s="74">
        <v>0</v>
      </c>
      <c r="L248" s="74">
        <f t="shared" si="22"/>
        <v>49968</v>
      </c>
      <c r="M248" s="74">
        <f t="shared" si="23"/>
        <v>50</v>
      </c>
    </row>
    <row r="249" spans="1:13">
      <c r="A249" s="27">
        <v>45983</v>
      </c>
      <c r="B249" s="1" t="s">
        <v>116</v>
      </c>
      <c r="C249" s="1" t="s">
        <v>117</v>
      </c>
      <c r="D249" s="1" t="s">
        <v>42</v>
      </c>
      <c r="E249" s="1" t="s">
        <v>43</v>
      </c>
      <c r="F249" s="74">
        <v>455</v>
      </c>
      <c r="G249" s="28">
        <v>528</v>
      </c>
      <c r="H249" s="74">
        <v>983</v>
      </c>
      <c r="I249" s="4">
        <v>44064</v>
      </c>
      <c r="J249" s="4">
        <v>1310</v>
      </c>
      <c r="K249" s="74">
        <v>1</v>
      </c>
      <c r="L249" s="74">
        <f t="shared" si="22"/>
        <v>51278</v>
      </c>
      <c r="M249" s="74">
        <f t="shared" si="23"/>
        <v>51</v>
      </c>
    </row>
    <row r="250" spans="1:13">
      <c r="A250" s="27">
        <v>45983</v>
      </c>
      <c r="B250" s="76" t="s">
        <v>33</v>
      </c>
      <c r="C250" s="76"/>
      <c r="D250" s="76"/>
      <c r="E250" s="77"/>
      <c r="F250" s="74">
        <v>0</v>
      </c>
      <c r="G250" s="74">
        <v>17</v>
      </c>
      <c r="H250" s="74">
        <v>17</v>
      </c>
      <c r="I250" s="4">
        <v>44081</v>
      </c>
      <c r="J250" s="74">
        <v>0</v>
      </c>
      <c r="K250" s="74">
        <v>0</v>
      </c>
      <c r="L250" s="74">
        <f t="shared" ref="L250:L261" si="24">J250+L249</f>
        <v>51278</v>
      </c>
      <c r="M250" s="74">
        <f t="shared" ref="M250:M261" si="25">K250+M249</f>
        <v>51</v>
      </c>
    </row>
    <row r="251" spans="1:13">
      <c r="A251" s="27">
        <v>45984</v>
      </c>
      <c r="B251" s="76" t="s">
        <v>33</v>
      </c>
      <c r="C251" s="76"/>
      <c r="D251" s="76"/>
      <c r="E251" s="77"/>
      <c r="F251" s="74">
        <v>0</v>
      </c>
      <c r="G251" s="74">
        <v>23</v>
      </c>
      <c r="H251" s="74">
        <v>23</v>
      </c>
      <c r="I251" s="4">
        <v>44104</v>
      </c>
      <c r="J251" s="74">
        <v>0</v>
      </c>
      <c r="K251" s="74">
        <v>0</v>
      </c>
      <c r="L251" s="74">
        <f t="shared" si="24"/>
        <v>51278</v>
      </c>
      <c r="M251" s="74">
        <f t="shared" si="25"/>
        <v>51</v>
      </c>
    </row>
    <row r="252" spans="1:13">
      <c r="A252" s="27">
        <v>45985</v>
      </c>
      <c r="B252" s="1" t="s">
        <v>101</v>
      </c>
      <c r="C252" s="1" t="s">
        <v>13</v>
      </c>
      <c r="D252" s="1" t="s">
        <v>42</v>
      </c>
      <c r="E252" s="1" t="s">
        <v>50</v>
      </c>
      <c r="F252" s="74">
        <v>425</v>
      </c>
      <c r="G252" s="28">
        <v>496</v>
      </c>
      <c r="H252" s="74">
        <v>921</v>
      </c>
      <c r="I252" s="4">
        <v>45025</v>
      </c>
      <c r="J252" s="4">
        <v>1050</v>
      </c>
      <c r="K252" s="74">
        <v>1</v>
      </c>
      <c r="L252" s="74">
        <f t="shared" si="24"/>
        <v>52328</v>
      </c>
      <c r="M252" s="74">
        <f t="shared" si="25"/>
        <v>52</v>
      </c>
    </row>
    <row r="253" spans="1:13">
      <c r="A253" s="27">
        <v>45985</v>
      </c>
      <c r="B253" s="76" t="s">
        <v>33</v>
      </c>
      <c r="C253" s="76"/>
      <c r="D253" s="76"/>
      <c r="E253" s="77"/>
      <c r="F253" s="74">
        <v>0</v>
      </c>
      <c r="G253" s="74">
        <v>9</v>
      </c>
      <c r="H253" s="74">
        <v>9</v>
      </c>
      <c r="I253" s="4">
        <v>45034</v>
      </c>
      <c r="J253" s="74">
        <v>0</v>
      </c>
      <c r="K253" s="74">
        <v>0</v>
      </c>
      <c r="L253" s="74">
        <f t="shared" si="24"/>
        <v>52328</v>
      </c>
      <c r="M253" s="74">
        <f t="shared" si="25"/>
        <v>52</v>
      </c>
    </row>
    <row r="254" spans="1:13">
      <c r="A254" s="27">
        <v>45986</v>
      </c>
      <c r="B254" s="1" t="s">
        <v>67</v>
      </c>
      <c r="C254" s="1" t="s">
        <v>24</v>
      </c>
      <c r="D254" s="1" t="s">
        <v>42</v>
      </c>
      <c r="E254" s="1" t="s">
        <v>43</v>
      </c>
      <c r="F254" s="74">
        <v>624</v>
      </c>
      <c r="G254" s="28">
        <v>705</v>
      </c>
      <c r="H254" s="4">
        <v>1329</v>
      </c>
      <c r="I254" s="4">
        <v>46363</v>
      </c>
      <c r="J254" s="4">
        <v>1648</v>
      </c>
      <c r="K254" s="74">
        <v>1</v>
      </c>
      <c r="L254" s="74">
        <f t="shared" si="24"/>
        <v>53976</v>
      </c>
      <c r="M254" s="74">
        <f t="shared" si="25"/>
        <v>53</v>
      </c>
    </row>
    <row r="255" spans="1:13">
      <c r="A255" s="27">
        <v>45986</v>
      </c>
      <c r="B255" s="76" t="s">
        <v>33</v>
      </c>
      <c r="C255" s="76"/>
      <c r="D255" s="76"/>
      <c r="E255" s="77"/>
      <c r="F255" s="74">
        <v>0</v>
      </c>
      <c r="G255" s="74">
        <v>9</v>
      </c>
      <c r="H255" s="74">
        <v>9</v>
      </c>
      <c r="I255" s="4">
        <v>46372</v>
      </c>
      <c r="J255" s="74">
        <v>0</v>
      </c>
      <c r="K255" s="74">
        <v>0</v>
      </c>
      <c r="L255" s="74">
        <f t="shared" si="24"/>
        <v>53976</v>
      </c>
      <c r="M255" s="74">
        <f t="shared" si="25"/>
        <v>53</v>
      </c>
    </row>
    <row r="256" spans="1:13">
      <c r="A256" s="27">
        <v>45987</v>
      </c>
      <c r="B256" s="1" t="s">
        <v>118</v>
      </c>
      <c r="C256" s="1" t="s">
        <v>53</v>
      </c>
      <c r="D256" s="1" t="s">
        <v>42</v>
      </c>
      <c r="E256" s="1" t="s">
        <v>43</v>
      </c>
      <c r="F256" s="74">
        <v>232</v>
      </c>
      <c r="G256" s="28">
        <v>294</v>
      </c>
      <c r="H256" s="74">
        <v>526</v>
      </c>
      <c r="I256" s="4">
        <v>46898</v>
      </c>
      <c r="J256" s="74">
        <v>864</v>
      </c>
      <c r="K256" s="74">
        <v>1</v>
      </c>
      <c r="L256" s="74">
        <f t="shared" si="24"/>
        <v>54840</v>
      </c>
      <c r="M256" s="74">
        <f t="shared" si="25"/>
        <v>54</v>
      </c>
    </row>
    <row r="257" spans="1:13">
      <c r="A257" s="27">
        <v>45987</v>
      </c>
      <c r="B257" s="76" t="s">
        <v>33</v>
      </c>
      <c r="C257" s="76"/>
      <c r="D257" s="76"/>
      <c r="E257" s="77"/>
      <c r="F257" s="74">
        <v>0</v>
      </c>
      <c r="G257" s="74">
        <v>11</v>
      </c>
      <c r="H257" s="74">
        <v>11</v>
      </c>
      <c r="I257" s="4">
        <v>46909</v>
      </c>
      <c r="J257" s="74">
        <v>0</v>
      </c>
      <c r="K257" s="74">
        <v>0</v>
      </c>
      <c r="L257" s="74">
        <f t="shared" si="24"/>
        <v>54840</v>
      </c>
      <c r="M257" s="74">
        <f t="shared" si="25"/>
        <v>54</v>
      </c>
    </row>
    <row r="258" spans="1:13">
      <c r="A258" s="27">
        <v>45988</v>
      </c>
      <c r="B258" s="1" t="s">
        <v>54</v>
      </c>
      <c r="C258" s="1" t="s">
        <v>55</v>
      </c>
      <c r="D258" s="1" t="s">
        <v>42</v>
      </c>
      <c r="E258" s="1" t="s">
        <v>43</v>
      </c>
      <c r="F258" s="74">
        <v>232</v>
      </c>
      <c r="G258" s="28">
        <v>294</v>
      </c>
      <c r="H258" s="74">
        <v>526</v>
      </c>
      <c r="I258" s="4">
        <v>47435</v>
      </c>
      <c r="J258" s="74">
        <v>864</v>
      </c>
      <c r="K258" s="74">
        <v>1</v>
      </c>
      <c r="L258" s="74">
        <f t="shared" si="24"/>
        <v>55704</v>
      </c>
      <c r="M258" s="74">
        <f t="shared" si="25"/>
        <v>55</v>
      </c>
    </row>
    <row r="259" spans="1:13">
      <c r="A259" s="27">
        <v>45988</v>
      </c>
      <c r="B259" s="76" t="s">
        <v>33</v>
      </c>
      <c r="C259" s="76"/>
      <c r="D259" s="76"/>
      <c r="E259" s="77"/>
      <c r="F259" s="74">
        <v>0</v>
      </c>
      <c r="G259" s="74">
        <v>7</v>
      </c>
      <c r="H259" s="74">
        <v>7</v>
      </c>
      <c r="I259" s="4">
        <v>47442</v>
      </c>
      <c r="J259" s="74">
        <v>0</v>
      </c>
      <c r="K259" s="74">
        <v>0</v>
      </c>
      <c r="L259" s="74">
        <f t="shared" si="24"/>
        <v>55704</v>
      </c>
      <c r="M259" s="74">
        <f t="shared" si="25"/>
        <v>55</v>
      </c>
    </row>
    <row r="260" spans="1:13">
      <c r="A260" s="27">
        <v>45989</v>
      </c>
      <c r="B260" s="76" t="s">
        <v>33</v>
      </c>
      <c r="C260" s="76"/>
      <c r="D260" s="76"/>
      <c r="E260" s="77"/>
      <c r="F260" s="74">
        <v>0</v>
      </c>
      <c r="G260" s="74">
        <v>42</v>
      </c>
      <c r="H260" s="74">
        <v>42</v>
      </c>
      <c r="I260" s="4">
        <v>47484</v>
      </c>
      <c r="J260" s="74">
        <v>0</v>
      </c>
      <c r="K260" s="74">
        <v>0</v>
      </c>
      <c r="L260" s="74">
        <f t="shared" si="24"/>
        <v>55704</v>
      </c>
      <c r="M260" s="74">
        <f t="shared" si="25"/>
        <v>55</v>
      </c>
    </row>
    <row r="261" spans="1:13">
      <c r="A261" s="29">
        <v>45990</v>
      </c>
      <c r="B261" s="78" t="s">
        <v>33</v>
      </c>
      <c r="C261" s="78"/>
      <c r="D261" s="78"/>
      <c r="E261" s="79"/>
      <c r="F261" s="75">
        <v>0</v>
      </c>
      <c r="G261" s="75">
        <v>9</v>
      </c>
      <c r="H261" s="75">
        <v>9</v>
      </c>
      <c r="I261" s="30">
        <v>47493</v>
      </c>
      <c r="J261" s="75">
        <v>0</v>
      </c>
      <c r="K261" s="75">
        <v>0</v>
      </c>
      <c r="L261" s="74">
        <f t="shared" si="24"/>
        <v>55704</v>
      </c>
      <c r="M261" s="74">
        <f t="shared" si="25"/>
        <v>55</v>
      </c>
    </row>
    <row r="262" spans="1:13">
      <c r="A262" s="27">
        <v>45991</v>
      </c>
      <c r="B262" s="76" t="s">
        <v>33</v>
      </c>
      <c r="C262" s="76"/>
      <c r="D262" s="76"/>
      <c r="E262" s="77"/>
      <c r="F262" s="74">
        <v>0</v>
      </c>
      <c r="G262" s="74">
        <v>34</v>
      </c>
      <c r="H262" s="74">
        <v>34</v>
      </c>
      <c r="I262" s="4">
        <v>47530</v>
      </c>
      <c r="J262" s="74">
        <v>0</v>
      </c>
      <c r="K262" s="74">
        <v>0</v>
      </c>
      <c r="L262" s="74">
        <f t="shared" ref="L262:L279" si="26">J262+L261</f>
        <v>55704</v>
      </c>
      <c r="M262" s="74">
        <f t="shared" ref="M262:M279" si="27">K262+M261</f>
        <v>55</v>
      </c>
    </row>
    <row r="263" spans="1:13">
      <c r="A263" s="27">
        <v>45992</v>
      </c>
      <c r="B263" s="1" t="s">
        <v>97</v>
      </c>
      <c r="C263" s="1" t="s">
        <v>13</v>
      </c>
      <c r="D263" s="1" t="s">
        <v>42</v>
      </c>
      <c r="E263" s="1" t="s">
        <v>50</v>
      </c>
      <c r="F263" s="74">
        <v>425</v>
      </c>
      <c r="G263" s="28">
        <v>496</v>
      </c>
      <c r="H263" s="74">
        <v>921</v>
      </c>
      <c r="I263" s="4">
        <v>48451</v>
      </c>
      <c r="J263" s="4">
        <v>1050</v>
      </c>
      <c r="K263" s="74">
        <v>1</v>
      </c>
      <c r="L263" s="74">
        <f t="shared" si="26"/>
        <v>56754</v>
      </c>
      <c r="M263" s="74">
        <f t="shared" si="27"/>
        <v>56</v>
      </c>
    </row>
    <row r="264" spans="1:13">
      <c r="A264" s="27">
        <v>45992</v>
      </c>
      <c r="B264" s="76" t="s">
        <v>33</v>
      </c>
      <c r="C264" s="76"/>
      <c r="D264" s="76"/>
      <c r="E264" s="77"/>
      <c r="F264" s="74">
        <v>0</v>
      </c>
      <c r="G264" s="74">
        <v>16</v>
      </c>
      <c r="H264" s="74">
        <v>16</v>
      </c>
      <c r="I264" s="4">
        <v>48467</v>
      </c>
      <c r="J264" s="74">
        <v>0</v>
      </c>
      <c r="K264" s="74">
        <v>0</v>
      </c>
      <c r="L264" s="74">
        <f t="shared" si="26"/>
        <v>56754</v>
      </c>
      <c r="M264" s="74">
        <f t="shared" si="27"/>
        <v>56</v>
      </c>
    </row>
    <row r="265" spans="1:13">
      <c r="A265" s="27">
        <v>45993</v>
      </c>
      <c r="B265" s="1" t="s">
        <v>119</v>
      </c>
      <c r="C265" s="1" t="s">
        <v>24</v>
      </c>
      <c r="D265" s="1" t="s">
        <v>42</v>
      </c>
      <c r="E265" s="1" t="s">
        <v>50</v>
      </c>
      <c r="F265" s="74">
        <v>425</v>
      </c>
      <c r="G265" s="28">
        <v>496</v>
      </c>
      <c r="H265" s="74">
        <v>921</v>
      </c>
      <c r="I265" s="4">
        <v>49388</v>
      </c>
      <c r="J265" s="4">
        <v>1050</v>
      </c>
      <c r="K265" s="74">
        <v>1</v>
      </c>
      <c r="L265" s="74">
        <f t="shared" si="26"/>
        <v>57804</v>
      </c>
      <c r="M265" s="74">
        <f t="shared" si="27"/>
        <v>57</v>
      </c>
    </row>
    <row r="266" spans="1:13">
      <c r="A266" s="27">
        <v>45993</v>
      </c>
      <c r="B266" s="76" t="s">
        <v>33</v>
      </c>
      <c r="C266" s="76"/>
      <c r="D266" s="76"/>
      <c r="E266" s="77"/>
      <c r="F266" s="74">
        <v>0</v>
      </c>
      <c r="G266" s="74">
        <v>7</v>
      </c>
      <c r="H266" s="74">
        <v>7</v>
      </c>
      <c r="I266" s="4">
        <v>49395</v>
      </c>
      <c r="J266" s="74">
        <v>0</v>
      </c>
      <c r="K266" s="74">
        <v>0</v>
      </c>
      <c r="L266" s="74">
        <f t="shared" si="26"/>
        <v>57804</v>
      </c>
      <c r="M266" s="74">
        <f t="shared" si="27"/>
        <v>57</v>
      </c>
    </row>
    <row r="267" spans="1:13">
      <c r="A267" s="27">
        <v>45994</v>
      </c>
      <c r="B267" s="1" t="s">
        <v>80</v>
      </c>
      <c r="C267" s="1" t="s">
        <v>81</v>
      </c>
      <c r="D267" s="1" t="s">
        <v>42</v>
      </c>
      <c r="E267" s="1" t="s">
        <v>50</v>
      </c>
      <c r="F267" s="74">
        <v>20</v>
      </c>
      <c r="G267" s="28">
        <v>21</v>
      </c>
      <c r="H267" s="74">
        <v>41</v>
      </c>
      <c r="I267" s="4">
        <v>49436</v>
      </c>
      <c r="J267" s="74">
        <v>40</v>
      </c>
      <c r="K267" s="74">
        <v>1</v>
      </c>
      <c r="L267" s="74">
        <f t="shared" si="26"/>
        <v>57844</v>
      </c>
      <c r="M267" s="74">
        <f t="shared" si="27"/>
        <v>58</v>
      </c>
    </row>
    <row r="268" spans="1:13">
      <c r="A268" s="27">
        <v>45994</v>
      </c>
      <c r="B268" s="1" t="s">
        <v>82</v>
      </c>
      <c r="C268" s="1" t="s">
        <v>83</v>
      </c>
      <c r="D268" s="1" t="s">
        <v>42</v>
      </c>
      <c r="E268" s="1" t="s">
        <v>50</v>
      </c>
      <c r="F268" s="74">
        <v>20</v>
      </c>
      <c r="G268" s="28">
        <v>21</v>
      </c>
      <c r="H268" s="74">
        <v>41</v>
      </c>
      <c r="I268" s="4">
        <v>49477</v>
      </c>
      <c r="J268" s="74">
        <v>40</v>
      </c>
      <c r="K268" s="74">
        <v>1</v>
      </c>
      <c r="L268" s="74">
        <f t="shared" si="26"/>
        <v>57884</v>
      </c>
      <c r="M268" s="74">
        <f t="shared" si="27"/>
        <v>59</v>
      </c>
    </row>
    <row r="269" spans="1:13">
      <c r="A269" s="27">
        <v>45994</v>
      </c>
      <c r="B269" s="1" t="s">
        <v>120</v>
      </c>
      <c r="C269" s="1" t="s">
        <v>121</v>
      </c>
      <c r="D269" s="1" t="s">
        <v>42</v>
      </c>
      <c r="E269" s="1" t="s">
        <v>50</v>
      </c>
      <c r="F269" s="74">
        <v>44</v>
      </c>
      <c r="G269" s="28">
        <v>96</v>
      </c>
      <c r="H269" s="74">
        <v>140</v>
      </c>
      <c r="I269" s="4">
        <v>49617</v>
      </c>
      <c r="J269" s="74">
        <v>288</v>
      </c>
      <c r="K269" s="74">
        <v>1</v>
      </c>
      <c r="L269" s="74">
        <f t="shared" si="26"/>
        <v>58172</v>
      </c>
      <c r="M269" s="74">
        <f t="shared" si="27"/>
        <v>60</v>
      </c>
    </row>
    <row r="270" spans="1:13">
      <c r="A270" s="27">
        <v>45994</v>
      </c>
      <c r="B270" s="1" t="s">
        <v>122</v>
      </c>
      <c r="C270" s="1" t="s">
        <v>123</v>
      </c>
      <c r="D270" s="1" t="s">
        <v>42</v>
      </c>
      <c r="E270" s="1" t="s">
        <v>50</v>
      </c>
      <c r="F270" s="74">
        <v>30</v>
      </c>
      <c r="G270" s="28">
        <v>32</v>
      </c>
      <c r="H270" s="74">
        <v>62</v>
      </c>
      <c r="I270" s="4">
        <v>49679</v>
      </c>
      <c r="J270" s="74">
        <v>60</v>
      </c>
      <c r="K270" s="74">
        <v>1</v>
      </c>
      <c r="L270" s="74">
        <f t="shared" si="26"/>
        <v>58232</v>
      </c>
      <c r="M270" s="74">
        <f t="shared" si="27"/>
        <v>61</v>
      </c>
    </row>
    <row r="271" spans="1:13">
      <c r="A271" s="27">
        <v>45994</v>
      </c>
      <c r="B271" s="1" t="s">
        <v>84</v>
      </c>
      <c r="C271" s="1" t="s">
        <v>85</v>
      </c>
      <c r="D271" s="1" t="s">
        <v>42</v>
      </c>
      <c r="E271" s="1" t="s">
        <v>50</v>
      </c>
      <c r="F271" s="74">
        <v>36</v>
      </c>
      <c r="G271" s="28">
        <v>38</v>
      </c>
      <c r="H271" s="74">
        <v>74</v>
      </c>
      <c r="I271" s="4">
        <v>49753</v>
      </c>
      <c r="J271" s="74">
        <v>72</v>
      </c>
      <c r="K271" s="74">
        <v>1</v>
      </c>
      <c r="L271" s="74">
        <f t="shared" si="26"/>
        <v>58304</v>
      </c>
      <c r="M271" s="74">
        <f t="shared" si="27"/>
        <v>62</v>
      </c>
    </row>
    <row r="272" spans="1:13">
      <c r="A272" s="27">
        <v>45994</v>
      </c>
      <c r="B272" s="1" t="s">
        <v>124</v>
      </c>
      <c r="C272" s="1" t="s">
        <v>91</v>
      </c>
      <c r="D272" s="1" t="s">
        <v>42</v>
      </c>
      <c r="E272" s="1" t="s">
        <v>50</v>
      </c>
      <c r="F272" s="74">
        <v>124</v>
      </c>
      <c r="G272" s="28">
        <v>130</v>
      </c>
      <c r="H272" s="74">
        <v>254</v>
      </c>
      <c r="I272" s="4">
        <v>50007</v>
      </c>
      <c r="J272" s="74">
        <v>248</v>
      </c>
      <c r="K272" s="74">
        <v>1</v>
      </c>
      <c r="L272" s="74">
        <f t="shared" si="26"/>
        <v>58552</v>
      </c>
      <c r="M272" s="74">
        <f t="shared" si="27"/>
        <v>63</v>
      </c>
    </row>
    <row r="273" spans="1:13">
      <c r="A273" s="27">
        <v>45994</v>
      </c>
      <c r="B273" s="1" t="s">
        <v>92</v>
      </c>
      <c r="C273" s="1" t="s">
        <v>93</v>
      </c>
      <c r="D273" s="1" t="s">
        <v>42</v>
      </c>
      <c r="E273" s="1" t="s">
        <v>50</v>
      </c>
      <c r="F273" s="74">
        <v>89</v>
      </c>
      <c r="G273" s="28">
        <v>93</v>
      </c>
      <c r="H273" s="74">
        <v>182</v>
      </c>
      <c r="I273" s="4">
        <v>50189</v>
      </c>
      <c r="J273" s="74">
        <v>178</v>
      </c>
      <c r="K273" s="74">
        <v>1</v>
      </c>
      <c r="L273" s="74">
        <f t="shared" si="26"/>
        <v>58730</v>
      </c>
      <c r="M273" s="74">
        <f t="shared" si="27"/>
        <v>64</v>
      </c>
    </row>
    <row r="274" spans="1:13">
      <c r="A274" s="27">
        <v>45994</v>
      </c>
      <c r="B274" s="1" t="s">
        <v>99</v>
      </c>
      <c r="C274" s="1" t="s">
        <v>100</v>
      </c>
      <c r="D274" s="1" t="s">
        <v>42</v>
      </c>
      <c r="E274" s="1" t="s">
        <v>50</v>
      </c>
      <c r="F274" s="74">
        <v>492</v>
      </c>
      <c r="G274" s="28">
        <v>517</v>
      </c>
      <c r="H274" s="4">
        <v>1009</v>
      </c>
      <c r="I274" s="4">
        <v>51198</v>
      </c>
      <c r="J274" s="74">
        <v>984</v>
      </c>
      <c r="K274" s="74">
        <v>1</v>
      </c>
      <c r="L274" s="74">
        <f t="shared" si="26"/>
        <v>59714</v>
      </c>
      <c r="M274" s="74">
        <f t="shared" si="27"/>
        <v>65</v>
      </c>
    </row>
    <row r="275" spans="1:13">
      <c r="A275" s="27">
        <v>45994</v>
      </c>
      <c r="B275" s="1" t="s">
        <v>125</v>
      </c>
      <c r="C275" s="1" t="s">
        <v>11</v>
      </c>
      <c r="D275" s="1" t="s">
        <v>42</v>
      </c>
      <c r="E275" s="1" t="s">
        <v>50</v>
      </c>
      <c r="F275" s="74">
        <v>492</v>
      </c>
      <c r="G275" s="28">
        <v>517</v>
      </c>
      <c r="H275" s="4">
        <v>1009</v>
      </c>
      <c r="I275" s="4">
        <v>52207</v>
      </c>
      <c r="J275" s="74">
        <v>984</v>
      </c>
      <c r="K275" s="74">
        <v>1</v>
      </c>
      <c r="L275" s="74">
        <f t="shared" si="26"/>
        <v>60698</v>
      </c>
      <c r="M275" s="74">
        <f t="shared" si="27"/>
        <v>66</v>
      </c>
    </row>
    <row r="276" spans="1:13">
      <c r="A276" s="27">
        <v>45994</v>
      </c>
      <c r="B276" s="76" t="s">
        <v>33</v>
      </c>
      <c r="C276" s="76"/>
      <c r="D276" s="76"/>
      <c r="E276" s="77"/>
      <c r="F276" s="74">
        <v>0</v>
      </c>
      <c r="G276" s="74">
        <v>10</v>
      </c>
      <c r="H276" s="74">
        <v>10</v>
      </c>
      <c r="I276" s="4">
        <v>52217</v>
      </c>
      <c r="J276" s="74">
        <v>0</v>
      </c>
      <c r="K276" s="74">
        <v>0</v>
      </c>
      <c r="L276" s="74">
        <f t="shared" si="26"/>
        <v>60698</v>
      </c>
      <c r="M276" s="74">
        <f t="shared" si="27"/>
        <v>66</v>
      </c>
    </row>
    <row r="277" spans="1:13">
      <c r="A277" s="27">
        <v>45995</v>
      </c>
      <c r="B277" s="76" t="s">
        <v>33</v>
      </c>
      <c r="C277" s="76"/>
      <c r="D277" s="76"/>
      <c r="E277" s="77"/>
      <c r="F277" s="74">
        <v>0</v>
      </c>
      <c r="G277" s="74">
        <v>110</v>
      </c>
      <c r="H277" s="74">
        <v>110</v>
      </c>
      <c r="I277" s="4">
        <v>52327</v>
      </c>
      <c r="J277" s="74">
        <v>0</v>
      </c>
      <c r="K277" s="74">
        <v>0</v>
      </c>
      <c r="L277" s="74">
        <f t="shared" si="26"/>
        <v>60698</v>
      </c>
      <c r="M277" s="74">
        <f t="shared" si="27"/>
        <v>66</v>
      </c>
    </row>
    <row r="278" spans="1:13">
      <c r="A278" s="27">
        <v>45996</v>
      </c>
      <c r="B278" s="76" t="s">
        <v>33</v>
      </c>
      <c r="C278" s="76"/>
      <c r="D278" s="76"/>
      <c r="E278" s="77"/>
      <c r="F278" s="74">
        <v>0</v>
      </c>
      <c r="G278" s="74">
        <v>13</v>
      </c>
      <c r="H278" s="74">
        <v>13</v>
      </c>
      <c r="I278" s="4">
        <v>52340</v>
      </c>
      <c r="J278" s="74">
        <v>0</v>
      </c>
      <c r="K278" s="74">
        <v>0</v>
      </c>
      <c r="L278" s="74">
        <f t="shared" si="26"/>
        <v>60698</v>
      </c>
      <c r="M278" s="74">
        <f t="shared" si="27"/>
        <v>66</v>
      </c>
    </row>
    <row r="279" spans="1:13">
      <c r="A279" s="29">
        <v>45997</v>
      </c>
      <c r="B279" s="78" t="s">
        <v>33</v>
      </c>
      <c r="C279" s="78"/>
      <c r="D279" s="78"/>
      <c r="E279" s="79"/>
      <c r="F279" s="75">
        <v>0</v>
      </c>
      <c r="G279" s="75">
        <v>10</v>
      </c>
      <c r="H279" s="75">
        <v>10</v>
      </c>
      <c r="I279" s="30">
        <v>52350</v>
      </c>
      <c r="J279" s="75">
        <v>0</v>
      </c>
      <c r="K279" s="75">
        <v>0</v>
      </c>
      <c r="L279" s="74">
        <f t="shared" si="26"/>
        <v>60698</v>
      </c>
      <c r="M279" s="74">
        <f t="shared" si="27"/>
        <v>66</v>
      </c>
    </row>
    <row r="280" spans="1:13">
      <c r="A280" s="27">
        <v>45998</v>
      </c>
      <c r="B280" s="76" t="s">
        <v>33</v>
      </c>
      <c r="C280" s="76"/>
      <c r="D280" s="76"/>
      <c r="E280" s="77"/>
      <c r="F280" s="74">
        <v>0</v>
      </c>
      <c r="G280" s="74">
        <v>28</v>
      </c>
      <c r="H280" s="74">
        <v>28</v>
      </c>
      <c r="I280" s="4">
        <v>52412</v>
      </c>
      <c r="J280" s="74">
        <v>0</v>
      </c>
      <c r="K280" s="74">
        <v>0</v>
      </c>
      <c r="L280" s="74">
        <f t="shared" ref="L280:L302" si="28">J280+L279</f>
        <v>60698</v>
      </c>
      <c r="M280" s="74">
        <f t="shared" ref="M280:M302" si="29">K280+M279</f>
        <v>66</v>
      </c>
    </row>
    <row r="281" spans="1:13">
      <c r="A281" s="27">
        <v>45999</v>
      </c>
      <c r="B281" s="76" t="s">
        <v>33</v>
      </c>
      <c r="C281" s="76"/>
      <c r="D281" s="76"/>
      <c r="E281" s="77"/>
      <c r="F281" s="74">
        <v>0</v>
      </c>
      <c r="G281" s="74">
        <v>9</v>
      </c>
      <c r="H281" s="74">
        <v>9</v>
      </c>
      <c r="I281" s="4">
        <v>52421</v>
      </c>
      <c r="J281" s="74">
        <v>0</v>
      </c>
      <c r="K281" s="74">
        <v>0</v>
      </c>
      <c r="L281" s="74">
        <f t="shared" si="28"/>
        <v>60698</v>
      </c>
      <c r="M281" s="74">
        <f t="shared" si="29"/>
        <v>66</v>
      </c>
    </row>
    <row r="282" spans="1:13">
      <c r="A282" s="27">
        <v>46000</v>
      </c>
      <c r="B282" s="76" t="s">
        <v>33</v>
      </c>
      <c r="C282" s="76"/>
      <c r="D282" s="76"/>
      <c r="E282" s="77"/>
      <c r="F282" s="74">
        <v>0</v>
      </c>
      <c r="G282" s="74">
        <v>11</v>
      </c>
      <c r="H282" s="74">
        <v>11</v>
      </c>
      <c r="I282" s="4">
        <v>52432</v>
      </c>
      <c r="J282" s="74">
        <v>0</v>
      </c>
      <c r="K282" s="74">
        <v>0</v>
      </c>
      <c r="L282" s="74">
        <f t="shared" si="28"/>
        <v>60698</v>
      </c>
      <c r="M282" s="74">
        <f t="shared" si="29"/>
        <v>66</v>
      </c>
    </row>
    <row r="283" spans="1:13">
      <c r="A283" s="27">
        <v>46001</v>
      </c>
      <c r="B283" s="76" t="s">
        <v>65</v>
      </c>
      <c r="C283" s="76"/>
      <c r="D283" s="76"/>
      <c r="E283" s="77"/>
      <c r="F283" s="4">
        <v>3093</v>
      </c>
      <c r="G283" s="74">
        <v>0</v>
      </c>
      <c r="H283" s="4">
        <v>3093</v>
      </c>
      <c r="I283" s="4">
        <v>55525</v>
      </c>
      <c r="J283" s="74">
        <v>0</v>
      </c>
      <c r="K283" s="74">
        <v>0</v>
      </c>
      <c r="L283" s="74">
        <f t="shared" si="28"/>
        <v>60698</v>
      </c>
      <c r="M283" s="74">
        <f t="shared" si="29"/>
        <v>66</v>
      </c>
    </row>
    <row r="284" spans="1:13">
      <c r="A284" s="27">
        <v>46001</v>
      </c>
      <c r="B284" s="76" t="s">
        <v>65</v>
      </c>
      <c r="C284" s="76"/>
      <c r="D284" s="76"/>
      <c r="E284" s="77"/>
      <c r="F284" s="74">
        <v>27</v>
      </c>
      <c r="G284" s="74">
        <v>0</v>
      </c>
      <c r="H284" s="74">
        <v>27</v>
      </c>
      <c r="I284" s="4">
        <v>55552</v>
      </c>
      <c r="J284" s="74">
        <v>0</v>
      </c>
      <c r="K284" s="74">
        <v>0</v>
      </c>
      <c r="L284" s="74">
        <f t="shared" si="28"/>
        <v>60698</v>
      </c>
      <c r="M284" s="74">
        <f t="shared" si="29"/>
        <v>66</v>
      </c>
    </row>
    <row r="285" spans="1:13">
      <c r="A285" s="27">
        <v>46001</v>
      </c>
      <c r="B285" s="76" t="s">
        <v>49</v>
      </c>
      <c r="C285" s="76"/>
      <c r="D285" s="76"/>
      <c r="E285" s="77"/>
      <c r="F285" s="74">
        <v>0</v>
      </c>
      <c r="G285" s="74">
        <v>1</v>
      </c>
      <c r="H285" s="74">
        <v>1</v>
      </c>
      <c r="I285" s="4">
        <v>55553</v>
      </c>
      <c r="J285" s="74">
        <v>0</v>
      </c>
      <c r="K285" s="74">
        <v>0</v>
      </c>
      <c r="L285" s="74">
        <f t="shared" si="28"/>
        <v>60698</v>
      </c>
      <c r="M285" s="74">
        <f t="shared" si="29"/>
        <v>66</v>
      </c>
    </row>
    <row r="286" spans="1:13">
      <c r="A286" s="27">
        <v>46001</v>
      </c>
      <c r="B286" s="76" t="s">
        <v>33</v>
      </c>
      <c r="C286" s="76"/>
      <c r="D286" s="76"/>
      <c r="E286" s="77"/>
      <c r="F286" s="74">
        <v>0</v>
      </c>
      <c r="G286" s="74">
        <v>17</v>
      </c>
      <c r="H286" s="74">
        <v>17</v>
      </c>
      <c r="I286" s="4">
        <v>55570</v>
      </c>
      <c r="J286" s="74">
        <v>0</v>
      </c>
      <c r="K286" s="74">
        <v>0</v>
      </c>
      <c r="L286" s="74">
        <f t="shared" si="28"/>
        <v>60698</v>
      </c>
      <c r="M286" s="74">
        <f t="shared" si="29"/>
        <v>66</v>
      </c>
    </row>
    <row r="287" spans="1:13">
      <c r="A287" s="27">
        <v>46002</v>
      </c>
      <c r="B287" s="76" t="s">
        <v>33</v>
      </c>
      <c r="C287" s="76"/>
      <c r="D287" s="76"/>
      <c r="E287" s="77"/>
      <c r="F287" s="74">
        <v>0</v>
      </c>
      <c r="G287" s="74">
        <v>9</v>
      </c>
      <c r="H287" s="74">
        <v>9</v>
      </c>
      <c r="I287" s="4">
        <v>55579</v>
      </c>
      <c r="J287" s="74">
        <v>0</v>
      </c>
      <c r="K287" s="74">
        <v>0</v>
      </c>
      <c r="L287" s="74">
        <f t="shared" si="28"/>
        <v>60698</v>
      </c>
      <c r="M287" s="74">
        <f t="shared" si="29"/>
        <v>66</v>
      </c>
    </row>
    <row r="288" spans="1:13">
      <c r="A288" s="27">
        <v>46003</v>
      </c>
      <c r="B288" s="76" t="s">
        <v>49</v>
      </c>
      <c r="C288" s="76"/>
      <c r="D288" s="76"/>
      <c r="E288" s="77"/>
      <c r="F288" s="74">
        <v>0</v>
      </c>
      <c r="G288" s="74">
        <v>1</v>
      </c>
      <c r="H288" s="74">
        <v>1</v>
      </c>
      <c r="I288" s="4">
        <v>55580</v>
      </c>
      <c r="J288" s="74">
        <v>0</v>
      </c>
      <c r="K288" s="74">
        <v>0</v>
      </c>
      <c r="L288" s="74">
        <f t="shared" si="28"/>
        <v>60698</v>
      </c>
      <c r="M288" s="74">
        <f t="shared" si="29"/>
        <v>66</v>
      </c>
    </row>
    <row r="289" spans="1:13">
      <c r="A289" s="27">
        <v>46003</v>
      </c>
      <c r="B289" s="76" t="s">
        <v>33</v>
      </c>
      <c r="C289" s="76"/>
      <c r="D289" s="76"/>
      <c r="E289" s="77"/>
      <c r="F289" s="74">
        <v>0</v>
      </c>
      <c r="G289" s="74">
        <v>8</v>
      </c>
      <c r="H289" s="74">
        <v>8</v>
      </c>
      <c r="I289" s="4">
        <v>55588</v>
      </c>
      <c r="J289" s="74">
        <v>0</v>
      </c>
      <c r="K289" s="74">
        <v>0</v>
      </c>
      <c r="L289" s="74">
        <f t="shared" si="28"/>
        <v>60698</v>
      </c>
      <c r="M289" s="74">
        <f t="shared" si="29"/>
        <v>66</v>
      </c>
    </row>
    <row r="290" spans="1:13">
      <c r="A290" s="27">
        <v>46004</v>
      </c>
      <c r="B290" s="76" t="s">
        <v>49</v>
      </c>
      <c r="C290" s="76"/>
      <c r="D290" s="76"/>
      <c r="E290" s="77"/>
      <c r="F290" s="74">
        <v>0</v>
      </c>
      <c r="G290" s="74">
        <v>1</v>
      </c>
      <c r="H290" s="74">
        <v>1</v>
      </c>
      <c r="I290" s="4">
        <v>55589</v>
      </c>
      <c r="J290" s="74">
        <v>0</v>
      </c>
      <c r="K290" s="74">
        <v>0</v>
      </c>
      <c r="L290" s="74">
        <f t="shared" si="28"/>
        <v>60698</v>
      </c>
      <c r="M290" s="74">
        <f t="shared" si="29"/>
        <v>66</v>
      </c>
    </row>
    <row r="291" spans="1:13">
      <c r="A291" s="27">
        <v>46004</v>
      </c>
      <c r="B291" s="76" t="s">
        <v>33</v>
      </c>
      <c r="C291" s="76"/>
      <c r="D291" s="76"/>
      <c r="E291" s="77"/>
      <c r="F291" s="74">
        <v>0</v>
      </c>
      <c r="G291" s="74">
        <v>9</v>
      </c>
      <c r="H291" s="74">
        <v>9</v>
      </c>
      <c r="I291" s="4">
        <v>55598</v>
      </c>
      <c r="J291" s="74">
        <v>0</v>
      </c>
      <c r="K291" s="74">
        <v>0</v>
      </c>
      <c r="L291" s="74">
        <f t="shared" si="28"/>
        <v>60698</v>
      </c>
      <c r="M291" s="74">
        <f t="shared" si="29"/>
        <v>66</v>
      </c>
    </row>
    <row r="292" spans="1:13">
      <c r="A292" s="27">
        <v>46005</v>
      </c>
      <c r="B292" s="76" t="s">
        <v>49</v>
      </c>
      <c r="C292" s="76"/>
      <c r="D292" s="76"/>
      <c r="E292" s="77"/>
      <c r="F292" s="74">
        <v>0</v>
      </c>
      <c r="G292" s="74">
        <v>1</v>
      </c>
      <c r="H292" s="74">
        <v>1</v>
      </c>
      <c r="I292" s="4">
        <v>55599</v>
      </c>
      <c r="J292" s="74">
        <v>0</v>
      </c>
      <c r="K292" s="74">
        <v>0</v>
      </c>
      <c r="L292" s="74">
        <f t="shared" si="28"/>
        <v>60698</v>
      </c>
      <c r="M292" s="74">
        <f t="shared" si="29"/>
        <v>66</v>
      </c>
    </row>
    <row r="293" spans="1:13">
      <c r="A293" s="27">
        <v>46005</v>
      </c>
      <c r="B293" s="76" t="s">
        <v>33</v>
      </c>
      <c r="C293" s="76"/>
      <c r="D293" s="76"/>
      <c r="E293" s="77"/>
      <c r="F293" s="74">
        <v>0</v>
      </c>
      <c r="G293" s="74">
        <v>21</v>
      </c>
      <c r="H293" s="74">
        <v>21</v>
      </c>
      <c r="I293" s="4">
        <v>55620</v>
      </c>
      <c r="J293" s="74">
        <v>0</v>
      </c>
      <c r="K293" s="74">
        <v>0</v>
      </c>
      <c r="L293" s="74">
        <f t="shared" si="28"/>
        <v>60698</v>
      </c>
      <c r="M293" s="74">
        <f t="shared" si="29"/>
        <v>66</v>
      </c>
    </row>
    <row r="294" spans="1:13">
      <c r="A294" s="27">
        <v>46006</v>
      </c>
      <c r="B294" s="76" t="s">
        <v>33</v>
      </c>
      <c r="C294" s="76"/>
      <c r="D294" s="76"/>
      <c r="E294" s="77"/>
      <c r="F294" s="74">
        <v>0</v>
      </c>
      <c r="G294" s="74">
        <v>10</v>
      </c>
      <c r="H294" s="74">
        <v>10</v>
      </c>
      <c r="I294" s="4">
        <v>55630</v>
      </c>
      <c r="J294" s="74">
        <v>0</v>
      </c>
      <c r="K294" s="74">
        <v>0</v>
      </c>
      <c r="L294" s="74">
        <f t="shared" si="28"/>
        <v>60698</v>
      </c>
      <c r="M294" s="74">
        <f t="shared" si="29"/>
        <v>66</v>
      </c>
    </row>
    <row r="295" spans="1:13">
      <c r="A295" s="27">
        <v>46007</v>
      </c>
      <c r="B295" s="76" t="s">
        <v>126</v>
      </c>
      <c r="C295" s="76"/>
      <c r="D295" s="76"/>
      <c r="E295" s="77"/>
      <c r="F295" s="74">
        <v>0</v>
      </c>
      <c r="G295" s="74">
        <v>0</v>
      </c>
      <c r="H295" s="74">
        <v>0</v>
      </c>
      <c r="I295" s="4">
        <v>55630</v>
      </c>
      <c r="J295" s="4">
        <v>15000</v>
      </c>
      <c r="K295" s="74">
        <v>0</v>
      </c>
      <c r="L295" s="74">
        <f t="shared" si="28"/>
        <v>75698</v>
      </c>
      <c r="M295" s="74">
        <f t="shared" si="29"/>
        <v>66</v>
      </c>
    </row>
    <row r="296" spans="1:13">
      <c r="A296" s="27">
        <v>46007</v>
      </c>
      <c r="B296" s="76" t="s">
        <v>33</v>
      </c>
      <c r="C296" s="76"/>
      <c r="D296" s="76"/>
      <c r="E296" s="77"/>
      <c r="F296" s="74">
        <v>0</v>
      </c>
      <c r="G296" s="74">
        <v>7</v>
      </c>
      <c r="H296" s="74">
        <v>7</v>
      </c>
      <c r="I296" s="4">
        <v>55637</v>
      </c>
      <c r="J296" s="74">
        <v>0</v>
      </c>
      <c r="K296" s="74">
        <v>0</v>
      </c>
      <c r="L296" s="74">
        <f t="shared" si="28"/>
        <v>75698</v>
      </c>
      <c r="M296" s="74">
        <f t="shared" si="29"/>
        <v>66</v>
      </c>
    </row>
    <row r="297" spans="1:13">
      <c r="A297" s="27">
        <v>46008</v>
      </c>
      <c r="B297" s="76" t="s">
        <v>33</v>
      </c>
      <c r="C297" s="76"/>
      <c r="D297" s="76"/>
      <c r="E297" s="77"/>
      <c r="F297" s="74">
        <v>0</v>
      </c>
      <c r="G297" s="74">
        <v>9</v>
      </c>
      <c r="H297" s="74">
        <v>9</v>
      </c>
      <c r="I297" s="4">
        <v>55646</v>
      </c>
      <c r="J297" s="74">
        <v>0</v>
      </c>
      <c r="K297" s="74">
        <v>0</v>
      </c>
      <c r="L297" s="74">
        <f t="shared" si="28"/>
        <v>75698</v>
      </c>
      <c r="M297" s="74">
        <f t="shared" si="29"/>
        <v>66</v>
      </c>
    </row>
    <row r="298" spans="1:13">
      <c r="A298" s="27">
        <v>46009</v>
      </c>
      <c r="B298" s="1" t="s">
        <v>127</v>
      </c>
      <c r="C298" s="1" t="s">
        <v>11</v>
      </c>
      <c r="D298" s="1" t="s">
        <v>42</v>
      </c>
      <c r="E298" s="1" t="s">
        <v>50</v>
      </c>
      <c r="F298" s="74">
        <v>738</v>
      </c>
      <c r="G298" s="28">
        <v>825</v>
      </c>
      <c r="H298" s="4">
        <v>1563</v>
      </c>
      <c r="I298" s="4">
        <v>57209</v>
      </c>
      <c r="J298" s="4">
        <v>1676</v>
      </c>
      <c r="K298" s="74">
        <v>1</v>
      </c>
      <c r="L298" s="74">
        <f t="shared" si="28"/>
        <v>77374</v>
      </c>
      <c r="M298" s="74">
        <f t="shared" si="29"/>
        <v>67</v>
      </c>
    </row>
    <row r="299" spans="1:13">
      <c r="A299" s="27">
        <v>46009</v>
      </c>
      <c r="B299" s="76" t="s">
        <v>128</v>
      </c>
      <c r="C299" s="76"/>
      <c r="D299" s="76"/>
      <c r="E299" s="77"/>
      <c r="F299" s="74">
        <v>0</v>
      </c>
      <c r="G299" s="4">
        <v>1000</v>
      </c>
      <c r="H299" s="4">
        <v>1000</v>
      </c>
      <c r="I299" s="4">
        <v>58209</v>
      </c>
      <c r="J299" s="74">
        <v>0</v>
      </c>
      <c r="K299" s="74">
        <v>0</v>
      </c>
      <c r="L299" s="74">
        <f t="shared" si="28"/>
        <v>77374</v>
      </c>
      <c r="M299" s="74">
        <f t="shared" si="29"/>
        <v>67</v>
      </c>
    </row>
    <row r="300" spans="1:13">
      <c r="A300" s="27">
        <v>46009</v>
      </c>
      <c r="B300" s="76" t="s">
        <v>33</v>
      </c>
      <c r="C300" s="76"/>
      <c r="D300" s="76"/>
      <c r="E300" s="77"/>
      <c r="F300" s="74">
        <v>0</v>
      </c>
      <c r="G300" s="74">
        <v>9</v>
      </c>
      <c r="H300" s="74">
        <v>9</v>
      </c>
      <c r="I300" s="4">
        <v>58218</v>
      </c>
      <c r="J300" s="74">
        <v>0</v>
      </c>
      <c r="K300" s="74">
        <v>0</v>
      </c>
      <c r="L300" s="74">
        <f t="shared" si="28"/>
        <v>77374</v>
      </c>
      <c r="M300" s="74">
        <f t="shared" si="29"/>
        <v>67</v>
      </c>
    </row>
    <row r="301" spans="1:13">
      <c r="A301" s="27">
        <v>46010</v>
      </c>
      <c r="B301" s="76" t="s">
        <v>33</v>
      </c>
      <c r="C301" s="76"/>
      <c r="D301" s="76"/>
      <c r="E301" s="77"/>
      <c r="F301" s="74">
        <v>0</v>
      </c>
      <c r="G301" s="74">
        <v>11</v>
      </c>
      <c r="H301" s="74">
        <v>11</v>
      </c>
      <c r="I301" s="4">
        <v>58229</v>
      </c>
      <c r="J301" s="74">
        <v>0</v>
      </c>
      <c r="K301" s="74">
        <v>0</v>
      </c>
      <c r="L301" s="74">
        <f t="shared" si="28"/>
        <v>77374</v>
      </c>
      <c r="M301" s="74">
        <f t="shared" si="29"/>
        <v>67</v>
      </c>
    </row>
    <row r="302" spans="1:13">
      <c r="A302" s="29">
        <v>46011</v>
      </c>
      <c r="B302" s="78" t="s">
        <v>33</v>
      </c>
      <c r="C302" s="78"/>
      <c r="D302" s="78"/>
      <c r="E302" s="79"/>
      <c r="F302" s="75">
        <v>0</v>
      </c>
      <c r="G302" s="75">
        <v>10</v>
      </c>
      <c r="H302" s="75">
        <v>10</v>
      </c>
      <c r="I302" s="30">
        <v>58239</v>
      </c>
      <c r="J302" s="75">
        <v>0</v>
      </c>
      <c r="K302" s="75">
        <v>0</v>
      </c>
      <c r="L302" s="74">
        <f t="shared" si="28"/>
        <v>77374</v>
      </c>
      <c r="M302" s="74">
        <f t="shared" si="29"/>
        <v>67</v>
      </c>
    </row>
    <row r="303" spans="1:13">
      <c r="A303" s="27">
        <v>46011</v>
      </c>
      <c r="B303" s="76" t="s">
        <v>49</v>
      </c>
      <c r="C303" s="76"/>
      <c r="D303" s="76"/>
      <c r="E303" s="77"/>
      <c r="F303" s="74">
        <v>0</v>
      </c>
      <c r="G303" s="74">
        <v>1</v>
      </c>
      <c r="H303" s="74">
        <v>1</v>
      </c>
      <c r="I303" s="4">
        <v>59817</v>
      </c>
      <c r="J303" s="74">
        <v>0</v>
      </c>
      <c r="K303" s="74">
        <v>0</v>
      </c>
      <c r="L303" s="74">
        <f t="shared" ref="L303:L319" si="30">J303+L302</f>
        <v>77374</v>
      </c>
      <c r="M303" s="74">
        <f t="shared" ref="M303:M319" si="31">K303+M302</f>
        <v>67</v>
      </c>
    </row>
    <row r="304" spans="1:13">
      <c r="A304" s="27">
        <v>46011</v>
      </c>
      <c r="B304" s="76" t="s">
        <v>33</v>
      </c>
      <c r="C304" s="76"/>
      <c r="D304" s="76"/>
      <c r="E304" s="77"/>
      <c r="F304" s="74">
        <v>0</v>
      </c>
      <c r="G304" s="74">
        <v>10</v>
      </c>
      <c r="H304" s="74">
        <v>10</v>
      </c>
      <c r="I304" s="4">
        <v>59827</v>
      </c>
      <c r="J304" s="74">
        <v>0</v>
      </c>
      <c r="K304" s="74">
        <v>0</v>
      </c>
      <c r="L304" s="74">
        <f t="shared" si="30"/>
        <v>77374</v>
      </c>
      <c r="M304" s="74">
        <f t="shared" si="31"/>
        <v>67</v>
      </c>
    </row>
    <row r="305" spans="1:13">
      <c r="A305" s="27">
        <v>46012</v>
      </c>
      <c r="B305" s="1" t="s">
        <v>41</v>
      </c>
      <c r="C305" s="1" t="s">
        <v>13</v>
      </c>
      <c r="D305" s="1" t="s">
        <v>42</v>
      </c>
      <c r="E305" s="1" t="s">
        <v>50</v>
      </c>
      <c r="F305" s="74">
        <v>425</v>
      </c>
      <c r="G305" s="28">
        <v>496</v>
      </c>
      <c r="H305" s="74">
        <v>921</v>
      </c>
      <c r="I305" s="4">
        <v>60748</v>
      </c>
      <c r="J305" s="4">
        <v>1050</v>
      </c>
      <c r="K305" s="74">
        <v>1</v>
      </c>
      <c r="L305" s="74">
        <f t="shared" si="30"/>
        <v>78424</v>
      </c>
      <c r="M305" s="74">
        <f t="shared" si="31"/>
        <v>68</v>
      </c>
    </row>
    <row r="306" spans="1:13">
      <c r="A306" s="27">
        <v>46012</v>
      </c>
      <c r="B306" s="76" t="s">
        <v>49</v>
      </c>
      <c r="C306" s="76"/>
      <c r="D306" s="76"/>
      <c r="E306" s="77"/>
      <c r="F306" s="74">
        <v>0</v>
      </c>
      <c r="G306" s="74">
        <v>1</v>
      </c>
      <c r="H306" s="74">
        <v>1</v>
      </c>
      <c r="I306" s="4">
        <v>60749</v>
      </c>
      <c r="J306" s="74">
        <v>0</v>
      </c>
      <c r="K306" s="74">
        <v>0</v>
      </c>
      <c r="L306" s="74">
        <f t="shared" si="30"/>
        <v>78424</v>
      </c>
      <c r="M306" s="74">
        <f t="shared" si="31"/>
        <v>68</v>
      </c>
    </row>
    <row r="307" spans="1:13">
      <c r="A307" s="27">
        <v>46012</v>
      </c>
      <c r="B307" s="76" t="s">
        <v>129</v>
      </c>
      <c r="C307" s="76"/>
      <c r="D307" s="76"/>
      <c r="E307" s="77"/>
      <c r="F307" s="74">
        <v>0</v>
      </c>
      <c r="G307" s="74">
        <v>69</v>
      </c>
      <c r="H307" s="74">
        <v>69</v>
      </c>
      <c r="I307" s="4">
        <v>60818</v>
      </c>
      <c r="J307" s="74">
        <v>0</v>
      </c>
      <c r="K307" s="74">
        <v>0</v>
      </c>
      <c r="L307" s="74">
        <f t="shared" si="30"/>
        <v>78424</v>
      </c>
      <c r="M307" s="74">
        <f t="shared" si="31"/>
        <v>68</v>
      </c>
    </row>
    <row r="308" spans="1:13">
      <c r="A308" s="27">
        <v>46012</v>
      </c>
      <c r="B308" s="76" t="s">
        <v>33</v>
      </c>
      <c r="C308" s="76"/>
      <c r="D308" s="76"/>
      <c r="E308" s="77"/>
      <c r="F308" s="74">
        <v>0</v>
      </c>
      <c r="G308" s="74">
        <v>26</v>
      </c>
      <c r="H308" s="74">
        <v>26</v>
      </c>
      <c r="I308" s="4">
        <v>60844</v>
      </c>
      <c r="J308" s="74">
        <v>0</v>
      </c>
      <c r="K308" s="74">
        <v>0</v>
      </c>
      <c r="L308" s="74">
        <f t="shared" si="30"/>
        <v>78424</v>
      </c>
      <c r="M308" s="74">
        <f t="shared" si="31"/>
        <v>68</v>
      </c>
    </row>
    <row r="309" spans="1:13">
      <c r="A309" s="27">
        <v>46013</v>
      </c>
      <c r="B309" s="76" t="s">
        <v>33</v>
      </c>
      <c r="C309" s="76"/>
      <c r="D309" s="76"/>
      <c r="E309" s="77"/>
      <c r="F309" s="74">
        <v>0</v>
      </c>
      <c r="G309" s="74">
        <v>13</v>
      </c>
      <c r="H309" s="74">
        <v>13</v>
      </c>
      <c r="I309" s="4">
        <v>60857</v>
      </c>
      <c r="J309" s="74">
        <v>0</v>
      </c>
      <c r="K309" s="74">
        <v>0</v>
      </c>
      <c r="L309" s="74">
        <f t="shared" si="30"/>
        <v>78424</v>
      </c>
      <c r="M309" s="74">
        <f t="shared" si="31"/>
        <v>68</v>
      </c>
    </row>
    <row r="310" spans="1:13">
      <c r="A310" s="27">
        <v>46014</v>
      </c>
      <c r="B310" s="1" t="s">
        <v>51</v>
      </c>
      <c r="C310" s="1" t="s">
        <v>24</v>
      </c>
      <c r="D310" s="1" t="s">
        <v>42</v>
      </c>
      <c r="E310" s="1" t="s">
        <v>50</v>
      </c>
      <c r="F310" s="74">
        <v>425</v>
      </c>
      <c r="G310" s="28">
        <v>496</v>
      </c>
      <c r="H310" s="74">
        <v>921</v>
      </c>
      <c r="I310" s="4">
        <v>61778</v>
      </c>
      <c r="J310" s="4">
        <v>1050</v>
      </c>
      <c r="K310" s="74">
        <v>1</v>
      </c>
      <c r="L310" s="74">
        <f t="shared" si="30"/>
        <v>79474</v>
      </c>
      <c r="M310" s="74">
        <f t="shared" si="31"/>
        <v>69</v>
      </c>
    </row>
    <row r="311" spans="1:13">
      <c r="A311" s="27">
        <v>46014</v>
      </c>
      <c r="B311" s="76" t="s">
        <v>33</v>
      </c>
      <c r="C311" s="76"/>
      <c r="D311" s="76"/>
      <c r="E311" s="77"/>
      <c r="F311" s="74">
        <v>0</v>
      </c>
      <c r="G311" s="74">
        <v>10</v>
      </c>
      <c r="H311" s="74">
        <v>10</v>
      </c>
      <c r="I311" s="4">
        <v>61788</v>
      </c>
      <c r="J311" s="74">
        <v>0</v>
      </c>
      <c r="K311" s="74">
        <v>0</v>
      </c>
      <c r="L311" s="74">
        <f t="shared" si="30"/>
        <v>79474</v>
      </c>
      <c r="M311" s="74">
        <f t="shared" si="31"/>
        <v>69</v>
      </c>
    </row>
    <row r="312" spans="1:13">
      <c r="A312" s="27">
        <v>46015</v>
      </c>
      <c r="B312" s="76" t="s">
        <v>33</v>
      </c>
      <c r="C312" s="76"/>
      <c r="D312" s="76"/>
      <c r="E312" s="77"/>
      <c r="F312" s="74">
        <v>0</v>
      </c>
      <c r="G312" s="74">
        <v>9</v>
      </c>
      <c r="H312" s="74">
        <v>9</v>
      </c>
      <c r="I312" s="4">
        <v>61797</v>
      </c>
      <c r="J312" s="74">
        <v>0</v>
      </c>
      <c r="K312" s="74">
        <v>0</v>
      </c>
      <c r="L312" s="74">
        <f t="shared" si="30"/>
        <v>79474</v>
      </c>
      <c r="M312" s="74">
        <f t="shared" si="31"/>
        <v>69</v>
      </c>
    </row>
    <row r="313" spans="1:13">
      <c r="A313" s="27">
        <v>46016</v>
      </c>
      <c r="B313" s="76" t="s">
        <v>33</v>
      </c>
      <c r="C313" s="76"/>
      <c r="D313" s="76"/>
      <c r="E313" s="77"/>
      <c r="F313" s="74">
        <v>0</v>
      </c>
      <c r="G313" s="74">
        <v>12</v>
      </c>
      <c r="H313" s="74">
        <v>12</v>
      </c>
      <c r="I313" s="4">
        <v>61809</v>
      </c>
      <c r="J313" s="74">
        <v>0</v>
      </c>
      <c r="K313" s="74">
        <v>0</v>
      </c>
      <c r="L313" s="74">
        <f t="shared" si="30"/>
        <v>79474</v>
      </c>
      <c r="M313" s="74">
        <f t="shared" si="31"/>
        <v>69</v>
      </c>
    </row>
    <row r="314" spans="1:13">
      <c r="A314" s="27">
        <v>46017</v>
      </c>
      <c r="B314" s="76" t="s">
        <v>33</v>
      </c>
      <c r="C314" s="76"/>
      <c r="D314" s="76"/>
      <c r="E314" s="77"/>
      <c r="F314" s="74">
        <v>0</v>
      </c>
      <c r="G314" s="74">
        <v>7</v>
      </c>
      <c r="H314" s="74">
        <v>7</v>
      </c>
      <c r="I314" s="4">
        <v>61816</v>
      </c>
      <c r="J314" s="74">
        <v>0</v>
      </c>
      <c r="K314" s="74">
        <v>0</v>
      </c>
      <c r="L314" s="74">
        <f t="shared" si="30"/>
        <v>79474</v>
      </c>
      <c r="M314" s="74">
        <f t="shared" si="31"/>
        <v>69</v>
      </c>
    </row>
    <row r="315" spans="1:13">
      <c r="A315" s="27">
        <v>46018</v>
      </c>
      <c r="B315" s="76" t="s">
        <v>33</v>
      </c>
      <c r="C315" s="76"/>
      <c r="D315" s="76"/>
      <c r="E315" s="77"/>
      <c r="F315" s="74">
        <v>0</v>
      </c>
      <c r="G315" s="74">
        <v>8</v>
      </c>
      <c r="H315" s="74">
        <v>8</v>
      </c>
      <c r="I315" s="4">
        <v>61824</v>
      </c>
      <c r="J315" s="74">
        <v>0</v>
      </c>
      <c r="K315" s="74">
        <v>0</v>
      </c>
      <c r="L315" s="74">
        <f t="shared" si="30"/>
        <v>79474</v>
      </c>
      <c r="M315" s="74">
        <f t="shared" si="31"/>
        <v>69</v>
      </c>
    </row>
    <row r="316" spans="1:13">
      <c r="A316" s="27">
        <v>46019</v>
      </c>
      <c r="B316" s="76" t="s">
        <v>33</v>
      </c>
      <c r="C316" s="76"/>
      <c r="D316" s="76"/>
      <c r="E316" s="77"/>
      <c r="F316" s="74">
        <v>0</v>
      </c>
      <c r="G316" s="74">
        <v>19</v>
      </c>
      <c r="H316" s="74">
        <v>19</v>
      </c>
      <c r="I316" s="4">
        <v>61843</v>
      </c>
      <c r="J316" s="74">
        <v>0</v>
      </c>
      <c r="K316" s="74">
        <v>0</v>
      </c>
      <c r="L316" s="74">
        <f t="shared" si="30"/>
        <v>79474</v>
      </c>
      <c r="M316" s="74">
        <f t="shared" si="31"/>
        <v>69</v>
      </c>
    </row>
    <row r="317" spans="1:13">
      <c r="A317" s="27">
        <v>46020</v>
      </c>
      <c r="B317" s="76" t="s">
        <v>33</v>
      </c>
      <c r="C317" s="76"/>
      <c r="D317" s="76"/>
      <c r="E317" s="77"/>
      <c r="F317" s="74">
        <v>0</v>
      </c>
      <c r="G317" s="74">
        <v>8</v>
      </c>
      <c r="H317" s="74">
        <v>8</v>
      </c>
      <c r="I317" s="4">
        <v>61851</v>
      </c>
      <c r="J317" s="74">
        <v>0</v>
      </c>
      <c r="K317" s="74">
        <v>0</v>
      </c>
      <c r="L317" s="74">
        <f t="shared" si="30"/>
        <v>79474</v>
      </c>
      <c r="M317" s="74">
        <f t="shared" si="31"/>
        <v>69</v>
      </c>
    </row>
    <row r="318" spans="1:13">
      <c r="A318" s="27">
        <v>46021</v>
      </c>
      <c r="B318" s="76" t="s">
        <v>33</v>
      </c>
      <c r="C318" s="76"/>
      <c r="D318" s="76"/>
      <c r="E318" s="77"/>
      <c r="F318" s="74">
        <v>0</v>
      </c>
      <c r="G318" s="74">
        <v>17</v>
      </c>
      <c r="H318" s="74">
        <v>17</v>
      </c>
      <c r="I318" s="4">
        <v>61868</v>
      </c>
      <c r="J318" s="74">
        <v>0</v>
      </c>
      <c r="K318" s="74">
        <v>0</v>
      </c>
      <c r="L318" s="74">
        <f t="shared" si="30"/>
        <v>79474</v>
      </c>
      <c r="M318" s="74">
        <f t="shared" si="31"/>
        <v>69</v>
      </c>
    </row>
    <row r="319" spans="1:13">
      <c r="A319" s="29">
        <v>46022</v>
      </c>
      <c r="B319" s="78" t="s">
        <v>33</v>
      </c>
      <c r="C319" s="78"/>
      <c r="D319" s="78"/>
      <c r="E319" s="79"/>
      <c r="F319" s="75">
        <v>0</v>
      </c>
      <c r="G319" s="75">
        <v>57</v>
      </c>
      <c r="H319" s="75">
        <v>57</v>
      </c>
      <c r="I319" s="30">
        <v>61925</v>
      </c>
      <c r="J319" s="75">
        <v>0</v>
      </c>
      <c r="K319" s="75">
        <v>0</v>
      </c>
      <c r="L319" s="74">
        <f t="shared" si="30"/>
        <v>79474</v>
      </c>
      <c r="M319" s="74">
        <f t="shared" si="31"/>
        <v>69</v>
      </c>
    </row>
    <row r="320" spans="1:13">
      <c r="A320" s="27">
        <v>46023</v>
      </c>
      <c r="B320" s="76" t="s">
        <v>33</v>
      </c>
      <c r="C320" s="76"/>
      <c r="D320" s="76"/>
      <c r="E320" s="77"/>
      <c r="F320" s="74">
        <v>0</v>
      </c>
      <c r="G320" s="74">
        <v>20</v>
      </c>
      <c r="H320" s="74">
        <v>20</v>
      </c>
      <c r="I320" s="4">
        <v>62056</v>
      </c>
      <c r="J320" s="74">
        <v>0</v>
      </c>
      <c r="K320" s="74">
        <v>0</v>
      </c>
      <c r="L320" s="74">
        <v>0</v>
      </c>
      <c r="M320" s="74">
        <v>0</v>
      </c>
    </row>
    <row r="321" spans="1:13">
      <c r="A321" s="27">
        <v>46024</v>
      </c>
      <c r="B321" s="76" t="s">
        <v>33</v>
      </c>
      <c r="C321" s="76"/>
      <c r="D321" s="76"/>
      <c r="E321" s="77"/>
      <c r="F321" s="74">
        <v>0</v>
      </c>
      <c r="G321" s="74">
        <v>10</v>
      </c>
      <c r="H321" s="74">
        <v>10</v>
      </c>
      <c r="I321" s="4">
        <v>62066</v>
      </c>
      <c r="J321" s="74">
        <v>0</v>
      </c>
      <c r="K321" s="74">
        <v>0</v>
      </c>
      <c r="L321" s="74">
        <f t="shared" ref="L320:L347" si="32">J321+L320</f>
        <v>0</v>
      </c>
      <c r="M321" s="74">
        <f t="shared" ref="M320:M347" si="33">K321+M320</f>
        <v>0</v>
      </c>
    </row>
    <row r="322" spans="1:13">
      <c r="A322" s="27">
        <v>46025</v>
      </c>
      <c r="B322" s="76" t="s">
        <v>33</v>
      </c>
      <c r="C322" s="76"/>
      <c r="D322" s="76"/>
      <c r="E322" s="77"/>
      <c r="F322" s="74">
        <v>0</v>
      </c>
      <c r="G322" s="74">
        <v>57</v>
      </c>
      <c r="H322" s="74">
        <v>57</v>
      </c>
      <c r="I322" s="4">
        <v>62123</v>
      </c>
      <c r="J322" s="74">
        <v>0</v>
      </c>
      <c r="K322" s="74">
        <v>0</v>
      </c>
      <c r="L322" s="74">
        <f t="shared" si="32"/>
        <v>0</v>
      </c>
      <c r="M322" s="74">
        <f t="shared" si="33"/>
        <v>0</v>
      </c>
    </row>
    <row r="323" spans="1:13">
      <c r="A323" s="27">
        <v>46026</v>
      </c>
      <c r="B323" s="76" t="s">
        <v>33</v>
      </c>
      <c r="C323" s="76"/>
      <c r="D323" s="76"/>
      <c r="E323" s="77"/>
      <c r="F323" s="74">
        <v>0</v>
      </c>
      <c r="G323" s="74">
        <v>24</v>
      </c>
      <c r="H323" s="74">
        <v>24</v>
      </c>
      <c r="I323" s="4">
        <v>62147</v>
      </c>
      <c r="J323" s="74">
        <v>0</v>
      </c>
      <c r="K323" s="74">
        <v>0</v>
      </c>
      <c r="L323" s="74">
        <f t="shared" si="32"/>
        <v>0</v>
      </c>
      <c r="M323" s="74">
        <f t="shared" si="33"/>
        <v>0</v>
      </c>
    </row>
    <row r="324" spans="1:13">
      <c r="A324" s="27">
        <v>46027</v>
      </c>
      <c r="B324" s="76" t="s">
        <v>49</v>
      </c>
      <c r="C324" s="76"/>
      <c r="D324" s="76"/>
      <c r="E324" s="77"/>
      <c r="F324" s="74">
        <v>0</v>
      </c>
      <c r="G324" s="74">
        <v>4</v>
      </c>
      <c r="H324" s="74">
        <v>4</v>
      </c>
      <c r="I324" s="4">
        <v>62151</v>
      </c>
      <c r="J324" s="74">
        <v>0</v>
      </c>
      <c r="K324" s="74">
        <v>0</v>
      </c>
      <c r="L324" s="74">
        <f t="shared" si="32"/>
        <v>0</v>
      </c>
      <c r="M324" s="74">
        <f t="shared" si="33"/>
        <v>0</v>
      </c>
    </row>
    <row r="325" spans="1:13">
      <c r="A325" s="27">
        <v>46027</v>
      </c>
      <c r="B325" s="76" t="s">
        <v>33</v>
      </c>
      <c r="C325" s="76"/>
      <c r="D325" s="76"/>
      <c r="E325" s="77"/>
      <c r="F325" s="74">
        <v>0</v>
      </c>
      <c r="G325" s="74">
        <v>12</v>
      </c>
      <c r="H325" s="74">
        <v>12</v>
      </c>
      <c r="I325" s="4">
        <v>62163</v>
      </c>
      <c r="J325" s="74">
        <v>0</v>
      </c>
      <c r="K325" s="74">
        <v>0</v>
      </c>
      <c r="L325" s="74">
        <f t="shared" si="32"/>
        <v>0</v>
      </c>
      <c r="M325" s="74">
        <f t="shared" si="33"/>
        <v>0</v>
      </c>
    </row>
    <row r="326" spans="1:13">
      <c r="A326" s="27">
        <v>46028</v>
      </c>
      <c r="B326" s="1" t="s">
        <v>130</v>
      </c>
      <c r="C326" s="1" t="s">
        <v>131</v>
      </c>
      <c r="D326" s="1" t="s">
        <v>42</v>
      </c>
      <c r="E326" s="1" t="s">
        <v>43</v>
      </c>
      <c r="F326" s="74">
        <v>392</v>
      </c>
      <c r="G326" s="28">
        <v>462</v>
      </c>
      <c r="H326" s="74">
        <v>854</v>
      </c>
      <c r="I326" s="4">
        <v>63017</v>
      </c>
      <c r="J326" s="4">
        <v>1184</v>
      </c>
      <c r="K326" s="74">
        <v>1</v>
      </c>
      <c r="L326" s="74">
        <f t="shared" si="32"/>
        <v>1184</v>
      </c>
      <c r="M326" s="74">
        <f t="shared" si="33"/>
        <v>1</v>
      </c>
    </row>
    <row r="327" spans="1:13">
      <c r="A327" s="27">
        <v>46028</v>
      </c>
      <c r="B327" s="76" t="s">
        <v>33</v>
      </c>
      <c r="C327" s="76"/>
      <c r="D327" s="76"/>
      <c r="E327" s="77"/>
      <c r="F327" s="74">
        <v>0</v>
      </c>
      <c r="G327" s="74">
        <v>10</v>
      </c>
      <c r="H327" s="74">
        <v>10</v>
      </c>
      <c r="I327" s="4">
        <v>63027</v>
      </c>
      <c r="J327" s="74">
        <v>0</v>
      </c>
      <c r="K327" s="74">
        <v>0</v>
      </c>
      <c r="L327" s="74">
        <f t="shared" si="32"/>
        <v>1184</v>
      </c>
      <c r="M327" s="74">
        <f t="shared" si="33"/>
        <v>1</v>
      </c>
    </row>
    <row r="328" spans="1:13">
      <c r="A328" s="27">
        <v>46028</v>
      </c>
      <c r="B328" s="76" t="s">
        <v>132</v>
      </c>
      <c r="C328" s="76"/>
      <c r="D328" s="76"/>
      <c r="E328" s="77"/>
      <c r="F328" s="74">
        <v>0</v>
      </c>
      <c r="G328" s="4">
        <v>2000</v>
      </c>
      <c r="H328" s="4">
        <v>2000</v>
      </c>
      <c r="I328" s="4">
        <v>65027</v>
      </c>
      <c r="J328" s="74">
        <v>0</v>
      </c>
      <c r="K328" s="74">
        <v>0</v>
      </c>
      <c r="L328" s="74">
        <f t="shared" si="32"/>
        <v>1184</v>
      </c>
      <c r="M328" s="74">
        <f t="shared" si="33"/>
        <v>1</v>
      </c>
    </row>
    <row r="329" spans="1:13">
      <c r="A329" s="27">
        <v>46029</v>
      </c>
      <c r="B329" s="76" t="s">
        <v>33</v>
      </c>
      <c r="C329" s="76"/>
      <c r="D329" s="76"/>
      <c r="E329" s="77"/>
      <c r="F329" s="74">
        <v>0</v>
      </c>
      <c r="G329" s="74">
        <v>58</v>
      </c>
      <c r="H329" s="74">
        <v>58</v>
      </c>
      <c r="I329" s="4">
        <v>65085</v>
      </c>
      <c r="J329" s="74">
        <v>0</v>
      </c>
      <c r="K329" s="74">
        <v>0</v>
      </c>
      <c r="L329" s="74">
        <f t="shared" si="32"/>
        <v>1184</v>
      </c>
      <c r="M329" s="74">
        <f t="shared" si="33"/>
        <v>1</v>
      </c>
    </row>
    <row r="330" spans="1:13">
      <c r="A330" s="27">
        <v>46030</v>
      </c>
      <c r="B330" s="1" t="s">
        <v>47</v>
      </c>
      <c r="C330" s="1" t="s">
        <v>13</v>
      </c>
      <c r="D330" s="1" t="s">
        <v>42</v>
      </c>
      <c r="E330" s="1" t="s">
        <v>43</v>
      </c>
      <c r="F330" s="74">
        <v>284</v>
      </c>
      <c r="G330" s="28">
        <v>298</v>
      </c>
      <c r="H330" s="74">
        <v>582</v>
      </c>
      <c r="I330" s="4">
        <v>65667</v>
      </c>
      <c r="J330" s="74">
        <v>568</v>
      </c>
      <c r="K330" s="74">
        <v>1</v>
      </c>
      <c r="L330" s="74">
        <f t="shared" si="32"/>
        <v>1752</v>
      </c>
      <c r="M330" s="74">
        <f t="shared" si="33"/>
        <v>2</v>
      </c>
    </row>
    <row r="331" spans="1:13">
      <c r="A331" s="27">
        <v>46030</v>
      </c>
      <c r="B331" s="1" t="s">
        <v>133</v>
      </c>
      <c r="C331" s="1" t="s">
        <v>134</v>
      </c>
      <c r="D331" s="1" t="s">
        <v>42</v>
      </c>
      <c r="E331" s="1" t="s">
        <v>43</v>
      </c>
      <c r="F331" s="74">
        <v>392</v>
      </c>
      <c r="G331" s="28">
        <v>462</v>
      </c>
      <c r="H331" s="74">
        <v>854</v>
      </c>
      <c r="I331" s="4">
        <v>66521</v>
      </c>
      <c r="J331" s="4">
        <v>1184</v>
      </c>
      <c r="K331" s="74">
        <v>1</v>
      </c>
      <c r="L331" s="74">
        <f t="shared" si="32"/>
        <v>2936</v>
      </c>
      <c r="M331" s="74">
        <f t="shared" si="33"/>
        <v>3</v>
      </c>
    </row>
    <row r="332" spans="1:13">
      <c r="A332" s="27">
        <v>46030</v>
      </c>
      <c r="B332" s="76" t="s">
        <v>49</v>
      </c>
      <c r="C332" s="76"/>
      <c r="D332" s="76"/>
      <c r="E332" s="77"/>
      <c r="F332" s="74">
        <v>0</v>
      </c>
      <c r="G332" s="74">
        <v>2</v>
      </c>
      <c r="H332" s="74">
        <v>2</v>
      </c>
      <c r="I332" s="4">
        <v>66523</v>
      </c>
      <c r="J332" s="74">
        <v>0</v>
      </c>
      <c r="K332" s="74">
        <v>0</v>
      </c>
      <c r="L332" s="74">
        <f t="shared" si="32"/>
        <v>2936</v>
      </c>
      <c r="M332" s="74">
        <f t="shared" si="33"/>
        <v>3</v>
      </c>
    </row>
    <row r="333" spans="1:13">
      <c r="A333" s="27">
        <v>46030</v>
      </c>
      <c r="B333" s="76" t="s">
        <v>33</v>
      </c>
      <c r="C333" s="76"/>
      <c r="D333" s="76"/>
      <c r="E333" s="77"/>
      <c r="F333" s="74">
        <v>0</v>
      </c>
      <c r="G333" s="74">
        <v>11</v>
      </c>
      <c r="H333" s="74">
        <v>11</v>
      </c>
      <c r="I333" s="4">
        <v>66534</v>
      </c>
      <c r="J333" s="74">
        <v>0</v>
      </c>
      <c r="K333" s="74">
        <v>0</v>
      </c>
      <c r="L333" s="74">
        <f t="shared" si="32"/>
        <v>2936</v>
      </c>
      <c r="M333" s="74">
        <f t="shared" si="33"/>
        <v>3</v>
      </c>
    </row>
    <row r="334" spans="1:13">
      <c r="A334" s="27">
        <v>46031</v>
      </c>
      <c r="B334" s="1" t="s">
        <v>135</v>
      </c>
      <c r="C334" s="1" t="s">
        <v>136</v>
      </c>
      <c r="D334" s="1" t="s">
        <v>42</v>
      </c>
      <c r="E334" s="1" t="s">
        <v>50</v>
      </c>
      <c r="F334" s="74">
        <v>124</v>
      </c>
      <c r="G334" s="28">
        <v>130</v>
      </c>
      <c r="H334" s="74">
        <v>254</v>
      </c>
      <c r="I334" s="4">
        <v>66788</v>
      </c>
      <c r="J334" s="74">
        <v>248</v>
      </c>
      <c r="K334" s="74">
        <v>1</v>
      </c>
      <c r="L334" s="74">
        <f t="shared" si="32"/>
        <v>3184</v>
      </c>
      <c r="M334" s="74">
        <f t="shared" si="33"/>
        <v>4</v>
      </c>
    </row>
    <row r="335" spans="1:13">
      <c r="A335" s="27">
        <v>46031</v>
      </c>
      <c r="B335" s="1" t="s">
        <v>90</v>
      </c>
      <c r="C335" s="1" t="s">
        <v>91</v>
      </c>
      <c r="D335" s="1" t="s">
        <v>42</v>
      </c>
      <c r="E335" s="1" t="s">
        <v>50</v>
      </c>
      <c r="F335" s="74">
        <v>124</v>
      </c>
      <c r="G335" s="28">
        <v>130</v>
      </c>
      <c r="H335" s="74">
        <v>254</v>
      </c>
      <c r="I335" s="4">
        <v>67042</v>
      </c>
      <c r="J335" s="74">
        <v>248</v>
      </c>
      <c r="K335" s="74">
        <v>1</v>
      </c>
      <c r="L335" s="74">
        <f t="shared" si="32"/>
        <v>3432</v>
      </c>
      <c r="M335" s="74">
        <f t="shared" si="33"/>
        <v>5</v>
      </c>
    </row>
    <row r="336" spans="1:13">
      <c r="A336" s="27">
        <v>46031</v>
      </c>
      <c r="B336" s="1" t="s">
        <v>92</v>
      </c>
      <c r="C336" s="1" t="s">
        <v>93</v>
      </c>
      <c r="D336" s="1" t="s">
        <v>42</v>
      </c>
      <c r="E336" s="1" t="s">
        <v>50</v>
      </c>
      <c r="F336" s="74">
        <v>133</v>
      </c>
      <c r="G336" s="28">
        <v>190</v>
      </c>
      <c r="H336" s="74">
        <v>323</v>
      </c>
      <c r="I336" s="4">
        <v>67365</v>
      </c>
      <c r="J336" s="74">
        <v>466</v>
      </c>
      <c r="K336" s="74">
        <v>1</v>
      </c>
      <c r="L336" s="74">
        <f t="shared" si="32"/>
        <v>3898</v>
      </c>
      <c r="M336" s="74">
        <f t="shared" si="33"/>
        <v>6</v>
      </c>
    </row>
    <row r="337" spans="1:13">
      <c r="A337" s="27">
        <v>46031</v>
      </c>
      <c r="B337" s="1" t="s">
        <v>137</v>
      </c>
      <c r="C337" s="1" t="s">
        <v>138</v>
      </c>
      <c r="D337" s="1" t="s">
        <v>42</v>
      </c>
      <c r="E337" s="1" t="s">
        <v>50</v>
      </c>
      <c r="F337" s="74">
        <v>89</v>
      </c>
      <c r="G337" s="28">
        <v>93</v>
      </c>
      <c r="H337" s="74">
        <v>182</v>
      </c>
      <c r="I337" s="4">
        <v>67547</v>
      </c>
      <c r="J337" s="74">
        <v>178</v>
      </c>
      <c r="K337" s="74">
        <v>1</v>
      </c>
      <c r="L337" s="74">
        <f t="shared" si="32"/>
        <v>4076</v>
      </c>
      <c r="M337" s="74">
        <f t="shared" si="33"/>
        <v>7</v>
      </c>
    </row>
    <row r="338" spans="1:13">
      <c r="A338" s="27">
        <v>46031</v>
      </c>
      <c r="B338" s="1" t="s">
        <v>139</v>
      </c>
      <c r="C338" s="1" t="s">
        <v>121</v>
      </c>
      <c r="D338" s="1" t="s">
        <v>42</v>
      </c>
      <c r="E338" s="1" t="s">
        <v>50</v>
      </c>
      <c r="F338" s="74">
        <v>30</v>
      </c>
      <c r="G338" s="28">
        <v>32</v>
      </c>
      <c r="H338" s="74">
        <v>62</v>
      </c>
      <c r="I338" s="4">
        <v>67609</v>
      </c>
      <c r="J338" s="74">
        <v>60</v>
      </c>
      <c r="K338" s="74">
        <v>1</v>
      </c>
      <c r="L338" s="74">
        <f t="shared" si="32"/>
        <v>4136</v>
      </c>
      <c r="M338" s="74">
        <f t="shared" si="33"/>
        <v>8</v>
      </c>
    </row>
    <row r="339" spans="1:13">
      <c r="A339" s="27">
        <v>46031</v>
      </c>
      <c r="B339" s="1" t="s">
        <v>140</v>
      </c>
      <c r="C339" s="1" t="s">
        <v>123</v>
      </c>
      <c r="D339" s="1" t="s">
        <v>42</v>
      </c>
      <c r="E339" s="1" t="s">
        <v>50</v>
      </c>
      <c r="F339" s="74">
        <v>30</v>
      </c>
      <c r="G339" s="28">
        <v>32</v>
      </c>
      <c r="H339" s="74">
        <v>62</v>
      </c>
      <c r="I339" s="4">
        <v>67671</v>
      </c>
      <c r="J339" s="74">
        <v>60</v>
      </c>
      <c r="K339" s="74">
        <v>1</v>
      </c>
      <c r="L339" s="74">
        <f t="shared" si="32"/>
        <v>4196</v>
      </c>
      <c r="M339" s="74">
        <f t="shared" si="33"/>
        <v>9</v>
      </c>
    </row>
    <row r="340" spans="1:13">
      <c r="A340" s="27">
        <v>46031</v>
      </c>
      <c r="B340" s="1" t="s">
        <v>94</v>
      </c>
      <c r="C340" s="1" t="s">
        <v>71</v>
      </c>
      <c r="D340" s="1" t="s">
        <v>42</v>
      </c>
      <c r="E340" s="1" t="s">
        <v>50</v>
      </c>
      <c r="F340" s="74">
        <v>269</v>
      </c>
      <c r="G340" s="28">
        <v>282</v>
      </c>
      <c r="H340" s="74">
        <v>551</v>
      </c>
      <c r="I340" s="4">
        <v>68222</v>
      </c>
      <c r="J340" s="74">
        <v>538</v>
      </c>
      <c r="K340" s="74">
        <v>1</v>
      </c>
      <c r="L340" s="74">
        <f t="shared" si="32"/>
        <v>4734</v>
      </c>
      <c r="M340" s="74">
        <f t="shared" si="33"/>
        <v>10</v>
      </c>
    </row>
    <row r="341" spans="1:13">
      <c r="A341" s="27">
        <v>46031</v>
      </c>
      <c r="B341" s="1" t="s">
        <v>95</v>
      </c>
      <c r="C341" s="1" t="s">
        <v>69</v>
      </c>
      <c r="D341" s="1" t="s">
        <v>42</v>
      </c>
      <c r="E341" s="1" t="s">
        <v>50</v>
      </c>
      <c r="F341" s="74">
        <v>403</v>
      </c>
      <c r="G341" s="28">
        <v>826</v>
      </c>
      <c r="H341" s="4">
        <v>1229</v>
      </c>
      <c r="I341" s="4">
        <v>69451</v>
      </c>
      <c r="J341" s="4">
        <v>1006</v>
      </c>
      <c r="K341" s="74">
        <v>1</v>
      </c>
      <c r="L341" s="74">
        <f t="shared" si="32"/>
        <v>5740</v>
      </c>
      <c r="M341" s="74">
        <f t="shared" si="33"/>
        <v>11</v>
      </c>
    </row>
    <row r="342" spans="1:13">
      <c r="A342" s="27">
        <v>46031</v>
      </c>
      <c r="B342" s="76" t="s">
        <v>33</v>
      </c>
      <c r="C342" s="76"/>
      <c r="D342" s="76"/>
      <c r="E342" s="77"/>
      <c r="F342" s="74">
        <v>0</v>
      </c>
      <c r="G342" s="74">
        <v>9</v>
      </c>
      <c r="H342" s="74">
        <v>9</v>
      </c>
      <c r="I342" s="4">
        <v>69460</v>
      </c>
      <c r="J342" s="74">
        <v>0</v>
      </c>
      <c r="K342" s="74">
        <v>0</v>
      </c>
      <c r="L342" s="74">
        <f t="shared" si="32"/>
        <v>5740</v>
      </c>
      <c r="M342" s="74">
        <f t="shared" si="33"/>
        <v>11</v>
      </c>
    </row>
    <row r="343" spans="1:13">
      <c r="A343" s="27">
        <v>46032</v>
      </c>
      <c r="B343" s="1" t="s">
        <v>141</v>
      </c>
      <c r="C343" s="1" t="s">
        <v>142</v>
      </c>
      <c r="D343" s="1" t="s">
        <v>42</v>
      </c>
      <c r="E343" s="1" t="s">
        <v>50</v>
      </c>
      <c r="F343" s="74">
        <v>63</v>
      </c>
      <c r="G343" s="28">
        <v>66</v>
      </c>
      <c r="H343" s="74">
        <v>129</v>
      </c>
      <c r="I343" s="4">
        <v>69589</v>
      </c>
      <c r="J343" s="74">
        <v>126</v>
      </c>
      <c r="K343" s="74">
        <v>1</v>
      </c>
      <c r="L343" s="74">
        <f t="shared" si="32"/>
        <v>5866</v>
      </c>
      <c r="M343" s="74">
        <f t="shared" si="33"/>
        <v>12</v>
      </c>
    </row>
    <row r="344" spans="1:13">
      <c r="A344" s="27">
        <v>46032</v>
      </c>
      <c r="B344" s="1" t="s">
        <v>143</v>
      </c>
      <c r="C344" s="1" t="s">
        <v>144</v>
      </c>
      <c r="D344" s="1" t="s">
        <v>42</v>
      </c>
      <c r="E344" s="1" t="s">
        <v>50</v>
      </c>
      <c r="F344" s="74">
        <v>63</v>
      </c>
      <c r="G344" s="28">
        <v>66</v>
      </c>
      <c r="H344" s="74">
        <v>129</v>
      </c>
      <c r="I344" s="4">
        <v>69718</v>
      </c>
      <c r="J344" s="74">
        <v>126</v>
      </c>
      <c r="K344" s="74">
        <v>1</v>
      </c>
      <c r="L344" s="74">
        <f t="shared" si="32"/>
        <v>5992</v>
      </c>
      <c r="M344" s="74">
        <f t="shared" si="33"/>
        <v>13</v>
      </c>
    </row>
    <row r="345" spans="1:13">
      <c r="A345" s="27">
        <v>46032</v>
      </c>
      <c r="B345" s="1" t="s">
        <v>145</v>
      </c>
      <c r="C345" s="1" t="s">
        <v>73</v>
      </c>
      <c r="D345" s="1" t="s">
        <v>42</v>
      </c>
      <c r="E345" s="1" t="s">
        <v>50</v>
      </c>
      <c r="F345" s="74">
        <v>98</v>
      </c>
      <c r="G345" s="28">
        <v>153</v>
      </c>
      <c r="H345" s="74">
        <v>251</v>
      </c>
      <c r="I345" s="4">
        <v>69969</v>
      </c>
      <c r="J345" s="74">
        <v>396</v>
      </c>
      <c r="K345" s="74">
        <v>1</v>
      </c>
      <c r="L345" s="74">
        <f t="shared" si="32"/>
        <v>6388</v>
      </c>
      <c r="M345" s="74">
        <f t="shared" si="33"/>
        <v>14</v>
      </c>
    </row>
    <row r="346" spans="1:13">
      <c r="A346" s="27">
        <v>46032</v>
      </c>
      <c r="B346" s="1" t="s">
        <v>146</v>
      </c>
      <c r="C346" s="1" t="s">
        <v>75</v>
      </c>
      <c r="D346" s="1" t="s">
        <v>42</v>
      </c>
      <c r="E346" s="1" t="s">
        <v>50</v>
      </c>
      <c r="F346" s="74">
        <v>98</v>
      </c>
      <c r="G346" s="28">
        <v>153</v>
      </c>
      <c r="H346" s="74">
        <v>251</v>
      </c>
      <c r="I346" s="4">
        <v>70220</v>
      </c>
      <c r="J346" s="74">
        <v>396</v>
      </c>
      <c r="K346" s="74">
        <v>1</v>
      </c>
      <c r="L346" s="74">
        <f t="shared" si="32"/>
        <v>6784</v>
      </c>
      <c r="M346" s="74">
        <f t="shared" si="33"/>
        <v>15</v>
      </c>
    </row>
    <row r="347" spans="1:13">
      <c r="A347" s="27">
        <v>46032</v>
      </c>
      <c r="B347" s="76" t="s">
        <v>33</v>
      </c>
      <c r="C347" s="76"/>
      <c r="D347" s="76"/>
      <c r="E347" s="77"/>
      <c r="F347" s="74">
        <v>0</v>
      </c>
      <c r="G347" s="74">
        <v>9</v>
      </c>
      <c r="H347" s="74">
        <v>9</v>
      </c>
      <c r="I347" s="4">
        <v>70229</v>
      </c>
      <c r="J347" s="74">
        <v>0</v>
      </c>
      <c r="K347" s="74">
        <v>0</v>
      </c>
      <c r="L347" s="74">
        <f t="shared" si="32"/>
        <v>6784</v>
      </c>
      <c r="M347" s="74">
        <f t="shared" si="33"/>
        <v>15</v>
      </c>
    </row>
    <row r="348" spans="1:13">
      <c r="A348" s="27">
        <v>46033</v>
      </c>
      <c r="B348" s="1" t="s">
        <v>147</v>
      </c>
      <c r="C348" s="1" t="s">
        <v>121</v>
      </c>
      <c r="D348" s="1" t="s">
        <v>42</v>
      </c>
      <c r="E348" s="1" t="s">
        <v>50</v>
      </c>
      <c r="F348" s="74">
        <v>30</v>
      </c>
      <c r="G348" s="28">
        <v>32</v>
      </c>
      <c r="H348" s="74">
        <v>62</v>
      </c>
      <c r="I348" s="4">
        <v>70291</v>
      </c>
      <c r="J348" s="74">
        <v>60</v>
      </c>
      <c r="K348" s="74">
        <v>1</v>
      </c>
      <c r="L348" s="74">
        <f t="shared" ref="L348:L352" si="34">J348+L347</f>
        <v>6844</v>
      </c>
      <c r="M348" s="74">
        <f t="shared" ref="M348:M352" si="35">K348+M347</f>
        <v>16</v>
      </c>
    </row>
    <row r="349" spans="1:13">
      <c r="A349" s="27">
        <v>46033</v>
      </c>
      <c r="B349" s="1" t="s">
        <v>148</v>
      </c>
      <c r="C349" s="1" t="s">
        <v>123</v>
      </c>
      <c r="D349" s="1" t="s">
        <v>42</v>
      </c>
      <c r="E349" s="1" t="s">
        <v>50</v>
      </c>
      <c r="F349" s="74">
        <v>44</v>
      </c>
      <c r="G349" s="28">
        <v>96</v>
      </c>
      <c r="H349" s="74">
        <v>140</v>
      </c>
      <c r="I349" s="4">
        <v>70431</v>
      </c>
      <c r="J349" s="74">
        <v>288</v>
      </c>
      <c r="K349" s="74">
        <v>1</v>
      </c>
      <c r="L349" s="74">
        <f t="shared" si="34"/>
        <v>7132</v>
      </c>
      <c r="M349" s="74">
        <f t="shared" si="35"/>
        <v>17</v>
      </c>
    </row>
    <row r="350" spans="1:13">
      <c r="A350" s="27">
        <v>46033</v>
      </c>
      <c r="B350" s="1" t="s">
        <v>149</v>
      </c>
      <c r="C350" s="1" t="s">
        <v>150</v>
      </c>
      <c r="D350" s="1" t="s">
        <v>42</v>
      </c>
      <c r="E350" s="1" t="s">
        <v>50</v>
      </c>
      <c r="F350" s="74">
        <v>37</v>
      </c>
      <c r="G350" s="28">
        <v>39</v>
      </c>
      <c r="H350" s="74">
        <v>76</v>
      </c>
      <c r="I350" s="4">
        <v>70507</v>
      </c>
      <c r="J350" s="74">
        <v>74</v>
      </c>
      <c r="K350" s="74">
        <v>1</v>
      </c>
      <c r="L350" s="74">
        <f t="shared" si="34"/>
        <v>7206</v>
      </c>
      <c r="M350" s="74">
        <f t="shared" si="35"/>
        <v>18</v>
      </c>
    </row>
    <row r="351" spans="1:13">
      <c r="A351" s="27">
        <v>46033</v>
      </c>
      <c r="B351" s="1" t="s">
        <v>151</v>
      </c>
      <c r="C351" s="1" t="s">
        <v>152</v>
      </c>
      <c r="D351" s="1" t="s">
        <v>42</v>
      </c>
      <c r="E351" s="1" t="s">
        <v>50</v>
      </c>
      <c r="F351" s="74">
        <v>37</v>
      </c>
      <c r="G351" s="28">
        <v>39</v>
      </c>
      <c r="H351" s="74">
        <v>76</v>
      </c>
      <c r="I351" s="4">
        <v>70583</v>
      </c>
      <c r="J351" s="74">
        <v>74</v>
      </c>
      <c r="K351" s="74">
        <v>1</v>
      </c>
      <c r="L351" s="74">
        <f t="shared" si="34"/>
        <v>7280</v>
      </c>
      <c r="M351" s="74">
        <f t="shared" si="35"/>
        <v>19</v>
      </c>
    </row>
    <row r="352" spans="1:13">
      <c r="A352" s="27">
        <v>46033</v>
      </c>
      <c r="B352" s="1" t="s">
        <v>135</v>
      </c>
      <c r="C352" s="1" t="s">
        <v>136</v>
      </c>
      <c r="D352" s="1" t="s">
        <v>42</v>
      </c>
      <c r="E352" s="1" t="s">
        <v>50</v>
      </c>
      <c r="F352" s="74">
        <v>124</v>
      </c>
      <c r="G352" s="28">
        <v>130</v>
      </c>
      <c r="H352" s="74">
        <v>254</v>
      </c>
      <c r="I352" s="4">
        <v>70837</v>
      </c>
      <c r="J352" s="74">
        <v>248</v>
      </c>
      <c r="K352" s="74">
        <v>1</v>
      </c>
      <c r="L352" s="74">
        <f t="shared" si="34"/>
        <v>7528</v>
      </c>
      <c r="M352" s="74">
        <f t="shared" si="35"/>
        <v>20</v>
      </c>
    </row>
    <row r="353" spans="1:13">
      <c r="A353" s="27">
        <v>46033</v>
      </c>
      <c r="B353" s="1" t="s">
        <v>90</v>
      </c>
      <c r="C353" s="1" t="s">
        <v>91</v>
      </c>
      <c r="D353" s="1" t="s">
        <v>42</v>
      </c>
      <c r="E353" s="1" t="s">
        <v>50</v>
      </c>
      <c r="F353" s="74">
        <v>124</v>
      </c>
      <c r="G353" s="28">
        <v>130</v>
      </c>
      <c r="H353" s="74">
        <v>254</v>
      </c>
      <c r="I353" s="4">
        <v>71091</v>
      </c>
      <c r="J353" s="74">
        <v>248</v>
      </c>
      <c r="K353" s="74">
        <v>1</v>
      </c>
      <c r="L353" s="74">
        <f t="shared" ref="L353:L355" si="36">J353+L352</f>
        <v>7776</v>
      </c>
      <c r="M353" s="74">
        <f t="shared" ref="M353:M355" si="37">K353+M352</f>
        <v>21</v>
      </c>
    </row>
    <row r="354" spans="1:13">
      <c r="A354" s="27">
        <v>46033</v>
      </c>
      <c r="B354" s="1" t="s">
        <v>95</v>
      </c>
      <c r="C354" s="1" t="s">
        <v>69</v>
      </c>
      <c r="D354" s="1" t="s">
        <v>42</v>
      </c>
      <c r="E354" s="1" t="s">
        <v>50</v>
      </c>
      <c r="F354" s="74">
        <v>269</v>
      </c>
      <c r="G354" s="28">
        <v>282</v>
      </c>
      <c r="H354" s="74">
        <v>551</v>
      </c>
      <c r="I354" s="4">
        <v>71642</v>
      </c>
      <c r="J354" s="74">
        <v>538</v>
      </c>
      <c r="K354" s="74">
        <v>1</v>
      </c>
      <c r="L354" s="74">
        <f t="shared" si="36"/>
        <v>8314</v>
      </c>
      <c r="M354" s="74">
        <f t="shared" si="37"/>
        <v>22</v>
      </c>
    </row>
    <row r="355" spans="1:13">
      <c r="A355" s="27">
        <v>46033</v>
      </c>
      <c r="B355" s="1" t="s">
        <v>153</v>
      </c>
      <c r="C355" s="1" t="s">
        <v>100</v>
      </c>
      <c r="D355" s="1" t="s">
        <v>42</v>
      </c>
      <c r="E355" s="1" t="s">
        <v>50</v>
      </c>
      <c r="F355" s="74">
        <v>492</v>
      </c>
      <c r="G355" s="28">
        <v>517</v>
      </c>
      <c r="H355" s="4">
        <v>1009</v>
      </c>
      <c r="I355" s="4">
        <v>72651</v>
      </c>
      <c r="J355" s="74">
        <v>984</v>
      </c>
      <c r="K355" s="74">
        <v>1</v>
      </c>
      <c r="L355" s="74">
        <f t="shared" si="36"/>
        <v>9298</v>
      </c>
      <c r="M355" s="74">
        <f t="shared" si="37"/>
        <v>23</v>
      </c>
    </row>
    <row r="356" spans="1:13">
      <c r="A356" s="27">
        <v>46033</v>
      </c>
      <c r="B356" s="76" t="s">
        <v>49</v>
      </c>
      <c r="C356" s="76"/>
      <c r="D356" s="76"/>
      <c r="E356" s="77"/>
      <c r="F356" s="74">
        <v>0</v>
      </c>
      <c r="G356" s="74">
        <v>2</v>
      </c>
      <c r="H356" s="74">
        <v>2</v>
      </c>
      <c r="I356" s="4">
        <v>72653</v>
      </c>
      <c r="J356" s="74">
        <v>0</v>
      </c>
      <c r="K356" s="74">
        <v>0</v>
      </c>
      <c r="L356" s="74">
        <f t="shared" ref="L356:L366" si="38">J356+L355</f>
        <v>9298</v>
      </c>
      <c r="M356" s="74">
        <f t="shared" ref="M356:M366" si="39">K356+M355</f>
        <v>23</v>
      </c>
    </row>
    <row r="357" spans="1:13">
      <c r="A357" s="27">
        <v>46033</v>
      </c>
      <c r="B357" s="76" t="s">
        <v>33</v>
      </c>
      <c r="C357" s="76"/>
      <c r="D357" s="76"/>
      <c r="E357" s="77"/>
      <c r="F357" s="74">
        <v>0</v>
      </c>
      <c r="G357" s="74">
        <v>79</v>
      </c>
      <c r="H357" s="74">
        <v>79</v>
      </c>
      <c r="I357" s="4">
        <v>72732</v>
      </c>
      <c r="J357" s="74">
        <v>0</v>
      </c>
      <c r="K357" s="74">
        <v>0</v>
      </c>
      <c r="L357" s="74">
        <f t="shared" si="38"/>
        <v>9298</v>
      </c>
      <c r="M357" s="74">
        <f t="shared" si="39"/>
        <v>23</v>
      </c>
    </row>
    <row r="358" spans="1:13">
      <c r="A358" s="27">
        <v>46034</v>
      </c>
      <c r="B358" s="76" t="s">
        <v>33</v>
      </c>
      <c r="C358" s="76"/>
      <c r="D358" s="76"/>
      <c r="E358" s="77"/>
      <c r="F358" s="74">
        <v>0</v>
      </c>
      <c r="G358" s="74">
        <v>61</v>
      </c>
      <c r="H358" s="74">
        <v>61</v>
      </c>
      <c r="I358" s="4">
        <v>72793</v>
      </c>
      <c r="J358" s="74">
        <v>0</v>
      </c>
      <c r="K358" s="74">
        <v>0</v>
      </c>
      <c r="L358" s="74">
        <f t="shared" si="38"/>
        <v>9298</v>
      </c>
      <c r="M358" s="74">
        <f t="shared" si="39"/>
        <v>23</v>
      </c>
    </row>
    <row r="359" spans="1:13">
      <c r="A359" s="27">
        <v>46035</v>
      </c>
      <c r="B359" s="76" t="s">
        <v>65</v>
      </c>
      <c r="C359" s="76"/>
      <c r="D359" s="76"/>
      <c r="E359" s="77"/>
      <c r="F359" s="4">
        <v>12624</v>
      </c>
      <c r="G359" s="74">
        <v>0</v>
      </c>
      <c r="H359" s="4">
        <v>12624</v>
      </c>
      <c r="I359" s="4">
        <v>85417</v>
      </c>
      <c r="J359" s="74">
        <v>0</v>
      </c>
      <c r="K359" s="74">
        <v>0</v>
      </c>
      <c r="L359" s="74">
        <f t="shared" si="38"/>
        <v>9298</v>
      </c>
      <c r="M359" s="74">
        <f t="shared" si="39"/>
        <v>23</v>
      </c>
    </row>
    <row r="360" spans="1:13">
      <c r="A360" s="27">
        <v>46035</v>
      </c>
      <c r="B360" s="76" t="s">
        <v>33</v>
      </c>
      <c r="C360" s="76"/>
      <c r="D360" s="76"/>
      <c r="E360" s="77"/>
      <c r="F360" s="74">
        <v>0</v>
      </c>
      <c r="G360" s="74">
        <v>8</v>
      </c>
      <c r="H360" s="74">
        <v>8</v>
      </c>
      <c r="I360" s="4">
        <v>85425</v>
      </c>
      <c r="J360" s="74">
        <v>0</v>
      </c>
      <c r="K360" s="74">
        <v>0</v>
      </c>
      <c r="L360" s="74">
        <f t="shared" si="38"/>
        <v>9298</v>
      </c>
      <c r="M360" s="74">
        <f t="shared" si="39"/>
        <v>23</v>
      </c>
    </row>
    <row r="361" spans="1:13">
      <c r="A361" s="27">
        <v>46036</v>
      </c>
      <c r="B361" s="76" t="s">
        <v>154</v>
      </c>
      <c r="C361" s="76"/>
      <c r="D361" s="76"/>
      <c r="E361" s="77"/>
      <c r="F361" s="74">
        <v>0</v>
      </c>
      <c r="G361" s="4">
        <v>6000</v>
      </c>
      <c r="H361" s="4">
        <v>6000</v>
      </c>
      <c r="I361" s="4">
        <v>91425</v>
      </c>
      <c r="J361" s="74">
        <v>0</v>
      </c>
      <c r="K361" s="74">
        <v>0</v>
      </c>
      <c r="L361" s="74">
        <f t="shared" si="38"/>
        <v>9298</v>
      </c>
      <c r="M361" s="74">
        <f t="shared" si="39"/>
        <v>23</v>
      </c>
    </row>
    <row r="362" spans="1:13">
      <c r="A362" s="27">
        <v>46036</v>
      </c>
      <c r="B362" s="76" t="s">
        <v>33</v>
      </c>
      <c r="C362" s="76"/>
      <c r="D362" s="76"/>
      <c r="E362" s="77"/>
      <c r="F362" s="74">
        <v>0</v>
      </c>
      <c r="G362" s="74">
        <v>13</v>
      </c>
      <c r="H362" s="74">
        <v>13</v>
      </c>
      <c r="I362" s="4">
        <v>91438</v>
      </c>
      <c r="J362" s="74">
        <v>0</v>
      </c>
      <c r="K362" s="74">
        <v>0</v>
      </c>
      <c r="L362" s="74">
        <f t="shared" si="38"/>
        <v>9298</v>
      </c>
      <c r="M362" s="74">
        <f t="shared" si="39"/>
        <v>23</v>
      </c>
    </row>
    <row r="363" spans="1:13">
      <c r="A363" s="27">
        <v>46037</v>
      </c>
      <c r="B363" s="1" t="s">
        <v>52</v>
      </c>
      <c r="C363" s="1" t="s">
        <v>53</v>
      </c>
      <c r="D363" s="1" t="s">
        <v>42</v>
      </c>
      <c r="E363" s="1" t="s">
        <v>43</v>
      </c>
      <c r="F363" s="74">
        <v>232</v>
      </c>
      <c r="G363" s="28">
        <v>294</v>
      </c>
      <c r="H363" s="74">
        <v>526</v>
      </c>
      <c r="I363" s="4">
        <v>91964</v>
      </c>
      <c r="J363" s="74">
        <v>864</v>
      </c>
      <c r="K363" s="74">
        <v>1</v>
      </c>
      <c r="L363" s="74">
        <f t="shared" si="38"/>
        <v>10162</v>
      </c>
      <c r="M363" s="74">
        <f t="shared" si="39"/>
        <v>24</v>
      </c>
    </row>
    <row r="364" spans="1:13">
      <c r="A364" s="27">
        <v>46037</v>
      </c>
      <c r="B364" s="76" t="s">
        <v>49</v>
      </c>
      <c r="C364" s="76"/>
      <c r="D364" s="76"/>
      <c r="E364" s="77"/>
      <c r="F364" s="74">
        <v>0</v>
      </c>
      <c r="G364" s="74">
        <v>2</v>
      </c>
      <c r="H364" s="74">
        <v>2</v>
      </c>
      <c r="I364" s="4">
        <v>91966</v>
      </c>
      <c r="J364" s="74">
        <v>0</v>
      </c>
      <c r="K364" s="74">
        <v>0</v>
      </c>
      <c r="L364" s="74">
        <f t="shared" si="38"/>
        <v>10162</v>
      </c>
      <c r="M364" s="74">
        <f t="shared" si="39"/>
        <v>24</v>
      </c>
    </row>
    <row r="365" spans="1:13">
      <c r="A365" s="27">
        <v>46037</v>
      </c>
      <c r="B365" s="76" t="s">
        <v>33</v>
      </c>
      <c r="C365" s="76"/>
      <c r="D365" s="76"/>
      <c r="E365" s="77"/>
      <c r="F365" s="74">
        <v>0</v>
      </c>
      <c r="G365" s="74">
        <v>8</v>
      </c>
      <c r="H365" s="74">
        <v>8</v>
      </c>
      <c r="I365" s="4">
        <v>91974</v>
      </c>
      <c r="J365" s="74">
        <v>0</v>
      </c>
      <c r="K365" s="74">
        <v>0</v>
      </c>
      <c r="L365" s="74">
        <f t="shared" si="38"/>
        <v>10162</v>
      </c>
      <c r="M365" s="74">
        <f t="shared" si="39"/>
        <v>24</v>
      </c>
    </row>
    <row r="366" spans="1:13">
      <c r="A366" s="27">
        <v>46038</v>
      </c>
      <c r="B366" s="1" t="s">
        <v>155</v>
      </c>
      <c r="C366" s="1" t="s">
        <v>55</v>
      </c>
      <c r="D366" s="1" t="s">
        <v>42</v>
      </c>
      <c r="E366" s="1" t="s">
        <v>43</v>
      </c>
      <c r="F366" s="74">
        <v>232</v>
      </c>
      <c r="G366" s="28">
        <v>294</v>
      </c>
      <c r="H366" s="74">
        <v>526</v>
      </c>
      <c r="I366" s="4">
        <v>92500</v>
      </c>
      <c r="J366" s="74">
        <v>864</v>
      </c>
      <c r="K366" s="74">
        <v>1</v>
      </c>
      <c r="L366" s="74">
        <f t="shared" si="38"/>
        <v>11026</v>
      </c>
      <c r="M366" s="74">
        <f t="shared" si="39"/>
        <v>25</v>
      </c>
    </row>
    <row r="367" spans="1:13">
      <c r="A367" s="27">
        <v>46038</v>
      </c>
      <c r="B367" s="76" t="s">
        <v>33</v>
      </c>
      <c r="C367" s="76"/>
      <c r="D367" s="76"/>
      <c r="E367" s="77"/>
      <c r="F367" s="74">
        <v>0</v>
      </c>
      <c r="G367" s="74">
        <v>6</v>
      </c>
      <c r="H367" s="74">
        <v>6</v>
      </c>
      <c r="I367" s="4">
        <v>92506</v>
      </c>
      <c r="J367" s="74">
        <v>0</v>
      </c>
      <c r="K367" s="74">
        <v>0</v>
      </c>
      <c r="L367" s="74">
        <f t="shared" ref="L367:L373" si="40">J367+L366</f>
        <v>11026</v>
      </c>
      <c r="M367" s="74">
        <f t="shared" ref="M367:M373" si="41">K367+M366</f>
        <v>25</v>
      </c>
    </row>
    <row r="368" spans="1:13">
      <c r="A368" s="27">
        <v>46039</v>
      </c>
      <c r="B368" s="76" t="s">
        <v>33</v>
      </c>
      <c r="C368" s="76"/>
      <c r="D368" s="76"/>
      <c r="E368" s="77"/>
      <c r="F368" s="74">
        <v>0</v>
      </c>
      <c r="G368" s="74">
        <v>7</v>
      </c>
      <c r="H368" s="74">
        <v>7</v>
      </c>
      <c r="I368" s="4">
        <v>92513</v>
      </c>
      <c r="J368" s="74">
        <v>0</v>
      </c>
      <c r="K368" s="74">
        <v>0</v>
      </c>
      <c r="L368" s="74">
        <f t="shared" si="40"/>
        <v>11026</v>
      </c>
      <c r="M368" s="74">
        <f t="shared" si="41"/>
        <v>25</v>
      </c>
    </row>
    <row r="369" spans="1:13">
      <c r="A369" s="27">
        <v>46040</v>
      </c>
      <c r="B369" s="76" t="s">
        <v>33</v>
      </c>
      <c r="C369" s="76"/>
      <c r="D369" s="76"/>
      <c r="E369" s="77"/>
      <c r="F369" s="74">
        <v>0</v>
      </c>
      <c r="G369" s="74">
        <v>19</v>
      </c>
      <c r="H369" s="74">
        <v>19</v>
      </c>
      <c r="I369" s="4">
        <v>92532</v>
      </c>
      <c r="J369" s="74">
        <v>0</v>
      </c>
      <c r="K369" s="74">
        <v>0</v>
      </c>
      <c r="L369" s="74">
        <f t="shared" si="40"/>
        <v>11026</v>
      </c>
      <c r="M369" s="74">
        <f t="shared" si="41"/>
        <v>25</v>
      </c>
    </row>
    <row r="370" spans="1:13">
      <c r="A370" s="27">
        <v>46041</v>
      </c>
      <c r="B370" s="76" t="s">
        <v>49</v>
      </c>
      <c r="C370" s="76"/>
      <c r="D370" s="76"/>
      <c r="E370" s="77"/>
      <c r="F370" s="74">
        <v>0</v>
      </c>
      <c r="G370" s="74">
        <v>2</v>
      </c>
      <c r="H370" s="74">
        <v>2</v>
      </c>
      <c r="I370" s="4">
        <v>92534</v>
      </c>
      <c r="J370" s="74">
        <v>0</v>
      </c>
      <c r="K370" s="74">
        <v>0</v>
      </c>
      <c r="L370" s="74">
        <f t="shared" si="40"/>
        <v>11026</v>
      </c>
      <c r="M370" s="74">
        <f t="shared" si="41"/>
        <v>25</v>
      </c>
    </row>
    <row r="371" spans="1:13">
      <c r="A371" s="27">
        <v>46041</v>
      </c>
      <c r="B371" s="76" t="s">
        <v>33</v>
      </c>
      <c r="C371" s="76"/>
      <c r="D371" s="76"/>
      <c r="E371" s="77"/>
      <c r="F371" s="74">
        <v>0</v>
      </c>
      <c r="G371" s="74">
        <v>16</v>
      </c>
      <c r="H371" s="74">
        <v>16</v>
      </c>
      <c r="I371" s="4">
        <v>92550</v>
      </c>
      <c r="J371" s="74">
        <v>0</v>
      </c>
      <c r="K371" s="74">
        <v>0</v>
      </c>
      <c r="L371" s="74">
        <f t="shared" si="40"/>
        <v>11026</v>
      </c>
      <c r="M371" s="74">
        <f t="shared" si="41"/>
        <v>25</v>
      </c>
    </row>
    <row r="372" spans="1:13">
      <c r="A372" s="27">
        <v>46042</v>
      </c>
      <c r="B372" s="1" t="s">
        <v>29</v>
      </c>
      <c r="C372" s="1" t="s">
        <v>24</v>
      </c>
      <c r="D372" s="1" t="s">
        <v>42</v>
      </c>
      <c r="E372" s="1" t="s">
        <v>43</v>
      </c>
      <c r="F372" s="74">
        <v>624</v>
      </c>
      <c r="G372" s="28">
        <v>705</v>
      </c>
      <c r="H372" s="4">
        <v>1329</v>
      </c>
      <c r="I372" s="4">
        <v>93879</v>
      </c>
      <c r="J372" s="4">
        <v>1648</v>
      </c>
      <c r="K372" s="74">
        <v>1</v>
      </c>
      <c r="L372" s="74">
        <f t="shared" si="40"/>
        <v>12674</v>
      </c>
      <c r="M372" s="74">
        <f t="shared" si="41"/>
        <v>26</v>
      </c>
    </row>
    <row r="373" spans="1:13">
      <c r="A373" s="27">
        <v>46042</v>
      </c>
      <c r="B373" s="1" t="s">
        <v>41</v>
      </c>
      <c r="C373" s="1" t="s">
        <v>13</v>
      </c>
      <c r="D373" s="1" t="s">
        <v>42</v>
      </c>
      <c r="E373" s="1" t="s">
        <v>43</v>
      </c>
      <c r="F373" s="74">
        <v>624</v>
      </c>
      <c r="G373" s="28">
        <v>705</v>
      </c>
      <c r="H373" s="4">
        <v>1329</v>
      </c>
      <c r="I373" s="4">
        <v>95208</v>
      </c>
      <c r="J373" s="4">
        <v>1648</v>
      </c>
      <c r="K373" s="74">
        <v>1</v>
      </c>
      <c r="L373" s="74">
        <f t="shared" si="40"/>
        <v>14322</v>
      </c>
      <c r="M373" s="74">
        <f t="shared" si="41"/>
        <v>27</v>
      </c>
    </row>
    <row r="374" spans="1:13">
      <c r="A374" s="27">
        <v>46042</v>
      </c>
      <c r="B374" s="76" t="s">
        <v>33</v>
      </c>
      <c r="C374" s="76"/>
      <c r="D374" s="76"/>
      <c r="E374" s="77"/>
      <c r="F374" s="74">
        <v>0</v>
      </c>
      <c r="G374" s="74">
        <v>6</v>
      </c>
      <c r="H374" s="74">
        <v>6</v>
      </c>
      <c r="I374" s="4">
        <v>95214</v>
      </c>
      <c r="J374" s="74">
        <v>0</v>
      </c>
      <c r="K374" s="74">
        <v>0</v>
      </c>
      <c r="L374" s="74">
        <f t="shared" ref="L374:L375" si="42">J374+L373</f>
        <v>14322</v>
      </c>
      <c r="M374" s="74">
        <f t="shared" ref="M374:M375" si="43">K374+M373</f>
        <v>27</v>
      </c>
    </row>
    <row r="375" spans="1:13">
      <c r="A375" s="27">
        <v>46043</v>
      </c>
      <c r="B375" s="76" t="s">
        <v>33</v>
      </c>
      <c r="C375" s="76"/>
      <c r="D375" s="76"/>
      <c r="E375" s="77"/>
      <c r="F375" s="74">
        <v>0</v>
      </c>
      <c r="G375" s="74">
        <v>9</v>
      </c>
      <c r="H375" s="74">
        <v>9</v>
      </c>
      <c r="I375" s="4">
        <v>95223</v>
      </c>
      <c r="J375" s="74">
        <v>0</v>
      </c>
      <c r="K375" s="74">
        <v>0</v>
      </c>
      <c r="L375" s="74">
        <f t="shared" si="42"/>
        <v>14322</v>
      </c>
      <c r="M375" s="74">
        <f t="shared" si="43"/>
        <v>27</v>
      </c>
    </row>
    <row r="376" spans="1:13">
      <c r="A376" s="27">
        <v>46044</v>
      </c>
      <c r="B376" s="76" t="s">
        <v>33</v>
      </c>
      <c r="C376" s="76"/>
      <c r="D376" s="76"/>
      <c r="E376" s="77"/>
      <c r="F376" s="74">
        <v>0</v>
      </c>
      <c r="G376" s="74">
        <v>8</v>
      </c>
      <c r="H376" s="74">
        <v>8</v>
      </c>
      <c r="I376" s="4">
        <v>95231</v>
      </c>
      <c r="J376" s="74">
        <v>0</v>
      </c>
      <c r="K376" s="74">
        <v>0</v>
      </c>
      <c r="L376" s="74">
        <f t="shared" ref="L376:L383" si="44">J376+L375</f>
        <v>14322</v>
      </c>
      <c r="M376" s="74">
        <f t="shared" ref="M376:M383" si="45">K376+M375</f>
        <v>27</v>
      </c>
    </row>
    <row r="377" spans="1:13">
      <c r="A377" s="27">
        <v>46045</v>
      </c>
      <c r="B377" s="76" t="s">
        <v>49</v>
      </c>
      <c r="C377" s="76"/>
      <c r="D377" s="76"/>
      <c r="E377" s="77"/>
      <c r="F377" s="74">
        <v>0</v>
      </c>
      <c r="G377" s="74">
        <v>3</v>
      </c>
      <c r="H377" s="74">
        <v>3</v>
      </c>
      <c r="I377" s="4">
        <v>95234</v>
      </c>
      <c r="J377" s="74">
        <v>0</v>
      </c>
      <c r="K377" s="74">
        <v>0</v>
      </c>
      <c r="L377" s="74">
        <f t="shared" si="44"/>
        <v>14322</v>
      </c>
      <c r="M377" s="74">
        <f t="shared" si="45"/>
        <v>27</v>
      </c>
    </row>
    <row r="378" spans="1:13">
      <c r="A378" s="27">
        <v>46045</v>
      </c>
      <c r="B378" s="76" t="s">
        <v>154</v>
      </c>
      <c r="C378" s="76"/>
      <c r="D378" s="76"/>
      <c r="E378" s="77"/>
      <c r="F378" s="74">
        <v>0</v>
      </c>
      <c r="G378" s="4">
        <v>5500</v>
      </c>
      <c r="H378" s="4">
        <v>5500</v>
      </c>
      <c r="I378" s="4">
        <v>100734</v>
      </c>
      <c r="J378" s="74">
        <v>0</v>
      </c>
      <c r="K378" s="74">
        <v>0</v>
      </c>
      <c r="L378" s="74">
        <f t="shared" si="44"/>
        <v>14322</v>
      </c>
      <c r="M378" s="74">
        <f t="shared" si="45"/>
        <v>27</v>
      </c>
    </row>
    <row r="379" spans="1:13">
      <c r="A379" s="27">
        <v>46045</v>
      </c>
      <c r="B379" s="76" t="s">
        <v>33</v>
      </c>
      <c r="C379" s="76"/>
      <c r="D379" s="76"/>
      <c r="E379" s="77"/>
      <c r="F379" s="74">
        <v>0</v>
      </c>
      <c r="G379" s="74">
        <v>13</v>
      </c>
      <c r="H379" s="74">
        <v>13</v>
      </c>
      <c r="I379" s="4">
        <v>100747</v>
      </c>
      <c r="J379" s="74">
        <v>0</v>
      </c>
      <c r="K379" s="74">
        <v>0</v>
      </c>
      <c r="L379" s="74">
        <f t="shared" si="44"/>
        <v>14322</v>
      </c>
      <c r="M379" s="74">
        <f t="shared" si="45"/>
        <v>27</v>
      </c>
    </row>
    <row r="380" spans="1:13">
      <c r="A380" s="27">
        <v>46046</v>
      </c>
      <c r="B380" s="1" t="s">
        <v>156</v>
      </c>
      <c r="C380" s="1" t="s">
        <v>157</v>
      </c>
      <c r="D380" s="1" t="s">
        <v>42</v>
      </c>
      <c r="E380" s="1" t="s">
        <v>50</v>
      </c>
      <c r="F380" s="74">
        <v>113</v>
      </c>
      <c r="G380" s="28">
        <v>119</v>
      </c>
      <c r="H380" s="74">
        <v>232</v>
      </c>
      <c r="I380" s="4">
        <v>100979</v>
      </c>
      <c r="J380" s="74">
        <v>226</v>
      </c>
      <c r="K380" s="74">
        <v>1</v>
      </c>
      <c r="L380" s="74">
        <f t="shared" si="44"/>
        <v>14548</v>
      </c>
      <c r="M380" s="74">
        <f t="shared" si="45"/>
        <v>28</v>
      </c>
    </row>
    <row r="381" spans="1:13">
      <c r="A381" s="27">
        <v>46046</v>
      </c>
      <c r="B381" s="1" t="s">
        <v>158</v>
      </c>
      <c r="C381" s="1" t="s">
        <v>159</v>
      </c>
      <c r="D381" s="1" t="s">
        <v>42</v>
      </c>
      <c r="E381" s="1" t="s">
        <v>50</v>
      </c>
      <c r="F381" s="74">
        <v>113</v>
      </c>
      <c r="G381" s="28">
        <v>119</v>
      </c>
      <c r="H381" s="74">
        <v>232</v>
      </c>
      <c r="I381" s="4">
        <v>101211</v>
      </c>
      <c r="J381" s="74">
        <v>226</v>
      </c>
      <c r="K381" s="74">
        <v>1</v>
      </c>
      <c r="L381" s="74">
        <f t="shared" si="44"/>
        <v>14774</v>
      </c>
      <c r="M381" s="74">
        <f t="shared" si="45"/>
        <v>29</v>
      </c>
    </row>
    <row r="382" spans="1:13">
      <c r="A382" s="27">
        <v>46046</v>
      </c>
      <c r="B382" s="1" t="s">
        <v>160</v>
      </c>
      <c r="C382" s="1" t="s">
        <v>93</v>
      </c>
      <c r="D382" s="1" t="s">
        <v>42</v>
      </c>
      <c r="E382" s="1" t="s">
        <v>50</v>
      </c>
      <c r="F382" s="74">
        <v>89</v>
      </c>
      <c r="G382" s="28">
        <v>93</v>
      </c>
      <c r="H382" s="74">
        <v>182</v>
      </c>
      <c r="I382" s="4">
        <v>101393</v>
      </c>
      <c r="J382" s="74">
        <v>178</v>
      </c>
      <c r="K382" s="74">
        <v>1</v>
      </c>
      <c r="L382" s="74">
        <f t="shared" si="44"/>
        <v>14952</v>
      </c>
      <c r="M382" s="74">
        <f t="shared" si="45"/>
        <v>30</v>
      </c>
    </row>
    <row r="383" spans="1:13">
      <c r="A383" s="27">
        <v>46046</v>
      </c>
      <c r="B383" s="1" t="s">
        <v>161</v>
      </c>
      <c r="C383" s="1" t="s">
        <v>138</v>
      </c>
      <c r="D383" s="1" t="s">
        <v>42</v>
      </c>
      <c r="E383" s="1" t="s">
        <v>50</v>
      </c>
      <c r="F383" s="74">
        <v>89</v>
      </c>
      <c r="G383" s="28">
        <v>93</v>
      </c>
      <c r="H383" s="74">
        <v>182</v>
      </c>
      <c r="I383" s="4">
        <v>101575</v>
      </c>
      <c r="J383" s="74">
        <v>178</v>
      </c>
      <c r="K383" s="74">
        <v>1</v>
      </c>
      <c r="L383" s="74">
        <f t="shared" si="44"/>
        <v>15130</v>
      </c>
      <c r="M383" s="74">
        <f t="shared" si="45"/>
        <v>31</v>
      </c>
    </row>
    <row r="384" spans="1:13">
      <c r="A384" s="27">
        <v>46046</v>
      </c>
      <c r="B384" s="1" t="s">
        <v>162</v>
      </c>
      <c r="C384" s="1" t="s">
        <v>100</v>
      </c>
      <c r="D384" s="1" t="s">
        <v>42</v>
      </c>
      <c r="E384" s="1" t="s">
        <v>50</v>
      </c>
      <c r="F384" s="74">
        <v>492</v>
      </c>
      <c r="G384" s="28">
        <v>517</v>
      </c>
      <c r="H384" s="4">
        <v>1009</v>
      </c>
      <c r="I384" s="4">
        <v>102584</v>
      </c>
      <c r="J384" s="74">
        <v>984</v>
      </c>
      <c r="K384" s="74">
        <v>1</v>
      </c>
      <c r="L384" s="74">
        <f t="shared" ref="L384:L398" si="46">J384+L383</f>
        <v>16114</v>
      </c>
      <c r="M384" s="74">
        <f t="shared" ref="M384:M398" si="47">K384+M383</f>
        <v>32</v>
      </c>
    </row>
    <row r="385" spans="1:13">
      <c r="A385" s="27">
        <v>46046</v>
      </c>
      <c r="B385" s="1" t="s">
        <v>125</v>
      </c>
      <c r="C385" s="1" t="s">
        <v>11</v>
      </c>
      <c r="D385" s="1" t="s">
        <v>42</v>
      </c>
      <c r="E385" s="1" t="s">
        <v>50</v>
      </c>
      <c r="F385" s="74">
        <v>492</v>
      </c>
      <c r="G385" s="28">
        <v>517</v>
      </c>
      <c r="H385" s="4">
        <v>1009</v>
      </c>
      <c r="I385" s="4">
        <v>103593</v>
      </c>
      <c r="J385" s="74">
        <v>984</v>
      </c>
      <c r="K385" s="74">
        <v>1</v>
      </c>
      <c r="L385" s="74">
        <f t="shared" si="46"/>
        <v>17098</v>
      </c>
      <c r="M385" s="74">
        <f t="shared" si="47"/>
        <v>33</v>
      </c>
    </row>
    <row r="386" spans="1:13">
      <c r="A386" s="27">
        <v>46046</v>
      </c>
      <c r="B386" s="76" t="s">
        <v>33</v>
      </c>
      <c r="C386" s="76"/>
      <c r="D386" s="76"/>
      <c r="E386" s="77"/>
      <c r="F386" s="74">
        <v>0</v>
      </c>
      <c r="G386" s="74">
        <v>27</v>
      </c>
      <c r="H386" s="74">
        <v>27</v>
      </c>
      <c r="I386" s="4">
        <v>103620</v>
      </c>
      <c r="J386" s="74">
        <v>0</v>
      </c>
      <c r="K386" s="74">
        <v>0</v>
      </c>
      <c r="L386" s="74">
        <f t="shared" si="46"/>
        <v>17098</v>
      </c>
      <c r="M386" s="74">
        <f t="shared" si="47"/>
        <v>33</v>
      </c>
    </row>
    <row r="387" spans="1:13">
      <c r="A387" s="27">
        <v>46047</v>
      </c>
      <c r="B387" s="76" t="s">
        <v>129</v>
      </c>
      <c r="C387" s="76"/>
      <c r="D387" s="76"/>
      <c r="E387" s="77"/>
      <c r="F387" s="74">
        <v>0</v>
      </c>
      <c r="G387" s="74">
        <v>118</v>
      </c>
      <c r="H387" s="74">
        <v>118</v>
      </c>
      <c r="I387" s="4">
        <v>103738</v>
      </c>
      <c r="J387" s="74">
        <v>0</v>
      </c>
      <c r="K387" s="74">
        <v>0</v>
      </c>
      <c r="L387" s="74">
        <f t="shared" si="46"/>
        <v>17098</v>
      </c>
      <c r="M387" s="74">
        <f t="shared" si="47"/>
        <v>33</v>
      </c>
    </row>
    <row r="388" spans="1:13">
      <c r="A388" s="27">
        <v>46047</v>
      </c>
      <c r="B388" s="76" t="s">
        <v>33</v>
      </c>
      <c r="C388" s="76"/>
      <c r="D388" s="76"/>
      <c r="E388" s="77"/>
      <c r="F388" s="74">
        <v>0</v>
      </c>
      <c r="G388" s="74">
        <v>71</v>
      </c>
      <c r="H388" s="74">
        <v>71</v>
      </c>
      <c r="I388" s="4">
        <v>103809</v>
      </c>
      <c r="J388" s="74">
        <v>0</v>
      </c>
      <c r="K388" s="74">
        <v>0</v>
      </c>
      <c r="L388" s="74">
        <f t="shared" si="46"/>
        <v>17098</v>
      </c>
      <c r="M388" s="74">
        <f t="shared" si="47"/>
        <v>33</v>
      </c>
    </row>
    <row r="389" spans="1:13">
      <c r="A389" s="27">
        <v>46048</v>
      </c>
      <c r="B389" s="76" t="s">
        <v>163</v>
      </c>
      <c r="C389" s="76"/>
      <c r="D389" s="76"/>
      <c r="E389" s="77"/>
      <c r="F389" s="74">
        <v>0</v>
      </c>
      <c r="G389" s="74">
        <v>10</v>
      </c>
      <c r="H389" s="74">
        <v>10</v>
      </c>
      <c r="I389" s="4">
        <v>103819</v>
      </c>
      <c r="J389" s="74">
        <v>0</v>
      </c>
      <c r="K389" s="74">
        <v>0</v>
      </c>
      <c r="L389" s="74">
        <f t="shared" si="46"/>
        <v>17098</v>
      </c>
      <c r="M389" s="74">
        <f t="shared" si="47"/>
        <v>33</v>
      </c>
    </row>
    <row r="390" spans="1:13">
      <c r="A390" s="27">
        <v>46048</v>
      </c>
      <c r="B390" s="76" t="s">
        <v>33</v>
      </c>
      <c r="C390" s="76"/>
      <c r="D390" s="76"/>
      <c r="E390" s="77"/>
      <c r="F390" s="74">
        <v>0</v>
      </c>
      <c r="G390" s="74">
        <v>17</v>
      </c>
      <c r="H390" s="74">
        <v>17</v>
      </c>
      <c r="I390" s="4">
        <v>103836</v>
      </c>
      <c r="J390" s="74">
        <v>0</v>
      </c>
      <c r="K390" s="74">
        <v>0</v>
      </c>
      <c r="L390" s="74">
        <f t="shared" si="46"/>
        <v>17098</v>
      </c>
      <c r="M390" s="74">
        <f t="shared" si="47"/>
        <v>33</v>
      </c>
    </row>
    <row r="391" spans="1:13">
      <c r="A391" s="27">
        <v>46049</v>
      </c>
      <c r="B391" s="1" t="s">
        <v>164</v>
      </c>
      <c r="C391" s="1" t="s">
        <v>11</v>
      </c>
      <c r="D391" s="1" t="s">
        <v>42</v>
      </c>
      <c r="E391" s="1" t="s">
        <v>43</v>
      </c>
      <c r="F391" s="4">
        <v>1082</v>
      </c>
      <c r="G391" s="70">
        <v>1186</v>
      </c>
      <c r="H391" s="4">
        <v>2268</v>
      </c>
      <c r="I391" s="4">
        <v>106104</v>
      </c>
      <c r="J391" s="4">
        <v>2564</v>
      </c>
      <c r="K391" s="74">
        <v>1</v>
      </c>
      <c r="L391" s="74">
        <f t="shared" si="46"/>
        <v>19662</v>
      </c>
      <c r="M391" s="74">
        <f t="shared" si="47"/>
        <v>34</v>
      </c>
    </row>
    <row r="392" spans="1:13">
      <c r="A392" s="27">
        <v>46049</v>
      </c>
      <c r="B392" s="76" t="s">
        <v>49</v>
      </c>
      <c r="C392" s="76"/>
      <c r="D392" s="76"/>
      <c r="E392" s="77"/>
      <c r="F392" s="74">
        <v>0</v>
      </c>
      <c r="G392" s="74">
        <v>2</v>
      </c>
      <c r="H392" s="74">
        <v>2</v>
      </c>
      <c r="I392" s="4">
        <v>106106</v>
      </c>
      <c r="J392" s="74">
        <v>0</v>
      </c>
      <c r="K392" s="74">
        <v>0</v>
      </c>
      <c r="L392" s="74">
        <f t="shared" si="46"/>
        <v>19662</v>
      </c>
      <c r="M392" s="74">
        <f t="shared" si="47"/>
        <v>34</v>
      </c>
    </row>
    <row r="393" spans="1:13">
      <c r="A393" s="27">
        <v>46049</v>
      </c>
      <c r="B393" s="76" t="s">
        <v>33</v>
      </c>
      <c r="C393" s="76"/>
      <c r="D393" s="76"/>
      <c r="E393" s="77"/>
      <c r="F393" s="74">
        <v>0</v>
      </c>
      <c r="G393" s="74">
        <v>2</v>
      </c>
      <c r="H393" s="74">
        <v>2</v>
      </c>
      <c r="I393" s="4">
        <v>106108</v>
      </c>
      <c r="J393" s="74">
        <v>0</v>
      </c>
      <c r="K393" s="74">
        <v>0</v>
      </c>
      <c r="L393" s="74">
        <f t="shared" si="46"/>
        <v>19662</v>
      </c>
      <c r="M393" s="74">
        <f t="shared" si="47"/>
        <v>34</v>
      </c>
    </row>
    <row r="394" spans="1:13">
      <c r="A394" s="27">
        <v>46050</v>
      </c>
      <c r="B394" s="1" t="s">
        <v>165</v>
      </c>
      <c r="C394" s="1" t="s">
        <v>100</v>
      </c>
      <c r="D394" s="1" t="s">
        <v>42</v>
      </c>
      <c r="E394" s="1" t="s">
        <v>43</v>
      </c>
      <c r="F394" s="4">
        <v>1082</v>
      </c>
      <c r="G394" s="70">
        <v>1186</v>
      </c>
      <c r="H394" s="4">
        <v>2268</v>
      </c>
      <c r="I394" s="4">
        <v>108376</v>
      </c>
      <c r="J394" s="4">
        <v>2564</v>
      </c>
      <c r="K394" s="74">
        <v>1</v>
      </c>
      <c r="L394" s="74">
        <f t="shared" si="46"/>
        <v>22226</v>
      </c>
      <c r="M394" s="74">
        <f t="shared" si="47"/>
        <v>35</v>
      </c>
    </row>
    <row r="395" spans="1:13">
      <c r="A395" s="27">
        <v>46050</v>
      </c>
      <c r="B395" s="76" t="s">
        <v>33</v>
      </c>
      <c r="C395" s="76"/>
      <c r="D395" s="76"/>
      <c r="E395" s="77"/>
      <c r="F395" s="74">
        <v>0</v>
      </c>
      <c r="G395" s="74">
        <v>8</v>
      </c>
      <c r="H395" s="74">
        <v>8</v>
      </c>
      <c r="I395" s="4">
        <v>108384</v>
      </c>
      <c r="J395" s="74">
        <v>0</v>
      </c>
      <c r="K395" s="74">
        <v>0</v>
      </c>
      <c r="L395" s="74">
        <f t="shared" si="46"/>
        <v>22226</v>
      </c>
      <c r="M395" s="74">
        <f t="shared" si="47"/>
        <v>35</v>
      </c>
    </row>
    <row r="396" spans="1:13">
      <c r="A396" s="27">
        <v>46051</v>
      </c>
      <c r="B396" s="76" t="s">
        <v>33</v>
      </c>
      <c r="C396" s="76"/>
      <c r="D396" s="76"/>
      <c r="E396" s="77"/>
      <c r="F396" s="74">
        <v>0</v>
      </c>
      <c r="G396" s="74">
        <v>8</v>
      </c>
      <c r="H396" s="74">
        <v>8</v>
      </c>
      <c r="I396" s="4">
        <v>108392</v>
      </c>
      <c r="J396" s="74">
        <v>0</v>
      </c>
      <c r="K396" s="74">
        <v>0</v>
      </c>
      <c r="L396" s="74">
        <f t="shared" si="46"/>
        <v>22226</v>
      </c>
      <c r="M396" s="74">
        <f t="shared" si="47"/>
        <v>35</v>
      </c>
    </row>
    <row r="397" spans="1:13">
      <c r="A397" s="27">
        <v>46052</v>
      </c>
      <c r="B397" s="1" t="s">
        <v>125</v>
      </c>
      <c r="C397" s="1" t="s">
        <v>11</v>
      </c>
      <c r="D397" s="1" t="s">
        <v>42</v>
      </c>
      <c r="E397" s="1" t="s">
        <v>50</v>
      </c>
      <c r="F397" s="74">
        <v>738</v>
      </c>
      <c r="G397" s="28">
        <v>825</v>
      </c>
      <c r="H397" s="4">
        <v>1563</v>
      </c>
      <c r="I397" s="4">
        <v>109955</v>
      </c>
      <c r="J397" s="4">
        <v>1676</v>
      </c>
      <c r="K397" s="74">
        <v>1</v>
      </c>
      <c r="L397" s="74">
        <f t="shared" si="46"/>
        <v>23902</v>
      </c>
      <c r="M397" s="74">
        <f t="shared" si="47"/>
        <v>36</v>
      </c>
    </row>
    <row r="398" spans="1:13">
      <c r="A398" s="27">
        <v>46052</v>
      </c>
      <c r="B398" s="76" t="s">
        <v>49</v>
      </c>
      <c r="C398" s="76"/>
      <c r="D398" s="76"/>
      <c r="E398" s="77"/>
      <c r="F398" s="74">
        <v>0</v>
      </c>
      <c r="G398" s="74">
        <v>3</v>
      </c>
      <c r="H398" s="74">
        <v>3</v>
      </c>
      <c r="I398" s="4">
        <v>109958</v>
      </c>
      <c r="J398" s="74">
        <v>0</v>
      </c>
      <c r="K398" s="74">
        <v>0</v>
      </c>
      <c r="L398" s="74">
        <f t="shared" si="46"/>
        <v>23902</v>
      </c>
      <c r="M398" s="74">
        <f t="shared" si="47"/>
        <v>36</v>
      </c>
    </row>
    <row r="399" spans="1:13">
      <c r="A399" s="27">
        <v>46052</v>
      </c>
      <c r="B399" s="76" t="s">
        <v>33</v>
      </c>
      <c r="C399" s="76"/>
      <c r="D399" s="76"/>
      <c r="E399" s="77"/>
      <c r="F399" s="74">
        <v>0</v>
      </c>
      <c r="G399" s="74">
        <v>9</v>
      </c>
      <c r="H399" s="74">
        <v>9</v>
      </c>
      <c r="I399" s="4">
        <v>109967</v>
      </c>
      <c r="J399" s="74">
        <v>0</v>
      </c>
      <c r="K399" s="74">
        <v>0</v>
      </c>
      <c r="L399" s="74">
        <f t="shared" ref="L399:L426" si="48">J399+L398</f>
        <v>23902</v>
      </c>
      <c r="M399" s="74">
        <f t="shared" ref="M399:M426" si="49">K399+M398</f>
        <v>36</v>
      </c>
    </row>
    <row r="400" spans="1:13">
      <c r="A400" s="27">
        <v>46053</v>
      </c>
      <c r="B400" s="76" t="s">
        <v>166</v>
      </c>
      <c r="C400" s="76"/>
      <c r="D400" s="76"/>
      <c r="E400" s="77"/>
      <c r="F400" s="74">
        <v>0</v>
      </c>
      <c r="G400" s="74">
        <v>0</v>
      </c>
      <c r="H400" s="74">
        <v>0</v>
      </c>
      <c r="I400" s="4">
        <v>109967</v>
      </c>
      <c r="J400" s="4">
        <v>5000</v>
      </c>
      <c r="K400" s="74">
        <v>0</v>
      </c>
      <c r="L400" s="74">
        <f t="shared" si="48"/>
        <v>28902</v>
      </c>
      <c r="M400" s="74">
        <f t="shared" si="49"/>
        <v>36</v>
      </c>
    </row>
    <row r="401" spans="1:13">
      <c r="A401" s="27">
        <v>46053</v>
      </c>
      <c r="B401" s="76" t="s">
        <v>167</v>
      </c>
      <c r="C401" s="76"/>
      <c r="D401" s="76"/>
      <c r="E401" s="77"/>
      <c r="F401" s="74">
        <v>0</v>
      </c>
      <c r="G401" s="74">
        <v>98</v>
      </c>
      <c r="H401" s="74">
        <v>98</v>
      </c>
      <c r="I401" s="4">
        <v>110065</v>
      </c>
      <c r="J401" s="74">
        <v>0</v>
      </c>
      <c r="K401" s="74">
        <v>0</v>
      </c>
      <c r="L401" s="74">
        <f t="shared" si="48"/>
        <v>28902</v>
      </c>
      <c r="M401" s="74">
        <f t="shared" si="49"/>
        <v>36</v>
      </c>
    </row>
    <row r="402" spans="1:13">
      <c r="A402" s="27">
        <v>46053</v>
      </c>
      <c r="B402" s="76" t="s">
        <v>168</v>
      </c>
      <c r="C402" s="76"/>
      <c r="D402" s="76"/>
      <c r="E402" s="77"/>
      <c r="F402" s="74">
        <v>0</v>
      </c>
      <c r="G402" s="74">
        <v>5</v>
      </c>
      <c r="H402" s="74">
        <v>5</v>
      </c>
      <c r="I402" s="4">
        <v>110070</v>
      </c>
      <c r="J402" s="74">
        <v>0</v>
      </c>
      <c r="K402" s="74">
        <v>0</v>
      </c>
      <c r="L402" s="74">
        <f t="shared" si="48"/>
        <v>28902</v>
      </c>
      <c r="M402" s="74">
        <f t="shared" si="49"/>
        <v>36</v>
      </c>
    </row>
    <row r="403" spans="1:13">
      <c r="A403" s="27">
        <v>46053</v>
      </c>
      <c r="B403" s="76" t="s">
        <v>169</v>
      </c>
      <c r="C403" s="76"/>
      <c r="D403" s="76"/>
      <c r="E403" s="77"/>
      <c r="F403" s="74">
        <v>0</v>
      </c>
      <c r="G403" s="74">
        <v>27</v>
      </c>
      <c r="H403" s="74">
        <v>27</v>
      </c>
      <c r="I403" s="4">
        <v>110097</v>
      </c>
      <c r="J403" s="74">
        <v>0</v>
      </c>
      <c r="K403" s="74">
        <v>0</v>
      </c>
      <c r="L403" s="74">
        <f t="shared" si="48"/>
        <v>28902</v>
      </c>
      <c r="M403" s="74">
        <f t="shared" si="49"/>
        <v>36</v>
      </c>
    </row>
    <row r="404" spans="1:13">
      <c r="A404" s="27">
        <v>46053</v>
      </c>
      <c r="B404" s="76" t="s">
        <v>33</v>
      </c>
      <c r="C404" s="76"/>
      <c r="D404" s="76"/>
      <c r="E404" s="77"/>
      <c r="F404" s="74">
        <v>0</v>
      </c>
      <c r="G404" s="74">
        <v>11</v>
      </c>
      <c r="H404" s="74">
        <v>11</v>
      </c>
      <c r="I404" s="4">
        <v>110108</v>
      </c>
      <c r="J404" s="74">
        <v>0</v>
      </c>
      <c r="K404" s="74">
        <v>0</v>
      </c>
      <c r="L404" s="74">
        <f t="shared" si="48"/>
        <v>28902</v>
      </c>
      <c r="M404" s="74">
        <f t="shared" si="49"/>
        <v>36</v>
      </c>
    </row>
    <row r="405" spans="1:13">
      <c r="A405" s="27">
        <v>46054</v>
      </c>
      <c r="B405" s="1" t="s">
        <v>170</v>
      </c>
      <c r="C405" s="1" t="s">
        <v>100</v>
      </c>
      <c r="D405" s="1" t="s">
        <v>42</v>
      </c>
      <c r="E405" s="1" t="s">
        <v>50</v>
      </c>
      <c r="F405" s="74">
        <v>738</v>
      </c>
      <c r="G405" s="28">
        <v>825</v>
      </c>
      <c r="H405" s="4">
        <v>1563</v>
      </c>
      <c r="I405" s="4">
        <v>111671</v>
      </c>
      <c r="J405" s="4">
        <v>1676</v>
      </c>
      <c r="K405" s="74">
        <v>1</v>
      </c>
      <c r="L405" s="74">
        <f t="shared" si="48"/>
        <v>30578</v>
      </c>
      <c r="M405" s="74">
        <f t="shared" si="49"/>
        <v>37</v>
      </c>
    </row>
    <row r="406" spans="1:13" ht="22.5" customHeight="1">
      <c r="A406" s="27">
        <v>46054</v>
      </c>
      <c r="B406" s="76" t="s">
        <v>33</v>
      </c>
      <c r="C406" s="76"/>
      <c r="D406" s="76"/>
      <c r="E406" s="77"/>
      <c r="F406" s="74">
        <v>0</v>
      </c>
      <c r="G406" s="74">
        <v>40</v>
      </c>
      <c r="H406" s="74">
        <v>40</v>
      </c>
      <c r="I406" s="4">
        <v>111711</v>
      </c>
      <c r="J406" s="74">
        <v>0</v>
      </c>
      <c r="K406" s="74">
        <v>0</v>
      </c>
      <c r="L406" s="74">
        <f t="shared" si="48"/>
        <v>30578</v>
      </c>
      <c r="M406" s="74">
        <f t="shared" si="49"/>
        <v>37</v>
      </c>
    </row>
    <row r="407" spans="1:13">
      <c r="A407" s="27">
        <v>46055</v>
      </c>
      <c r="B407" s="1" t="s">
        <v>171</v>
      </c>
      <c r="C407" s="1" t="s">
        <v>11</v>
      </c>
      <c r="D407" s="1" t="s">
        <v>42</v>
      </c>
      <c r="E407" s="1" t="s">
        <v>50</v>
      </c>
      <c r="F407" s="74">
        <v>738</v>
      </c>
      <c r="G407" s="28">
        <v>825</v>
      </c>
      <c r="H407" s="4">
        <v>1563</v>
      </c>
      <c r="I407" s="4">
        <v>113274</v>
      </c>
      <c r="J407" s="4">
        <v>1676</v>
      </c>
      <c r="K407" s="74">
        <v>1</v>
      </c>
      <c r="L407" s="74">
        <f t="shared" si="48"/>
        <v>32254</v>
      </c>
      <c r="M407" s="74">
        <f t="shared" si="49"/>
        <v>38</v>
      </c>
    </row>
    <row r="408" spans="1:13">
      <c r="A408" s="27">
        <v>46055</v>
      </c>
      <c r="B408" s="76" t="s">
        <v>33</v>
      </c>
      <c r="C408" s="76"/>
      <c r="D408" s="76"/>
      <c r="E408" s="77"/>
      <c r="F408" s="74">
        <v>0</v>
      </c>
      <c r="G408" s="74">
        <v>5</v>
      </c>
      <c r="H408" s="74">
        <v>5</v>
      </c>
      <c r="I408" s="4">
        <v>113279</v>
      </c>
      <c r="J408" s="74">
        <v>0</v>
      </c>
      <c r="K408" s="74">
        <v>0</v>
      </c>
      <c r="L408" s="74">
        <f t="shared" si="48"/>
        <v>32254</v>
      </c>
      <c r="M408" s="74">
        <f t="shared" si="49"/>
        <v>38</v>
      </c>
    </row>
    <row r="409" spans="1:13">
      <c r="A409" s="27">
        <v>46056</v>
      </c>
      <c r="B409" s="76" t="s">
        <v>49</v>
      </c>
      <c r="C409" s="76"/>
      <c r="D409" s="76"/>
      <c r="E409" s="77"/>
      <c r="F409" s="74">
        <v>0</v>
      </c>
      <c r="G409" s="74">
        <v>2</v>
      </c>
      <c r="H409" s="74">
        <v>2</v>
      </c>
      <c r="I409" s="4">
        <v>113281</v>
      </c>
      <c r="J409" s="74">
        <v>0</v>
      </c>
      <c r="K409" s="74">
        <v>0</v>
      </c>
      <c r="L409" s="74">
        <f t="shared" si="48"/>
        <v>32254</v>
      </c>
      <c r="M409" s="74">
        <f t="shared" si="49"/>
        <v>38</v>
      </c>
    </row>
    <row r="410" spans="1:13">
      <c r="A410" s="27">
        <v>46056</v>
      </c>
      <c r="B410" s="76" t="s">
        <v>33</v>
      </c>
      <c r="C410" s="76"/>
      <c r="D410" s="76"/>
      <c r="E410" s="77"/>
      <c r="F410" s="74">
        <v>0</v>
      </c>
      <c r="G410" s="74">
        <v>2</v>
      </c>
      <c r="H410" s="74">
        <v>2</v>
      </c>
      <c r="I410" s="4">
        <v>113283</v>
      </c>
      <c r="J410" s="74">
        <v>0</v>
      </c>
      <c r="K410" s="74">
        <v>0</v>
      </c>
      <c r="L410" s="74">
        <f t="shared" si="48"/>
        <v>32254</v>
      </c>
      <c r="M410" s="74">
        <f t="shared" si="49"/>
        <v>38</v>
      </c>
    </row>
    <row r="411" spans="1:13">
      <c r="A411" s="27">
        <v>46057</v>
      </c>
      <c r="B411" s="1" t="s">
        <v>165</v>
      </c>
      <c r="C411" s="1" t="s">
        <v>100</v>
      </c>
      <c r="D411" s="1" t="s">
        <v>42</v>
      </c>
      <c r="E411" s="1" t="s">
        <v>43</v>
      </c>
      <c r="F411" s="4">
        <v>1082</v>
      </c>
      <c r="G411" s="70">
        <v>1186</v>
      </c>
      <c r="H411" s="4">
        <v>2268</v>
      </c>
      <c r="I411" s="4">
        <v>115551</v>
      </c>
      <c r="J411" s="4">
        <v>2564</v>
      </c>
      <c r="K411" s="74">
        <v>1</v>
      </c>
      <c r="L411" s="74">
        <f t="shared" si="48"/>
        <v>34818</v>
      </c>
      <c r="M411" s="74">
        <f t="shared" si="49"/>
        <v>39</v>
      </c>
    </row>
    <row r="412" spans="1:13">
      <c r="A412" s="27">
        <v>46058</v>
      </c>
      <c r="B412" s="76" t="s">
        <v>33</v>
      </c>
      <c r="C412" s="76"/>
      <c r="D412" s="76"/>
      <c r="E412" s="77"/>
      <c r="F412" s="74">
        <v>0</v>
      </c>
      <c r="G412" s="74">
        <v>10</v>
      </c>
      <c r="H412" s="74">
        <v>10</v>
      </c>
      <c r="I412" s="4">
        <v>115561</v>
      </c>
      <c r="J412" s="74">
        <v>0</v>
      </c>
      <c r="K412" s="74">
        <v>0</v>
      </c>
      <c r="L412" s="74">
        <f t="shared" si="48"/>
        <v>34818</v>
      </c>
      <c r="M412" s="74">
        <f t="shared" si="49"/>
        <v>39</v>
      </c>
    </row>
    <row r="413" spans="1:13">
      <c r="A413" s="27">
        <v>46059</v>
      </c>
      <c r="B413" s="1" t="s">
        <v>172</v>
      </c>
      <c r="C413" s="1" t="s">
        <v>69</v>
      </c>
      <c r="D413" s="1" t="s">
        <v>42</v>
      </c>
      <c r="E413" s="1" t="s">
        <v>50</v>
      </c>
      <c r="F413" s="74">
        <v>269</v>
      </c>
      <c r="G413" s="28">
        <v>282</v>
      </c>
      <c r="H413" s="74">
        <v>551</v>
      </c>
      <c r="I413" s="4">
        <v>116112</v>
      </c>
      <c r="J413" s="74">
        <v>538</v>
      </c>
      <c r="K413" s="74">
        <v>1</v>
      </c>
      <c r="L413" s="74">
        <f t="shared" si="48"/>
        <v>35356</v>
      </c>
      <c r="M413" s="74">
        <f t="shared" si="49"/>
        <v>40</v>
      </c>
    </row>
    <row r="414" spans="1:13">
      <c r="A414" s="27">
        <v>46059</v>
      </c>
      <c r="B414" s="1" t="s">
        <v>145</v>
      </c>
      <c r="C414" s="1" t="s">
        <v>73</v>
      </c>
      <c r="D414" s="1" t="s">
        <v>42</v>
      </c>
      <c r="E414" s="1" t="s">
        <v>50</v>
      </c>
      <c r="F414" s="74">
        <v>98</v>
      </c>
      <c r="G414" s="28">
        <v>153</v>
      </c>
      <c r="H414" s="74">
        <v>251</v>
      </c>
      <c r="I414" s="4">
        <v>116363</v>
      </c>
      <c r="J414" s="74">
        <v>396</v>
      </c>
      <c r="K414" s="74">
        <v>1</v>
      </c>
      <c r="L414" s="74">
        <f t="shared" si="48"/>
        <v>35752</v>
      </c>
      <c r="M414" s="74">
        <f t="shared" si="49"/>
        <v>41</v>
      </c>
    </row>
    <row r="415" spans="1:13">
      <c r="A415" s="27">
        <v>46059</v>
      </c>
      <c r="B415" s="1" t="s">
        <v>173</v>
      </c>
      <c r="C415" s="1" t="s">
        <v>75</v>
      </c>
      <c r="D415" s="1" t="s">
        <v>42</v>
      </c>
      <c r="E415" s="1" t="s">
        <v>50</v>
      </c>
      <c r="F415" s="74">
        <v>98</v>
      </c>
      <c r="G415" s="28">
        <v>153</v>
      </c>
      <c r="H415" s="74">
        <v>251</v>
      </c>
      <c r="I415" s="4">
        <v>116614</v>
      </c>
      <c r="J415" s="74">
        <v>396</v>
      </c>
      <c r="K415" s="74">
        <v>1</v>
      </c>
      <c r="L415" s="74">
        <f t="shared" si="48"/>
        <v>36148</v>
      </c>
      <c r="M415" s="74">
        <f t="shared" si="49"/>
        <v>42</v>
      </c>
    </row>
    <row r="416" spans="1:13">
      <c r="A416" s="27">
        <v>46059</v>
      </c>
      <c r="B416" s="1" t="s">
        <v>174</v>
      </c>
      <c r="C416" s="1" t="s">
        <v>175</v>
      </c>
      <c r="D416" s="1" t="s">
        <v>42</v>
      </c>
      <c r="E416" s="1" t="s">
        <v>50</v>
      </c>
      <c r="F416" s="74">
        <v>94</v>
      </c>
      <c r="G416" s="28">
        <v>99</v>
      </c>
      <c r="H416" s="74">
        <v>193</v>
      </c>
      <c r="I416" s="4">
        <v>116807</v>
      </c>
      <c r="J416" s="74">
        <v>188</v>
      </c>
      <c r="K416" s="74">
        <v>1</v>
      </c>
      <c r="L416" s="74">
        <f t="shared" si="48"/>
        <v>36336</v>
      </c>
      <c r="M416" s="74">
        <f t="shared" si="49"/>
        <v>43</v>
      </c>
    </row>
    <row r="417" spans="1:13">
      <c r="A417" s="27">
        <v>46059</v>
      </c>
      <c r="B417" s="1" t="s">
        <v>176</v>
      </c>
      <c r="C417" s="1" t="s">
        <v>177</v>
      </c>
      <c r="D417" s="1" t="s">
        <v>42</v>
      </c>
      <c r="E417" s="1" t="s">
        <v>50</v>
      </c>
      <c r="F417" s="74">
        <v>94</v>
      </c>
      <c r="G417" s="28">
        <v>99</v>
      </c>
      <c r="H417" s="74">
        <v>193</v>
      </c>
      <c r="I417" s="4">
        <v>117000</v>
      </c>
      <c r="J417" s="74">
        <v>188</v>
      </c>
      <c r="K417" s="74">
        <v>1</v>
      </c>
      <c r="L417" s="74">
        <f t="shared" si="48"/>
        <v>36524</v>
      </c>
      <c r="M417" s="74">
        <f t="shared" si="49"/>
        <v>44</v>
      </c>
    </row>
    <row r="418" spans="1:13">
      <c r="A418" s="27">
        <v>46059</v>
      </c>
      <c r="B418" s="1" t="s">
        <v>178</v>
      </c>
      <c r="C418" s="1" t="s">
        <v>13</v>
      </c>
      <c r="D418" s="1" t="s">
        <v>42</v>
      </c>
      <c r="E418" s="1" t="s">
        <v>50</v>
      </c>
      <c r="F418" s="74">
        <v>284</v>
      </c>
      <c r="G418" s="28">
        <v>298</v>
      </c>
      <c r="H418" s="74">
        <v>582</v>
      </c>
      <c r="I418" s="4">
        <v>117582</v>
      </c>
      <c r="J418" s="74">
        <v>568</v>
      </c>
      <c r="K418" s="74">
        <v>1</v>
      </c>
      <c r="L418" s="74">
        <f t="shared" si="48"/>
        <v>37092</v>
      </c>
      <c r="M418" s="74">
        <f t="shared" si="49"/>
        <v>45</v>
      </c>
    </row>
    <row r="419" spans="1:13">
      <c r="A419" s="27">
        <v>46059</v>
      </c>
      <c r="B419" s="76" t="s">
        <v>33</v>
      </c>
      <c r="C419" s="76"/>
      <c r="D419" s="76"/>
      <c r="E419" s="77"/>
      <c r="F419" s="74">
        <v>0</v>
      </c>
      <c r="G419" s="74">
        <v>10</v>
      </c>
      <c r="H419" s="74">
        <v>10</v>
      </c>
      <c r="I419" s="4">
        <v>117592</v>
      </c>
      <c r="J419" s="74">
        <v>0</v>
      </c>
      <c r="K419" s="74">
        <v>0</v>
      </c>
      <c r="L419" s="74">
        <f t="shared" si="48"/>
        <v>37092</v>
      </c>
      <c r="M419" s="74">
        <f t="shared" si="49"/>
        <v>45</v>
      </c>
    </row>
    <row r="420" spans="1:13">
      <c r="A420" s="27">
        <v>46060</v>
      </c>
      <c r="B420" s="1" t="s">
        <v>179</v>
      </c>
      <c r="C420" s="1" t="s">
        <v>121</v>
      </c>
      <c r="D420" s="1" t="s">
        <v>42</v>
      </c>
      <c r="E420" s="1" t="s">
        <v>50</v>
      </c>
      <c r="F420" s="74">
        <v>44</v>
      </c>
      <c r="G420" s="28">
        <v>96</v>
      </c>
      <c r="H420" s="74">
        <v>140</v>
      </c>
      <c r="I420" s="4">
        <v>117732</v>
      </c>
      <c r="J420" s="74">
        <v>288</v>
      </c>
      <c r="K420" s="74">
        <v>1</v>
      </c>
      <c r="L420" s="74">
        <f t="shared" si="48"/>
        <v>37380</v>
      </c>
      <c r="M420" s="74">
        <f t="shared" si="49"/>
        <v>46</v>
      </c>
    </row>
    <row r="421" spans="1:13">
      <c r="A421" s="27">
        <v>46060</v>
      </c>
      <c r="B421" s="1" t="s">
        <v>180</v>
      </c>
      <c r="C421" s="1" t="s">
        <v>123</v>
      </c>
      <c r="D421" s="1" t="s">
        <v>42</v>
      </c>
      <c r="E421" s="1" t="s">
        <v>50</v>
      </c>
      <c r="F421" s="74">
        <v>30</v>
      </c>
      <c r="G421" s="28">
        <v>32</v>
      </c>
      <c r="H421" s="74">
        <v>62</v>
      </c>
      <c r="I421" s="4">
        <v>117794</v>
      </c>
      <c r="J421" s="74">
        <v>60</v>
      </c>
      <c r="K421" s="74">
        <v>1</v>
      </c>
      <c r="L421" s="74">
        <f t="shared" si="48"/>
        <v>37440</v>
      </c>
      <c r="M421" s="74">
        <f t="shared" si="49"/>
        <v>47</v>
      </c>
    </row>
    <row r="422" spans="1:13">
      <c r="A422" s="27">
        <v>46060</v>
      </c>
      <c r="B422" s="1" t="s">
        <v>181</v>
      </c>
      <c r="C422" s="1" t="s">
        <v>138</v>
      </c>
      <c r="D422" s="1" t="s">
        <v>42</v>
      </c>
      <c r="E422" s="1" t="s">
        <v>50</v>
      </c>
      <c r="F422" s="74">
        <v>89</v>
      </c>
      <c r="G422" s="28">
        <v>93</v>
      </c>
      <c r="H422" s="74">
        <v>182</v>
      </c>
      <c r="I422" s="4">
        <v>117976</v>
      </c>
      <c r="J422" s="74">
        <v>178</v>
      </c>
      <c r="K422" s="74">
        <v>1</v>
      </c>
      <c r="L422" s="74">
        <f t="shared" si="48"/>
        <v>37618</v>
      </c>
      <c r="M422" s="74">
        <f t="shared" si="49"/>
        <v>48</v>
      </c>
    </row>
    <row r="423" spans="1:13">
      <c r="A423" s="27">
        <v>46060</v>
      </c>
      <c r="B423" s="1" t="s">
        <v>182</v>
      </c>
      <c r="C423" s="1" t="s">
        <v>93</v>
      </c>
      <c r="D423" s="1" t="s">
        <v>42</v>
      </c>
      <c r="E423" s="1" t="s">
        <v>50</v>
      </c>
      <c r="F423" s="74">
        <v>89</v>
      </c>
      <c r="G423" s="28">
        <v>93</v>
      </c>
      <c r="H423" s="74">
        <v>182</v>
      </c>
      <c r="I423" s="4">
        <v>118158</v>
      </c>
      <c r="J423" s="74">
        <v>178</v>
      </c>
      <c r="K423" s="74">
        <v>1</v>
      </c>
      <c r="L423" s="74">
        <f t="shared" si="48"/>
        <v>37796</v>
      </c>
      <c r="M423" s="74">
        <f t="shared" si="49"/>
        <v>49</v>
      </c>
    </row>
    <row r="424" spans="1:13">
      <c r="A424" s="27">
        <v>46060</v>
      </c>
      <c r="B424" s="1" t="s">
        <v>94</v>
      </c>
      <c r="C424" s="1" t="s">
        <v>71</v>
      </c>
      <c r="D424" s="1" t="s">
        <v>42</v>
      </c>
      <c r="E424" s="1" t="s">
        <v>50</v>
      </c>
      <c r="F424" s="74">
        <v>269</v>
      </c>
      <c r="G424" s="28">
        <v>282</v>
      </c>
      <c r="H424" s="74">
        <v>551</v>
      </c>
      <c r="I424" s="4">
        <v>118709</v>
      </c>
      <c r="J424" s="74">
        <v>538</v>
      </c>
      <c r="K424" s="74">
        <v>1</v>
      </c>
      <c r="L424" s="74">
        <f t="shared" si="48"/>
        <v>38334</v>
      </c>
      <c r="M424" s="74">
        <f t="shared" si="49"/>
        <v>50</v>
      </c>
    </row>
    <row r="425" spans="1:13">
      <c r="A425" s="27">
        <v>46060</v>
      </c>
      <c r="B425" s="76" t="s">
        <v>49</v>
      </c>
      <c r="C425" s="76"/>
      <c r="D425" s="76"/>
      <c r="E425" s="77"/>
      <c r="F425" s="74">
        <v>0</v>
      </c>
      <c r="G425" s="74">
        <v>1</v>
      </c>
      <c r="H425" s="74">
        <v>1</v>
      </c>
      <c r="I425" s="4">
        <v>118710</v>
      </c>
      <c r="J425" s="74">
        <v>0</v>
      </c>
      <c r="K425" s="74">
        <v>0</v>
      </c>
      <c r="L425" s="74">
        <f t="shared" si="48"/>
        <v>38334</v>
      </c>
      <c r="M425" s="74">
        <f t="shared" si="49"/>
        <v>50</v>
      </c>
    </row>
    <row r="426" spans="1:13">
      <c r="A426" s="27">
        <v>46060</v>
      </c>
      <c r="B426" s="76" t="s">
        <v>33</v>
      </c>
      <c r="C426" s="76"/>
      <c r="D426" s="76"/>
      <c r="E426" s="77"/>
      <c r="F426" s="74">
        <v>0</v>
      </c>
      <c r="G426" s="74">
        <v>6</v>
      </c>
      <c r="H426" s="74">
        <v>6</v>
      </c>
      <c r="I426" s="4">
        <v>118716</v>
      </c>
      <c r="J426" s="74">
        <v>0</v>
      </c>
      <c r="K426" s="74">
        <v>0</v>
      </c>
      <c r="L426" s="74">
        <f t="shared" si="48"/>
        <v>38334</v>
      </c>
      <c r="M426" s="74">
        <f t="shared" si="49"/>
        <v>50</v>
      </c>
    </row>
    <row r="427" spans="1:13">
      <c r="A427" s="27">
        <v>46061</v>
      </c>
      <c r="B427" s="1" t="s">
        <v>120</v>
      </c>
      <c r="C427" s="1" t="s">
        <v>121</v>
      </c>
      <c r="D427" s="1" t="s">
        <v>42</v>
      </c>
      <c r="E427" s="1" t="s">
        <v>50</v>
      </c>
      <c r="F427" s="74">
        <v>44</v>
      </c>
      <c r="G427" s="28">
        <v>96</v>
      </c>
      <c r="H427" s="74">
        <v>140</v>
      </c>
      <c r="I427" s="4">
        <v>118856</v>
      </c>
      <c r="J427" s="74">
        <v>288</v>
      </c>
      <c r="K427" s="74">
        <v>1</v>
      </c>
      <c r="L427" s="74">
        <f t="shared" ref="L427:L439" si="50">J427+L426</f>
        <v>38622</v>
      </c>
      <c r="M427" s="74">
        <f t="shared" ref="M427:M439" si="51">K427+M426</f>
        <v>51</v>
      </c>
    </row>
    <row r="428" spans="1:13">
      <c r="A428" s="27">
        <v>46061</v>
      </c>
      <c r="B428" s="1" t="s">
        <v>122</v>
      </c>
      <c r="C428" s="1" t="s">
        <v>123</v>
      </c>
      <c r="D428" s="1" t="s">
        <v>42</v>
      </c>
      <c r="E428" s="1" t="s">
        <v>50</v>
      </c>
      <c r="F428" s="74">
        <v>30</v>
      </c>
      <c r="G428" s="28">
        <v>32</v>
      </c>
      <c r="H428" s="74">
        <v>62</v>
      </c>
      <c r="I428" s="4">
        <v>118918</v>
      </c>
      <c r="J428" s="74">
        <v>60</v>
      </c>
      <c r="K428" s="74">
        <v>1</v>
      </c>
      <c r="L428" s="74">
        <f t="shared" si="50"/>
        <v>38682</v>
      </c>
      <c r="M428" s="74">
        <f t="shared" si="51"/>
        <v>52</v>
      </c>
    </row>
    <row r="429" spans="1:13">
      <c r="A429" s="27">
        <v>46061</v>
      </c>
      <c r="B429" s="1" t="s">
        <v>183</v>
      </c>
      <c r="C429" s="1" t="s">
        <v>89</v>
      </c>
      <c r="D429" s="1" t="s">
        <v>42</v>
      </c>
      <c r="E429" s="1" t="s">
        <v>50</v>
      </c>
      <c r="F429" s="74">
        <v>40</v>
      </c>
      <c r="G429" s="28">
        <v>42</v>
      </c>
      <c r="H429" s="74">
        <v>82</v>
      </c>
      <c r="I429" s="4">
        <v>119000</v>
      </c>
      <c r="J429" s="74">
        <v>80</v>
      </c>
      <c r="K429" s="74">
        <v>1</v>
      </c>
      <c r="L429" s="74">
        <f t="shared" si="50"/>
        <v>38762</v>
      </c>
      <c r="M429" s="74">
        <f t="shared" si="51"/>
        <v>53</v>
      </c>
    </row>
    <row r="430" spans="1:13">
      <c r="A430" s="27">
        <v>46061</v>
      </c>
      <c r="B430" s="1" t="s">
        <v>184</v>
      </c>
      <c r="C430" s="1" t="s">
        <v>185</v>
      </c>
      <c r="D430" s="1" t="s">
        <v>42</v>
      </c>
      <c r="E430" s="1" t="s">
        <v>50</v>
      </c>
      <c r="F430" s="74">
        <v>158</v>
      </c>
      <c r="G430" s="28">
        <v>166</v>
      </c>
      <c r="H430" s="74">
        <v>324</v>
      </c>
      <c r="I430" s="4">
        <v>119324</v>
      </c>
      <c r="J430" s="74">
        <v>316</v>
      </c>
      <c r="K430" s="74">
        <v>1</v>
      </c>
      <c r="L430" s="74">
        <f t="shared" si="50"/>
        <v>39078</v>
      </c>
      <c r="M430" s="74">
        <f t="shared" si="51"/>
        <v>54</v>
      </c>
    </row>
    <row r="431" spans="1:13">
      <c r="A431" s="27">
        <v>46061</v>
      </c>
      <c r="B431" s="1" t="s">
        <v>186</v>
      </c>
      <c r="C431" s="1" t="s">
        <v>91</v>
      </c>
      <c r="D431" s="1" t="s">
        <v>42</v>
      </c>
      <c r="E431" s="1" t="s">
        <v>50</v>
      </c>
      <c r="F431" s="74">
        <v>124</v>
      </c>
      <c r="G431" s="28">
        <v>130</v>
      </c>
      <c r="H431" s="74">
        <v>254</v>
      </c>
      <c r="I431" s="4">
        <v>119578</v>
      </c>
      <c r="J431" s="74">
        <v>248</v>
      </c>
      <c r="K431" s="74">
        <v>1</v>
      </c>
      <c r="L431" s="74">
        <f t="shared" si="50"/>
        <v>39326</v>
      </c>
      <c r="M431" s="74">
        <f t="shared" si="51"/>
        <v>55</v>
      </c>
    </row>
    <row r="432" spans="1:13">
      <c r="A432" s="27">
        <v>46061</v>
      </c>
      <c r="B432" s="1" t="s">
        <v>187</v>
      </c>
      <c r="C432" s="1" t="s">
        <v>93</v>
      </c>
      <c r="D432" s="1" t="s">
        <v>42</v>
      </c>
      <c r="E432" s="1" t="s">
        <v>50</v>
      </c>
      <c r="F432" s="74">
        <v>89</v>
      </c>
      <c r="G432" s="28">
        <v>93</v>
      </c>
      <c r="H432" s="74">
        <v>182</v>
      </c>
      <c r="I432" s="4">
        <v>119760</v>
      </c>
      <c r="J432" s="74">
        <v>178</v>
      </c>
      <c r="K432" s="74">
        <v>1</v>
      </c>
      <c r="L432" s="74">
        <f t="shared" si="50"/>
        <v>39504</v>
      </c>
      <c r="M432" s="74">
        <f t="shared" si="51"/>
        <v>56</v>
      </c>
    </row>
    <row r="433" spans="1:13">
      <c r="A433" s="27">
        <v>46061</v>
      </c>
      <c r="B433" s="1" t="s">
        <v>188</v>
      </c>
      <c r="C433" s="1" t="s">
        <v>138</v>
      </c>
      <c r="D433" s="1" t="s">
        <v>42</v>
      </c>
      <c r="E433" s="1" t="s">
        <v>50</v>
      </c>
      <c r="F433" s="74">
        <v>89</v>
      </c>
      <c r="G433" s="28">
        <v>93</v>
      </c>
      <c r="H433" s="74">
        <v>182</v>
      </c>
      <c r="I433" s="4">
        <v>119942</v>
      </c>
      <c r="J433" s="74">
        <v>178</v>
      </c>
      <c r="K433" s="74">
        <v>1</v>
      </c>
      <c r="L433" s="74">
        <f t="shared" si="50"/>
        <v>39682</v>
      </c>
      <c r="M433" s="74">
        <f t="shared" si="51"/>
        <v>57</v>
      </c>
    </row>
    <row r="434" spans="1:13">
      <c r="A434" s="27">
        <v>46061</v>
      </c>
      <c r="B434" s="1" t="s">
        <v>95</v>
      </c>
      <c r="C434" s="1" t="s">
        <v>69</v>
      </c>
      <c r="D434" s="1" t="s">
        <v>42</v>
      </c>
      <c r="E434" s="1" t="s">
        <v>50</v>
      </c>
      <c r="F434" s="74">
        <v>269</v>
      </c>
      <c r="G434" s="28">
        <v>282</v>
      </c>
      <c r="H434" s="74">
        <v>551</v>
      </c>
      <c r="I434" s="4">
        <v>120493</v>
      </c>
      <c r="J434" s="74">
        <v>538</v>
      </c>
      <c r="K434" s="74">
        <v>1</v>
      </c>
      <c r="L434" s="74">
        <f t="shared" si="50"/>
        <v>40220</v>
      </c>
      <c r="M434" s="74">
        <f t="shared" si="51"/>
        <v>58</v>
      </c>
    </row>
    <row r="435" spans="1:13">
      <c r="A435" s="27">
        <v>46061</v>
      </c>
      <c r="B435" s="1" t="s">
        <v>162</v>
      </c>
      <c r="C435" s="1" t="s">
        <v>100</v>
      </c>
      <c r="D435" s="1" t="s">
        <v>42</v>
      </c>
      <c r="E435" s="1" t="s">
        <v>50</v>
      </c>
      <c r="F435" s="74">
        <v>492</v>
      </c>
      <c r="G435" s="28">
        <v>517</v>
      </c>
      <c r="H435" s="4">
        <v>1009</v>
      </c>
      <c r="I435" s="4">
        <v>121502</v>
      </c>
      <c r="J435" s="74">
        <v>984</v>
      </c>
      <c r="K435" s="74">
        <v>1</v>
      </c>
      <c r="L435" s="74">
        <f t="shared" si="50"/>
        <v>41204</v>
      </c>
      <c r="M435" s="74">
        <f t="shared" si="51"/>
        <v>59</v>
      </c>
    </row>
    <row r="436" spans="1:13">
      <c r="A436" s="27">
        <v>46061</v>
      </c>
      <c r="B436" s="76" t="s">
        <v>33</v>
      </c>
      <c r="C436" s="76"/>
      <c r="D436" s="76"/>
      <c r="E436" s="77"/>
      <c r="F436" s="74">
        <v>0</v>
      </c>
      <c r="G436" s="74">
        <v>20</v>
      </c>
      <c r="H436" s="74">
        <v>20</v>
      </c>
      <c r="I436" s="4">
        <v>121522</v>
      </c>
      <c r="J436" s="74">
        <v>0</v>
      </c>
      <c r="K436" s="74">
        <v>0</v>
      </c>
      <c r="L436" s="74">
        <f t="shared" si="50"/>
        <v>41204</v>
      </c>
      <c r="M436" s="74">
        <f t="shared" si="51"/>
        <v>59</v>
      </c>
    </row>
    <row r="437" spans="1:13">
      <c r="A437" s="27">
        <v>46062</v>
      </c>
      <c r="B437" s="1" t="s">
        <v>189</v>
      </c>
      <c r="C437" s="1" t="s">
        <v>61</v>
      </c>
      <c r="D437" s="1" t="s">
        <v>42</v>
      </c>
      <c r="E437" s="1" t="s">
        <v>43</v>
      </c>
      <c r="F437" s="74">
        <v>389</v>
      </c>
      <c r="G437" s="28">
        <v>458</v>
      </c>
      <c r="H437" s="74">
        <v>847</v>
      </c>
      <c r="I437" s="4">
        <v>122369</v>
      </c>
      <c r="J437" s="4">
        <v>1178</v>
      </c>
      <c r="K437" s="74">
        <v>1</v>
      </c>
      <c r="L437" s="74">
        <f t="shared" si="50"/>
        <v>42382</v>
      </c>
      <c r="M437" s="74">
        <f t="shared" si="51"/>
        <v>60</v>
      </c>
    </row>
    <row r="438" spans="1:13">
      <c r="A438" s="27">
        <v>46062</v>
      </c>
      <c r="B438" s="76" t="s">
        <v>33</v>
      </c>
      <c r="C438" s="76"/>
      <c r="D438" s="76"/>
      <c r="E438" s="77"/>
      <c r="F438" s="74">
        <v>0</v>
      </c>
      <c r="G438" s="74">
        <v>11</v>
      </c>
      <c r="H438" s="74">
        <v>11</v>
      </c>
      <c r="I438" s="4">
        <v>122380</v>
      </c>
      <c r="J438" s="74">
        <v>0</v>
      </c>
      <c r="K438" s="74">
        <v>0</v>
      </c>
      <c r="L438" s="74">
        <f t="shared" si="50"/>
        <v>42382</v>
      </c>
      <c r="M438" s="74">
        <f t="shared" si="51"/>
        <v>60</v>
      </c>
    </row>
    <row r="439" spans="1:13">
      <c r="A439" s="27">
        <v>46063</v>
      </c>
      <c r="B439" s="76" t="s">
        <v>65</v>
      </c>
      <c r="C439" s="76"/>
      <c r="D439" s="76"/>
      <c r="E439" s="77"/>
      <c r="F439" s="4">
        <v>4117</v>
      </c>
      <c r="G439" s="74">
        <v>0</v>
      </c>
      <c r="H439" s="4">
        <v>4117</v>
      </c>
      <c r="I439" s="4">
        <v>126497</v>
      </c>
      <c r="J439" s="74">
        <v>0</v>
      </c>
      <c r="K439" s="74">
        <v>0</v>
      </c>
      <c r="L439" s="74">
        <f t="shared" si="50"/>
        <v>42382</v>
      </c>
      <c r="M439" s="74">
        <f t="shared" si="51"/>
        <v>60</v>
      </c>
    </row>
    <row r="440" spans="1:13">
      <c r="A440" s="27">
        <v>46063</v>
      </c>
      <c r="B440" s="1" t="s">
        <v>190</v>
      </c>
      <c r="C440" s="1" t="s">
        <v>63</v>
      </c>
      <c r="D440" s="1" t="s">
        <v>42</v>
      </c>
      <c r="E440" s="1" t="s">
        <v>43</v>
      </c>
      <c r="F440" s="74">
        <v>389</v>
      </c>
      <c r="G440" s="28">
        <v>458</v>
      </c>
      <c r="H440" s="74">
        <v>847</v>
      </c>
      <c r="I440" s="4">
        <v>127344</v>
      </c>
      <c r="J440" s="4">
        <v>1178</v>
      </c>
      <c r="K440" s="74">
        <v>1</v>
      </c>
      <c r="L440" s="74">
        <f t="shared" ref="L440:L441" si="52">J440+L439</f>
        <v>43560</v>
      </c>
      <c r="M440" s="74">
        <f t="shared" ref="M440:M441" si="53">K440+M439</f>
        <v>61</v>
      </c>
    </row>
    <row r="441" spans="1:13">
      <c r="A441" s="27">
        <v>46063</v>
      </c>
      <c r="B441" s="1" t="s">
        <v>47</v>
      </c>
      <c r="C441" s="1" t="s">
        <v>13</v>
      </c>
      <c r="D441" s="1" t="s">
        <v>42</v>
      </c>
      <c r="E441" s="1" t="s">
        <v>50</v>
      </c>
      <c r="F441" s="74">
        <v>284</v>
      </c>
      <c r="G441" s="28">
        <v>298</v>
      </c>
      <c r="H441" s="74">
        <v>582</v>
      </c>
      <c r="I441" s="4">
        <v>127926</v>
      </c>
      <c r="J441" s="74">
        <v>568</v>
      </c>
      <c r="K441" s="74">
        <v>1</v>
      </c>
      <c r="L441" s="74">
        <f t="shared" si="52"/>
        <v>44128</v>
      </c>
      <c r="M441" s="74">
        <f t="shared" si="53"/>
        <v>62</v>
      </c>
    </row>
    <row r="442" spans="1:13">
      <c r="A442" s="27">
        <v>46063</v>
      </c>
      <c r="B442" s="76" t="s">
        <v>33</v>
      </c>
      <c r="C442" s="76"/>
      <c r="D442" s="76"/>
      <c r="E442" s="77"/>
      <c r="F442" s="74">
        <v>0</v>
      </c>
      <c r="G442" s="74">
        <v>8</v>
      </c>
      <c r="H442" s="74">
        <v>8</v>
      </c>
      <c r="I442" s="4">
        <v>127934</v>
      </c>
      <c r="J442" s="74">
        <v>0</v>
      </c>
      <c r="K442" s="74">
        <v>0</v>
      </c>
      <c r="L442" s="74">
        <f t="shared" ref="L442:L457" si="54">J442+L441</f>
        <v>44128</v>
      </c>
      <c r="M442" s="74">
        <f t="shared" ref="M442:M457" si="55">K442+M441</f>
        <v>62</v>
      </c>
    </row>
    <row r="443" spans="1:13">
      <c r="A443" s="27">
        <v>46064</v>
      </c>
      <c r="B443" s="1" t="s">
        <v>191</v>
      </c>
      <c r="C443" s="1" t="s">
        <v>87</v>
      </c>
      <c r="D443" s="1" t="s">
        <v>42</v>
      </c>
      <c r="E443" s="1" t="s">
        <v>50</v>
      </c>
      <c r="F443" s="74">
        <v>60</v>
      </c>
      <c r="G443" s="28">
        <v>113</v>
      </c>
      <c r="H443" s="74">
        <v>173</v>
      </c>
      <c r="I443" s="4">
        <v>128107</v>
      </c>
      <c r="J443" s="74">
        <v>320</v>
      </c>
      <c r="K443" s="74">
        <v>1</v>
      </c>
      <c r="L443" s="74">
        <f t="shared" si="54"/>
        <v>44448</v>
      </c>
      <c r="M443" s="74">
        <f t="shared" si="55"/>
        <v>63</v>
      </c>
    </row>
    <row r="444" spans="1:13">
      <c r="A444" s="27">
        <v>46064</v>
      </c>
      <c r="B444" s="1" t="s">
        <v>192</v>
      </c>
      <c r="C444" s="1" t="s">
        <v>193</v>
      </c>
      <c r="D444" s="1" t="s">
        <v>42</v>
      </c>
      <c r="E444" s="1" t="s">
        <v>50</v>
      </c>
      <c r="F444" s="74">
        <v>158</v>
      </c>
      <c r="G444" s="28">
        <v>166</v>
      </c>
      <c r="H444" s="74">
        <v>324</v>
      </c>
      <c r="I444" s="4">
        <v>128431</v>
      </c>
      <c r="J444" s="74">
        <v>316</v>
      </c>
      <c r="K444" s="74">
        <v>1</v>
      </c>
      <c r="L444" s="74">
        <f t="shared" si="54"/>
        <v>44764</v>
      </c>
      <c r="M444" s="74">
        <f t="shared" si="55"/>
        <v>64</v>
      </c>
    </row>
    <row r="445" spans="1:13">
      <c r="A445" s="27">
        <v>46064</v>
      </c>
      <c r="B445" s="1" t="s">
        <v>135</v>
      </c>
      <c r="C445" s="1" t="s">
        <v>136</v>
      </c>
      <c r="D445" s="1" t="s">
        <v>42</v>
      </c>
      <c r="E445" s="1" t="s">
        <v>50</v>
      </c>
      <c r="F445" s="74">
        <v>124</v>
      </c>
      <c r="G445" s="28">
        <v>130</v>
      </c>
      <c r="H445" s="74">
        <v>254</v>
      </c>
      <c r="I445" s="4">
        <v>128685</v>
      </c>
      <c r="J445" s="74">
        <v>248</v>
      </c>
      <c r="K445" s="74">
        <v>1</v>
      </c>
      <c r="L445" s="74">
        <f t="shared" si="54"/>
        <v>45012</v>
      </c>
      <c r="M445" s="74">
        <f t="shared" si="55"/>
        <v>65</v>
      </c>
    </row>
    <row r="446" spans="1:13">
      <c r="A446" s="27">
        <v>46064</v>
      </c>
      <c r="B446" s="1" t="s">
        <v>90</v>
      </c>
      <c r="C446" s="1" t="s">
        <v>91</v>
      </c>
      <c r="D446" s="1" t="s">
        <v>42</v>
      </c>
      <c r="E446" s="1" t="s">
        <v>50</v>
      </c>
      <c r="F446" s="74">
        <v>124</v>
      </c>
      <c r="G446" s="28">
        <v>130</v>
      </c>
      <c r="H446" s="74">
        <v>254</v>
      </c>
      <c r="I446" s="4">
        <v>128939</v>
      </c>
      <c r="J446" s="74">
        <v>248</v>
      </c>
      <c r="K446" s="74">
        <v>1</v>
      </c>
      <c r="L446" s="74">
        <f t="shared" si="54"/>
        <v>45260</v>
      </c>
      <c r="M446" s="74">
        <f t="shared" si="55"/>
        <v>66</v>
      </c>
    </row>
    <row r="447" spans="1:13">
      <c r="A447" s="27">
        <v>46064</v>
      </c>
      <c r="B447" s="1" t="s">
        <v>95</v>
      </c>
      <c r="C447" s="1" t="s">
        <v>69</v>
      </c>
      <c r="D447" s="1" t="s">
        <v>42</v>
      </c>
      <c r="E447" s="1" t="s">
        <v>50</v>
      </c>
      <c r="F447" s="74">
        <v>403</v>
      </c>
      <c r="G447" s="28">
        <v>473</v>
      </c>
      <c r="H447" s="74">
        <v>876</v>
      </c>
      <c r="I447" s="4">
        <v>129815</v>
      </c>
      <c r="J447" s="4">
        <v>1006</v>
      </c>
      <c r="K447" s="74">
        <v>1</v>
      </c>
      <c r="L447" s="74">
        <f t="shared" si="54"/>
        <v>46266</v>
      </c>
      <c r="M447" s="74">
        <f t="shared" si="55"/>
        <v>67</v>
      </c>
    </row>
    <row r="448" spans="1:13">
      <c r="A448" s="27">
        <v>46064</v>
      </c>
      <c r="B448" s="1" t="s">
        <v>194</v>
      </c>
      <c r="C448" s="1" t="s">
        <v>195</v>
      </c>
      <c r="D448" s="1" t="s">
        <v>42</v>
      </c>
      <c r="E448" s="1" t="s">
        <v>50</v>
      </c>
      <c r="F448" s="74">
        <v>612</v>
      </c>
      <c r="G448" s="28">
        <v>643</v>
      </c>
      <c r="H448" s="4">
        <v>1255</v>
      </c>
      <c r="I448" s="4">
        <v>131070</v>
      </c>
      <c r="J448" s="4">
        <v>1224</v>
      </c>
      <c r="K448" s="74">
        <v>1</v>
      </c>
      <c r="L448" s="74">
        <f t="shared" si="54"/>
        <v>47490</v>
      </c>
      <c r="M448" s="74">
        <f t="shared" si="55"/>
        <v>68</v>
      </c>
    </row>
    <row r="449" spans="1:13">
      <c r="A449" s="27">
        <v>46064</v>
      </c>
      <c r="B449" s="76" t="s">
        <v>33</v>
      </c>
      <c r="C449" s="76"/>
      <c r="D449" s="76"/>
      <c r="E449" s="77"/>
      <c r="F449" s="74">
        <v>0</v>
      </c>
      <c r="G449" s="74">
        <v>17</v>
      </c>
      <c r="H449" s="74">
        <v>17</v>
      </c>
      <c r="I449" s="4">
        <v>131087</v>
      </c>
      <c r="J449" s="74">
        <v>0</v>
      </c>
      <c r="K449" s="74">
        <v>0</v>
      </c>
      <c r="L449" s="74">
        <f t="shared" si="54"/>
        <v>47490</v>
      </c>
      <c r="M449" s="74">
        <f t="shared" si="55"/>
        <v>68</v>
      </c>
    </row>
    <row r="450" spans="1:13">
      <c r="A450" s="27">
        <v>46065</v>
      </c>
      <c r="B450" s="76" t="s">
        <v>49</v>
      </c>
      <c r="C450" s="76"/>
      <c r="D450" s="76"/>
      <c r="E450" s="77"/>
      <c r="F450" s="74">
        <v>0</v>
      </c>
      <c r="G450" s="74">
        <v>4</v>
      </c>
      <c r="H450" s="74">
        <v>4</v>
      </c>
      <c r="I450" s="4">
        <v>131091</v>
      </c>
      <c r="J450" s="74">
        <v>0</v>
      </c>
      <c r="K450" s="74">
        <v>0</v>
      </c>
      <c r="L450" s="74">
        <f t="shared" si="54"/>
        <v>47490</v>
      </c>
      <c r="M450" s="74">
        <f t="shared" si="55"/>
        <v>68</v>
      </c>
    </row>
    <row r="451" spans="1:13">
      <c r="A451" s="27">
        <v>46065</v>
      </c>
      <c r="B451" s="76" t="s">
        <v>33</v>
      </c>
      <c r="C451" s="76"/>
      <c r="D451" s="76"/>
      <c r="E451" s="77"/>
      <c r="F451" s="74">
        <v>0</v>
      </c>
      <c r="G451" s="74">
        <v>10</v>
      </c>
      <c r="H451" s="74">
        <v>10</v>
      </c>
      <c r="I451" s="4">
        <v>131101</v>
      </c>
      <c r="J451" s="74">
        <v>0</v>
      </c>
      <c r="K451" s="74">
        <v>0</v>
      </c>
      <c r="L451" s="74">
        <f t="shared" si="54"/>
        <v>47490</v>
      </c>
      <c r="M451" s="74">
        <f t="shared" si="55"/>
        <v>68</v>
      </c>
    </row>
    <row r="452" spans="1:13">
      <c r="A452" s="27">
        <v>46066</v>
      </c>
      <c r="B452" s="76" t="s">
        <v>33</v>
      </c>
      <c r="C452" s="76"/>
      <c r="D452" s="76"/>
      <c r="E452" s="77"/>
      <c r="F452" s="74">
        <v>0</v>
      </c>
      <c r="G452" s="74">
        <v>10</v>
      </c>
      <c r="H452" s="74">
        <v>10</v>
      </c>
      <c r="I452" s="4">
        <v>131111</v>
      </c>
      <c r="J452" s="74">
        <v>0</v>
      </c>
      <c r="K452" s="74">
        <v>0</v>
      </c>
      <c r="L452" s="74">
        <f t="shared" si="54"/>
        <v>47490</v>
      </c>
      <c r="M452" s="74">
        <f t="shared" si="55"/>
        <v>68</v>
      </c>
    </row>
    <row r="453" spans="1:13">
      <c r="A453" s="27">
        <v>46067</v>
      </c>
      <c r="B453" s="76" t="s">
        <v>33</v>
      </c>
      <c r="C453" s="76"/>
      <c r="D453" s="76"/>
      <c r="E453" s="77"/>
      <c r="F453" s="74">
        <v>0</v>
      </c>
      <c r="G453" s="74">
        <v>9</v>
      </c>
      <c r="H453" s="74">
        <v>9</v>
      </c>
      <c r="I453" s="4">
        <v>131120</v>
      </c>
      <c r="J453" s="74">
        <v>0</v>
      </c>
      <c r="K453" s="74">
        <v>0</v>
      </c>
      <c r="L453" s="74">
        <f t="shared" si="54"/>
        <v>47490</v>
      </c>
      <c r="M453" s="74">
        <f t="shared" si="55"/>
        <v>68</v>
      </c>
    </row>
    <row r="454" spans="1:13">
      <c r="A454" s="27">
        <v>46068</v>
      </c>
      <c r="B454" s="76" t="s">
        <v>33</v>
      </c>
      <c r="C454" s="76"/>
      <c r="D454" s="76"/>
      <c r="E454" s="77"/>
      <c r="F454" s="74">
        <v>0</v>
      </c>
      <c r="G454" s="74">
        <v>18</v>
      </c>
      <c r="H454" s="74">
        <v>18</v>
      </c>
      <c r="I454" s="4">
        <v>131138</v>
      </c>
      <c r="J454" s="74">
        <v>0</v>
      </c>
      <c r="K454" s="74">
        <v>0</v>
      </c>
      <c r="L454" s="74">
        <f t="shared" si="54"/>
        <v>47490</v>
      </c>
      <c r="M454" s="74">
        <f t="shared" si="55"/>
        <v>68</v>
      </c>
    </row>
    <row r="455" spans="1:13">
      <c r="A455" s="27">
        <v>46069</v>
      </c>
      <c r="B455" s="76" t="s">
        <v>49</v>
      </c>
      <c r="C455" s="76"/>
      <c r="D455" s="76"/>
      <c r="E455" s="77"/>
      <c r="F455" s="74">
        <v>0</v>
      </c>
      <c r="G455" s="74">
        <v>3</v>
      </c>
      <c r="H455" s="74">
        <v>3</v>
      </c>
      <c r="I455" s="4">
        <v>131141</v>
      </c>
      <c r="J455" s="74">
        <v>0</v>
      </c>
      <c r="K455" s="74">
        <v>0</v>
      </c>
      <c r="L455" s="74">
        <f t="shared" si="54"/>
        <v>47490</v>
      </c>
      <c r="M455" s="74">
        <f t="shared" si="55"/>
        <v>68</v>
      </c>
    </row>
    <row r="456" spans="1:13">
      <c r="A456" s="27">
        <v>46069</v>
      </c>
      <c r="B456" s="76" t="s">
        <v>33</v>
      </c>
      <c r="C456" s="76"/>
      <c r="D456" s="76"/>
      <c r="E456" s="77"/>
      <c r="F456" s="74">
        <v>0</v>
      </c>
      <c r="G456" s="74">
        <v>18</v>
      </c>
      <c r="H456" s="74">
        <v>18</v>
      </c>
      <c r="I456" s="4">
        <v>131159</v>
      </c>
      <c r="J456" s="74">
        <v>0</v>
      </c>
      <c r="K456" s="74">
        <v>0</v>
      </c>
      <c r="L456" s="74">
        <f t="shared" si="54"/>
        <v>47490</v>
      </c>
      <c r="M456" s="74">
        <f t="shared" si="55"/>
        <v>68</v>
      </c>
    </row>
    <row r="457" spans="1:13">
      <c r="A457" s="27">
        <v>46070</v>
      </c>
      <c r="B457" s="76" t="s">
        <v>33</v>
      </c>
      <c r="C457" s="76"/>
      <c r="D457" s="76"/>
      <c r="E457" s="77"/>
      <c r="F457" s="74">
        <v>0</v>
      </c>
      <c r="G457" s="74">
        <v>7</v>
      </c>
      <c r="H457" s="74">
        <v>7</v>
      </c>
      <c r="I457" s="4">
        <v>131166</v>
      </c>
      <c r="J457" s="74">
        <v>0</v>
      </c>
      <c r="K457" s="74">
        <v>0</v>
      </c>
      <c r="L457" s="74">
        <f t="shared" si="54"/>
        <v>47490</v>
      </c>
      <c r="M457" s="74">
        <f t="shared" si="55"/>
        <v>68</v>
      </c>
    </row>
    <row r="458" spans="1:13">
      <c r="A458" s="27">
        <v>46071</v>
      </c>
      <c r="B458" s="76" t="s">
        <v>33</v>
      </c>
      <c r="C458" s="76"/>
      <c r="D458" s="76"/>
      <c r="E458" s="77"/>
      <c r="F458" s="74">
        <v>0</v>
      </c>
      <c r="G458" s="74">
        <v>11</v>
      </c>
      <c r="H458" s="74">
        <v>11</v>
      </c>
      <c r="I458" s="4">
        <v>131177</v>
      </c>
      <c r="J458" s="74">
        <v>0</v>
      </c>
      <c r="K458" s="74">
        <v>0</v>
      </c>
      <c r="L458" s="74">
        <f t="shared" ref="L458:N471" si="56">J458+L457</f>
        <v>47490</v>
      </c>
      <c r="M458" s="74">
        <f t="shared" ref="M458:M471" si="57">K458+M457</f>
        <v>68</v>
      </c>
    </row>
    <row r="459" spans="1:13">
      <c r="A459" s="27">
        <v>46072</v>
      </c>
      <c r="B459" s="76" t="s">
        <v>33</v>
      </c>
      <c r="C459" s="76"/>
      <c r="D459" s="76"/>
      <c r="E459" s="77"/>
      <c r="F459" s="74">
        <v>0</v>
      </c>
      <c r="G459" s="74">
        <v>17</v>
      </c>
      <c r="H459" s="74">
        <v>17</v>
      </c>
      <c r="I459" s="4">
        <v>131194</v>
      </c>
      <c r="J459" s="74">
        <v>0</v>
      </c>
      <c r="K459" s="74">
        <v>0</v>
      </c>
      <c r="L459" s="74">
        <f t="shared" si="56"/>
        <v>47490</v>
      </c>
      <c r="M459" s="74">
        <f t="shared" si="57"/>
        <v>68</v>
      </c>
    </row>
    <row r="460" spans="1:13">
      <c r="A460" s="27">
        <v>46073</v>
      </c>
      <c r="B460" s="76" t="s">
        <v>49</v>
      </c>
      <c r="C460" s="76"/>
      <c r="D460" s="76"/>
      <c r="E460" s="77"/>
      <c r="F460" s="74">
        <v>0</v>
      </c>
      <c r="G460" s="74">
        <v>4</v>
      </c>
      <c r="H460" s="74">
        <v>4</v>
      </c>
      <c r="I460" s="4">
        <v>131198</v>
      </c>
      <c r="J460" s="74">
        <v>0</v>
      </c>
      <c r="K460" s="74">
        <v>0</v>
      </c>
      <c r="L460" s="74">
        <f t="shared" si="56"/>
        <v>47490</v>
      </c>
      <c r="M460" s="74">
        <f t="shared" si="57"/>
        <v>68</v>
      </c>
    </row>
    <row r="461" spans="1:13">
      <c r="A461" s="27">
        <v>46073</v>
      </c>
      <c r="B461" s="76" t="s">
        <v>33</v>
      </c>
      <c r="C461" s="76"/>
      <c r="D461" s="76"/>
      <c r="E461" s="77"/>
      <c r="F461" s="74">
        <v>0</v>
      </c>
      <c r="G461" s="74">
        <v>25</v>
      </c>
      <c r="H461" s="74">
        <v>25</v>
      </c>
      <c r="I461" s="4">
        <v>131223</v>
      </c>
      <c r="J461" s="74">
        <v>0</v>
      </c>
      <c r="K461" s="74">
        <v>0</v>
      </c>
      <c r="L461" s="74">
        <f t="shared" si="56"/>
        <v>47490</v>
      </c>
      <c r="M461" s="74">
        <f t="shared" si="57"/>
        <v>68</v>
      </c>
    </row>
    <row r="462" spans="1:13">
      <c r="A462" s="27">
        <v>46074</v>
      </c>
      <c r="B462" s="1" t="s">
        <v>196</v>
      </c>
      <c r="C462" s="1" t="s">
        <v>73</v>
      </c>
      <c r="D462" s="1" t="s">
        <v>42</v>
      </c>
      <c r="E462" s="1" t="s">
        <v>50</v>
      </c>
      <c r="F462" s="74">
        <v>98</v>
      </c>
      <c r="G462" s="28">
        <v>153</v>
      </c>
      <c r="H462" s="74">
        <v>251</v>
      </c>
      <c r="I462" s="4">
        <v>131474</v>
      </c>
      <c r="J462" s="74">
        <v>396</v>
      </c>
      <c r="K462" s="74">
        <v>1</v>
      </c>
      <c r="L462" s="74">
        <f t="shared" si="56"/>
        <v>47886</v>
      </c>
      <c r="M462" s="74">
        <f t="shared" si="57"/>
        <v>69</v>
      </c>
    </row>
    <row r="463" spans="1:13">
      <c r="A463" s="27">
        <v>46074</v>
      </c>
      <c r="B463" s="1" t="s">
        <v>197</v>
      </c>
      <c r="C463" s="1" t="s">
        <v>75</v>
      </c>
      <c r="D463" s="1" t="s">
        <v>42</v>
      </c>
      <c r="E463" s="1" t="s">
        <v>50</v>
      </c>
      <c r="F463" s="74">
        <v>98</v>
      </c>
      <c r="G463" s="28">
        <v>153</v>
      </c>
      <c r="H463" s="74">
        <v>251</v>
      </c>
      <c r="I463" s="4">
        <v>131725</v>
      </c>
      <c r="J463" s="74">
        <v>396</v>
      </c>
      <c r="K463" s="74">
        <v>1</v>
      </c>
      <c r="L463" s="74">
        <f t="shared" si="56"/>
        <v>48282</v>
      </c>
      <c r="M463" s="74">
        <f t="shared" si="57"/>
        <v>70</v>
      </c>
    </row>
    <row r="464" spans="1:13">
      <c r="A464" s="27">
        <v>46074</v>
      </c>
      <c r="B464" s="1" t="s">
        <v>198</v>
      </c>
      <c r="C464" s="1" t="s">
        <v>13</v>
      </c>
      <c r="D464" s="1" t="s">
        <v>42</v>
      </c>
      <c r="E464" s="1" t="s">
        <v>50</v>
      </c>
      <c r="F464" s="74">
        <v>425</v>
      </c>
      <c r="G464" s="28">
        <v>496</v>
      </c>
      <c r="H464" s="74">
        <v>921</v>
      </c>
      <c r="I464" s="4">
        <v>132646</v>
      </c>
      <c r="J464" s="4">
        <v>1050</v>
      </c>
      <c r="K464" s="74">
        <v>1</v>
      </c>
      <c r="L464" s="74">
        <f t="shared" si="56"/>
        <v>49332</v>
      </c>
      <c r="M464" s="74">
        <f t="shared" si="57"/>
        <v>71</v>
      </c>
    </row>
    <row r="465" spans="1:13">
      <c r="A465" s="27">
        <v>46074</v>
      </c>
      <c r="B465" s="76" t="s">
        <v>199</v>
      </c>
      <c r="C465" s="76"/>
      <c r="D465" s="76"/>
      <c r="E465" s="77"/>
      <c r="F465" s="74">
        <v>0</v>
      </c>
      <c r="G465" s="4">
        <v>3326</v>
      </c>
      <c r="H465" s="4">
        <v>3326</v>
      </c>
      <c r="I465" s="4">
        <v>135972</v>
      </c>
      <c r="J465" s="74">
        <v>0</v>
      </c>
      <c r="K465" s="74">
        <v>0</v>
      </c>
      <c r="L465" s="74">
        <f t="shared" si="56"/>
        <v>49332</v>
      </c>
      <c r="M465" s="74">
        <f t="shared" si="57"/>
        <v>71</v>
      </c>
    </row>
    <row r="466" spans="1:13">
      <c r="A466" s="27">
        <v>46074</v>
      </c>
      <c r="B466" s="76" t="s">
        <v>200</v>
      </c>
      <c r="C466" s="76"/>
      <c r="D466" s="76"/>
      <c r="E466" s="77"/>
      <c r="F466" s="74">
        <v>0</v>
      </c>
      <c r="G466" s="4">
        <v>3326</v>
      </c>
      <c r="H466" s="4">
        <v>3326</v>
      </c>
      <c r="I466" s="4">
        <v>139298</v>
      </c>
      <c r="J466" s="74">
        <v>0</v>
      </c>
      <c r="K466" s="74">
        <v>0</v>
      </c>
      <c r="L466" s="74">
        <f t="shared" si="56"/>
        <v>49332</v>
      </c>
      <c r="M466" s="74">
        <f t="shared" si="57"/>
        <v>71</v>
      </c>
    </row>
    <row r="467" spans="1:13">
      <c r="A467" s="27">
        <v>46074</v>
      </c>
      <c r="B467" s="76" t="s">
        <v>201</v>
      </c>
      <c r="C467" s="76"/>
      <c r="D467" s="76"/>
      <c r="E467" s="77"/>
      <c r="F467" s="74">
        <v>0</v>
      </c>
      <c r="G467" s="4">
        <v>8012</v>
      </c>
      <c r="H467" s="4">
        <v>8012</v>
      </c>
      <c r="I467" s="4">
        <v>147310</v>
      </c>
      <c r="J467" s="74">
        <v>0</v>
      </c>
      <c r="K467" s="74">
        <v>0</v>
      </c>
      <c r="L467" s="74">
        <f t="shared" si="56"/>
        <v>49332</v>
      </c>
      <c r="M467" s="74">
        <f t="shared" si="57"/>
        <v>71</v>
      </c>
    </row>
    <row r="468" spans="1:13">
      <c r="A468" s="27">
        <v>46074</v>
      </c>
      <c r="B468" s="76" t="s">
        <v>33</v>
      </c>
      <c r="C468" s="76"/>
      <c r="D468" s="76"/>
      <c r="E468" s="77"/>
      <c r="F468" s="74">
        <v>0</v>
      </c>
      <c r="G468" s="74">
        <v>8</v>
      </c>
      <c r="H468" s="74">
        <v>8</v>
      </c>
      <c r="I468" s="4">
        <v>147318</v>
      </c>
      <c r="J468" s="74">
        <v>0</v>
      </c>
      <c r="K468" s="74">
        <v>0</v>
      </c>
      <c r="L468" s="74">
        <f t="shared" si="56"/>
        <v>49332</v>
      </c>
      <c r="M468" s="74">
        <f t="shared" si="57"/>
        <v>71</v>
      </c>
    </row>
    <row r="469" spans="1:13">
      <c r="A469" s="27">
        <v>46074</v>
      </c>
      <c r="B469" s="76" t="s">
        <v>202</v>
      </c>
      <c r="C469" s="76"/>
      <c r="D469" s="76"/>
      <c r="E469" s="77"/>
      <c r="F469" s="4">
        <v>-70000</v>
      </c>
      <c r="G469" s="74">
        <v>0</v>
      </c>
      <c r="H469" s="4">
        <v>-70000</v>
      </c>
      <c r="I469" s="4">
        <v>77318</v>
      </c>
      <c r="J469" s="74">
        <v>0</v>
      </c>
      <c r="K469" s="74">
        <v>0</v>
      </c>
      <c r="L469" s="74">
        <f t="shared" si="56"/>
        <v>49332</v>
      </c>
      <c r="M469" s="74">
        <f t="shared" si="57"/>
        <v>71</v>
      </c>
    </row>
    <row r="470" spans="1:13">
      <c r="A470" s="27">
        <v>46075</v>
      </c>
      <c r="B470" s="1" t="s">
        <v>80</v>
      </c>
      <c r="C470" s="1" t="s">
        <v>81</v>
      </c>
      <c r="D470" s="1" t="s">
        <v>42</v>
      </c>
      <c r="E470" s="1" t="s">
        <v>50</v>
      </c>
      <c r="F470" s="74">
        <v>20</v>
      </c>
      <c r="G470" s="28">
        <v>21</v>
      </c>
      <c r="H470" s="74">
        <v>41</v>
      </c>
      <c r="I470" s="4">
        <v>77359</v>
      </c>
      <c r="J470" s="74">
        <v>40</v>
      </c>
      <c r="K470" s="74">
        <v>1</v>
      </c>
      <c r="L470" s="74">
        <f t="shared" si="56"/>
        <v>49372</v>
      </c>
      <c r="M470" s="74">
        <f t="shared" si="57"/>
        <v>72</v>
      </c>
    </row>
    <row r="471" spans="1:13">
      <c r="A471" s="27">
        <v>46075</v>
      </c>
      <c r="B471" s="1" t="s">
        <v>82</v>
      </c>
      <c r="C471" s="1" t="s">
        <v>83</v>
      </c>
      <c r="D471" s="1" t="s">
        <v>42</v>
      </c>
      <c r="E471" s="1" t="s">
        <v>50</v>
      </c>
      <c r="F471" s="74">
        <v>29</v>
      </c>
      <c r="G471" s="28">
        <v>80</v>
      </c>
      <c r="H471" s="74">
        <v>109</v>
      </c>
      <c r="I471" s="4">
        <v>77468</v>
      </c>
      <c r="J471" s="74">
        <v>258</v>
      </c>
      <c r="K471" s="74">
        <v>1</v>
      </c>
      <c r="L471" s="74">
        <f t="shared" si="56"/>
        <v>49630</v>
      </c>
      <c r="M471" s="74">
        <f t="shared" si="57"/>
        <v>73</v>
      </c>
    </row>
    <row r="472" spans="1:13">
      <c r="A472" s="27">
        <v>46075</v>
      </c>
      <c r="B472" s="1" t="s">
        <v>203</v>
      </c>
      <c r="C472" s="1" t="s">
        <v>204</v>
      </c>
      <c r="D472" s="1" t="s">
        <v>42</v>
      </c>
      <c r="E472" s="1" t="s">
        <v>50</v>
      </c>
      <c r="F472" s="74">
        <v>72</v>
      </c>
      <c r="G472" s="28">
        <v>126</v>
      </c>
      <c r="H472" s="74">
        <v>198</v>
      </c>
      <c r="I472" s="4">
        <v>77666</v>
      </c>
      <c r="J472" s="74">
        <v>544</v>
      </c>
      <c r="K472" s="74">
        <v>1</v>
      </c>
      <c r="L472" s="74">
        <f t="shared" ref="L472:L474" si="58">J472+L471</f>
        <v>50174</v>
      </c>
      <c r="M472" s="74">
        <f t="shared" ref="M472:M474" si="59">K472+M471</f>
        <v>74</v>
      </c>
    </row>
    <row r="473" spans="1:13">
      <c r="A473" s="27">
        <v>46075</v>
      </c>
      <c r="B473" s="1" t="s">
        <v>205</v>
      </c>
      <c r="C473" s="1" t="s">
        <v>136</v>
      </c>
      <c r="D473" s="1" t="s">
        <v>42</v>
      </c>
      <c r="E473" s="1" t="s">
        <v>50</v>
      </c>
      <c r="F473" s="74">
        <v>124</v>
      </c>
      <c r="G473" s="28">
        <v>130</v>
      </c>
      <c r="H473" s="74">
        <v>254</v>
      </c>
      <c r="I473" s="4">
        <v>77920</v>
      </c>
      <c r="J473" s="74">
        <v>248</v>
      </c>
      <c r="K473" s="74">
        <v>1</v>
      </c>
      <c r="L473" s="74">
        <f t="shared" si="58"/>
        <v>50422</v>
      </c>
      <c r="M473" s="74">
        <f t="shared" si="59"/>
        <v>75</v>
      </c>
    </row>
    <row r="474" spans="1:13">
      <c r="A474" s="27">
        <v>46075</v>
      </c>
      <c r="B474" s="1" t="s">
        <v>206</v>
      </c>
      <c r="C474" s="1" t="s">
        <v>91</v>
      </c>
      <c r="D474" s="1" t="s">
        <v>42</v>
      </c>
      <c r="E474" s="1" t="s">
        <v>50</v>
      </c>
      <c r="F474" s="74">
        <v>124</v>
      </c>
      <c r="G474" s="28">
        <v>130</v>
      </c>
      <c r="H474" s="74">
        <v>254</v>
      </c>
      <c r="I474" s="4">
        <v>78174</v>
      </c>
      <c r="J474" s="74">
        <v>248</v>
      </c>
      <c r="K474" s="74">
        <v>1</v>
      </c>
      <c r="L474" s="74">
        <f t="shared" si="58"/>
        <v>50670</v>
      </c>
      <c r="M474" s="74">
        <f t="shared" si="59"/>
        <v>76</v>
      </c>
    </row>
    <row r="475" spans="1:13">
      <c r="A475" s="27">
        <v>46075</v>
      </c>
      <c r="B475" s="1" t="s">
        <v>181</v>
      </c>
      <c r="C475" s="1" t="s">
        <v>138</v>
      </c>
      <c r="D475" s="1" t="s">
        <v>42</v>
      </c>
      <c r="E475" s="1" t="s">
        <v>50</v>
      </c>
      <c r="F475" s="74">
        <v>89</v>
      </c>
      <c r="G475" s="28">
        <v>93</v>
      </c>
      <c r="H475" s="74">
        <v>182</v>
      </c>
      <c r="I475" s="4">
        <v>78356</v>
      </c>
      <c r="J475" s="74">
        <v>178</v>
      </c>
      <c r="K475" s="74">
        <v>1</v>
      </c>
      <c r="L475" s="74">
        <f t="shared" ref="L475:L496" si="60">J475+L474</f>
        <v>50848</v>
      </c>
      <c r="M475" s="74">
        <f t="shared" ref="M475:M496" si="61">K475+M474</f>
        <v>77</v>
      </c>
    </row>
    <row r="476" spans="1:13">
      <c r="A476" s="27">
        <v>46075</v>
      </c>
      <c r="B476" s="1" t="s">
        <v>95</v>
      </c>
      <c r="C476" s="1" t="s">
        <v>69</v>
      </c>
      <c r="D476" s="1" t="s">
        <v>42</v>
      </c>
      <c r="E476" s="1" t="s">
        <v>50</v>
      </c>
      <c r="F476" s="74">
        <v>403</v>
      </c>
      <c r="G476" s="28">
        <v>473</v>
      </c>
      <c r="H476" s="74">
        <v>876</v>
      </c>
      <c r="I476" s="4">
        <v>79232</v>
      </c>
      <c r="J476" s="4">
        <v>1006</v>
      </c>
      <c r="K476" s="74">
        <v>1</v>
      </c>
      <c r="L476" s="74">
        <f t="shared" si="60"/>
        <v>51854</v>
      </c>
      <c r="M476" s="74">
        <f t="shared" si="61"/>
        <v>78</v>
      </c>
    </row>
    <row r="477" spans="1:13">
      <c r="A477" s="27">
        <v>46075</v>
      </c>
      <c r="B477" s="1" t="s">
        <v>194</v>
      </c>
      <c r="C477" s="1" t="s">
        <v>195</v>
      </c>
      <c r="D477" s="1" t="s">
        <v>42</v>
      </c>
      <c r="E477" s="1" t="s">
        <v>50</v>
      </c>
      <c r="F477" s="74">
        <v>612</v>
      </c>
      <c r="G477" s="28">
        <v>643</v>
      </c>
      <c r="H477" s="4">
        <v>1255</v>
      </c>
      <c r="I477" s="4">
        <v>80487</v>
      </c>
      <c r="J477" s="4">
        <v>1224</v>
      </c>
      <c r="K477" s="74">
        <v>1</v>
      </c>
      <c r="L477" s="74">
        <f t="shared" si="60"/>
        <v>53078</v>
      </c>
      <c r="M477" s="74">
        <f t="shared" si="61"/>
        <v>79</v>
      </c>
    </row>
    <row r="478" spans="1:13">
      <c r="A478" s="27">
        <v>46075</v>
      </c>
      <c r="B478" s="76" t="s">
        <v>129</v>
      </c>
      <c r="C478" s="76"/>
      <c r="D478" s="76"/>
      <c r="E478" s="77"/>
      <c r="F478" s="74">
        <v>0</v>
      </c>
      <c r="G478" s="74">
        <v>34</v>
      </c>
      <c r="H478" s="74">
        <v>34</v>
      </c>
      <c r="I478" s="4">
        <v>80521</v>
      </c>
      <c r="J478" s="74">
        <v>0</v>
      </c>
      <c r="K478" s="74">
        <v>0</v>
      </c>
      <c r="L478" s="74">
        <f t="shared" si="60"/>
        <v>53078</v>
      </c>
      <c r="M478" s="74">
        <f t="shared" si="61"/>
        <v>79</v>
      </c>
    </row>
    <row r="479" spans="1:13">
      <c r="A479" s="27">
        <v>46075</v>
      </c>
      <c r="B479" s="76" t="s">
        <v>33</v>
      </c>
      <c r="C479" s="76"/>
      <c r="D479" s="76"/>
      <c r="E479" s="77"/>
      <c r="F479" s="74">
        <v>0</v>
      </c>
      <c r="G479" s="74">
        <v>30</v>
      </c>
      <c r="H479" s="74">
        <v>30</v>
      </c>
      <c r="I479" s="4">
        <v>80551</v>
      </c>
      <c r="J479" s="74">
        <v>0</v>
      </c>
      <c r="K479" s="74">
        <v>0</v>
      </c>
      <c r="L479" s="74">
        <f t="shared" si="60"/>
        <v>53078</v>
      </c>
      <c r="M479" s="74">
        <f t="shared" si="61"/>
        <v>79</v>
      </c>
    </row>
    <row r="480" spans="1:13">
      <c r="A480" s="27">
        <v>46076</v>
      </c>
      <c r="B480" s="76" t="s">
        <v>33</v>
      </c>
      <c r="C480" s="76"/>
      <c r="D480" s="76"/>
      <c r="E480" s="77"/>
      <c r="F480" s="74">
        <v>0</v>
      </c>
      <c r="G480" s="74">
        <v>24</v>
      </c>
      <c r="H480" s="74">
        <v>24</v>
      </c>
      <c r="I480" s="4">
        <v>80575</v>
      </c>
      <c r="J480" s="74">
        <v>0</v>
      </c>
      <c r="K480" s="74">
        <v>0</v>
      </c>
      <c r="L480" s="74">
        <f t="shared" si="60"/>
        <v>53078</v>
      </c>
      <c r="M480" s="74">
        <f t="shared" si="61"/>
        <v>79</v>
      </c>
    </row>
    <row r="481" spans="1:13">
      <c r="A481" s="27">
        <v>46077</v>
      </c>
      <c r="B481" s="76" t="s">
        <v>49</v>
      </c>
      <c r="C481" s="76"/>
      <c r="D481" s="76"/>
      <c r="E481" s="77"/>
      <c r="F481" s="74">
        <v>0</v>
      </c>
      <c r="G481" s="74">
        <v>1</v>
      </c>
      <c r="H481" s="74">
        <v>1</v>
      </c>
      <c r="I481" s="4">
        <v>80576</v>
      </c>
      <c r="J481" s="74">
        <v>0</v>
      </c>
      <c r="K481" s="74">
        <v>0</v>
      </c>
      <c r="L481" s="74">
        <f t="shared" si="60"/>
        <v>53078</v>
      </c>
      <c r="M481" s="74">
        <f t="shared" si="61"/>
        <v>79</v>
      </c>
    </row>
    <row r="482" spans="1:13">
      <c r="A482" s="27">
        <v>46077</v>
      </c>
      <c r="B482" s="76" t="s">
        <v>33</v>
      </c>
      <c r="C482" s="76"/>
      <c r="D482" s="76"/>
      <c r="E482" s="77"/>
      <c r="F482" s="74">
        <v>0</v>
      </c>
      <c r="G482" s="74">
        <v>10</v>
      </c>
      <c r="H482" s="74">
        <v>10</v>
      </c>
      <c r="I482" s="4">
        <v>80586</v>
      </c>
      <c r="J482" s="74">
        <v>0</v>
      </c>
      <c r="K482" s="74">
        <v>0</v>
      </c>
      <c r="L482" s="74">
        <f t="shared" si="60"/>
        <v>53078</v>
      </c>
      <c r="M482" s="74">
        <f t="shared" si="61"/>
        <v>79</v>
      </c>
    </row>
    <row r="483" spans="1:13">
      <c r="A483" s="27">
        <v>46078</v>
      </c>
      <c r="B483" s="1" t="s">
        <v>207</v>
      </c>
      <c r="C483" s="1" t="s">
        <v>138</v>
      </c>
      <c r="D483" s="1" t="s">
        <v>42</v>
      </c>
      <c r="E483" s="1" t="s">
        <v>50</v>
      </c>
      <c r="F483" s="74">
        <v>89</v>
      </c>
      <c r="G483" s="28">
        <v>93</v>
      </c>
      <c r="H483" s="74">
        <v>182</v>
      </c>
      <c r="I483" s="4">
        <v>80768</v>
      </c>
      <c r="J483" s="74">
        <v>178</v>
      </c>
      <c r="K483" s="74">
        <v>1</v>
      </c>
      <c r="L483" s="74">
        <f t="shared" si="60"/>
        <v>53256</v>
      </c>
      <c r="M483" s="74">
        <f t="shared" si="61"/>
        <v>80</v>
      </c>
    </row>
    <row r="484" spans="1:13">
      <c r="A484" s="27">
        <v>46078</v>
      </c>
      <c r="B484" s="1" t="s">
        <v>98</v>
      </c>
      <c r="C484" s="1" t="s">
        <v>93</v>
      </c>
      <c r="D484" s="1" t="s">
        <v>42</v>
      </c>
      <c r="E484" s="1" t="s">
        <v>50</v>
      </c>
      <c r="F484" s="74">
        <v>89</v>
      </c>
      <c r="G484" s="28">
        <v>93</v>
      </c>
      <c r="H484" s="74">
        <v>182</v>
      </c>
      <c r="I484" s="4">
        <v>80950</v>
      </c>
      <c r="J484" s="74">
        <v>178</v>
      </c>
      <c r="K484" s="74">
        <v>1</v>
      </c>
      <c r="L484" s="74">
        <f t="shared" si="60"/>
        <v>53434</v>
      </c>
      <c r="M484" s="74">
        <f t="shared" si="61"/>
        <v>81</v>
      </c>
    </row>
    <row r="485" spans="1:13">
      <c r="A485" s="27">
        <v>46078</v>
      </c>
      <c r="B485" s="1" t="s">
        <v>208</v>
      </c>
      <c r="C485" s="1" t="s">
        <v>69</v>
      </c>
      <c r="D485" s="1" t="s">
        <v>42</v>
      </c>
      <c r="E485" s="1" t="s">
        <v>50</v>
      </c>
      <c r="F485" s="74">
        <v>269</v>
      </c>
      <c r="G485" s="28">
        <v>282</v>
      </c>
      <c r="H485" s="74">
        <v>551</v>
      </c>
      <c r="I485" s="4">
        <v>81501</v>
      </c>
      <c r="J485" s="74">
        <v>538</v>
      </c>
      <c r="K485" s="74">
        <v>1</v>
      </c>
      <c r="L485" s="74">
        <f t="shared" si="60"/>
        <v>53972</v>
      </c>
      <c r="M485" s="74">
        <f t="shared" si="61"/>
        <v>82</v>
      </c>
    </row>
    <row r="486" spans="1:13">
      <c r="A486" s="27">
        <v>46078</v>
      </c>
      <c r="B486" s="1" t="s">
        <v>174</v>
      </c>
      <c r="C486" s="1" t="s">
        <v>175</v>
      </c>
      <c r="D486" s="1" t="s">
        <v>42</v>
      </c>
      <c r="E486" s="1" t="s">
        <v>50</v>
      </c>
      <c r="F486" s="74">
        <v>94</v>
      </c>
      <c r="G486" s="28">
        <v>99</v>
      </c>
      <c r="H486" s="74">
        <v>193</v>
      </c>
      <c r="I486" s="4">
        <v>81694</v>
      </c>
      <c r="J486" s="74">
        <v>188</v>
      </c>
      <c r="K486" s="74">
        <v>1</v>
      </c>
      <c r="L486" s="74">
        <f t="shared" si="60"/>
        <v>54160</v>
      </c>
      <c r="M486" s="74">
        <f t="shared" si="61"/>
        <v>83</v>
      </c>
    </row>
    <row r="487" spans="1:13">
      <c r="A487" s="27">
        <v>46078</v>
      </c>
      <c r="B487" s="1" t="s">
        <v>176</v>
      </c>
      <c r="C487" s="1" t="s">
        <v>177</v>
      </c>
      <c r="D487" s="1" t="s">
        <v>42</v>
      </c>
      <c r="E487" s="1" t="s">
        <v>50</v>
      </c>
      <c r="F487" s="74">
        <v>94</v>
      </c>
      <c r="G487" s="28">
        <v>99</v>
      </c>
      <c r="H487" s="74">
        <v>193</v>
      </c>
      <c r="I487" s="4">
        <v>81887</v>
      </c>
      <c r="J487" s="74">
        <v>188</v>
      </c>
      <c r="K487" s="74">
        <v>1</v>
      </c>
      <c r="L487" s="74">
        <f t="shared" si="60"/>
        <v>54348</v>
      </c>
      <c r="M487" s="74">
        <f t="shared" si="61"/>
        <v>84</v>
      </c>
    </row>
    <row r="488" spans="1:13">
      <c r="A488" s="27">
        <v>46078</v>
      </c>
      <c r="B488" s="1" t="s">
        <v>99</v>
      </c>
      <c r="C488" s="1" t="s">
        <v>100</v>
      </c>
      <c r="D488" s="1" t="s">
        <v>42</v>
      </c>
      <c r="E488" s="1" t="s">
        <v>50</v>
      </c>
      <c r="F488" s="74">
        <v>492</v>
      </c>
      <c r="G488" s="28">
        <v>517</v>
      </c>
      <c r="H488" s="4">
        <v>1009</v>
      </c>
      <c r="I488" s="4">
        <v>82896</v>
      </c>
      <c r="J488" s="74">
        <v>984</v>
      </c>
      <c r="K488" s="74">
        <v>1</v>
      </c>
      <c r="L488" s="74">
        <f t="shared" si="60"/>
        <v>55332</v>
      </c>
      <c r="M488" s="74">
        <f t="shared" si="61"/>
        <v>85</v>
      </c>
    </row>
    <row r="489" spans="1:13">
      <c r="A489" s="27">
        <v>46078</v>
      </c>
      <c r="B489" s="1" t="s">
        <v>178</v>
      </c>
      <c r="C489" s="1" t="s">
        <v>13</v>
      </c>
      <c r="D489" s="1" t="s">
        <v>42</v>
      </c>
      <c r="E489" s="1" t="s">
        <v>50</v>
      </c>
      <c r="F489" s="74">
        <v>284</v>
      </c>
      <c r="G489" s="28">
        <v>298</v>
      </c>
      <c r="H489" s="74">
        <v>582</v>
      </c>
      <c r="I489" s="4">
        <v>83478</v>
      </c>
      <c r="J489" s="74">
        <v>568</v>
      </c>
      <c r="K489" s="74">
        <v>1</v>
      </c>
      <c r="L489" s="74">
        <f t="shared" si="60"/>
        <v>55900</v>
      </c>
      <c r="M489" s="74">
        <f t="shared" si="61"/>
        <v>86</v>
      </c>
    </row>
    <row r="490" spans="1:13">
      <c r="A490" s="27">
        <v>46078</v>
      </c>
      <c r="B490" s="76" t="s">
        <v>33</v>
      </c>
      <c r="C490" s="76"/>
      <c r="D490" s="76"/>
      <c r="E490" s="77"/>
      <c r="F490" s="74">
        <v>0</v>
      </c>
      <c r="G490" s="74">
        <v>13</v>
      </c>
      <c r="H490" s="74">
        <v>13</v>
      </c>
      <c r="I490" s="4">
        <v>83491</v>
      </c>
      <c r="J490" s="74">
        <v>0</v>
      </c>
      <c r="K490" s="74">
        <v>0</v>
      </c>
      <c r="L490" s="74">
        <f t="shared" si="60"/>
        <v>55900</v>
      </c>
      <c r="M490" s="74">
        <f t="shared" si="61"/>
        <v>86</v>
      </c>
    </row>
    <row r="491" spans="1:13">
      <c r="A491" s="27">
        <v>46079</v>
      </c>
      <c r="B491" s="76" t="s">
        <v>33</v>
      </c>
      <c r="C491" s="76"/>
      <c r="D491" s="76"/>
      <c r="E491" s="77"/>
      <c r="F491" s="74">
        <v>0</v>
      </c>
      <c r="G491" s="74">
        <v>29</v>
      </c>
      <c r="H491" s="74">
        <v>29</v>
      </c>
      <c r="I491" s="4">
        <v>83520</v>
      </c>
      <c r="J491" s="74">
        <v>0</v>
      </c>
      <c r="K491" s="74">
        <v>0</v>
      </c>
      <c r="L491" s="74">
        <f t="shared" si="60"/>
        <v>55900</v>
      </c>
      <c r="M491" s="74">
        <f t="shared" si="61"/>
        <v>86</v>
      </c>
    </row>
    <row r="492" spans="1:13">
      <c r="A492" s="27">
        <v>46080</v>
      </c>
      <c r="B492" s="76" t="s">
        <v>33</v>
      </c>
      <c r="C492" s="76"/>
      <c r="D492" s="76"/>
      <c r="E492" s="77"/>
      <c r="F492" s="74">
        <v>0</v>
      </c>
      <c r="G492" s="74">
        <v>9</v>
      </c>
      <c r="H492" s="74">
        <v>9</v>
      </c>
      <c r="I492" s="4">
        <v>83529</v>
      </c>
      <c r="J492" s="74">
        <v>0</v>
      </c>
      <c r="K492" s="74">
        <v>0</v>
      </c>
      <c r="L492" s="74">
        <f t="shared" si="60"/>
        <v>55900</v>
      </c>
      <c r="M492" s="74">
        <f t="shared" si="61"/>
        <v>86</v>
      </c>
    </row>
    <row r="493" spans="1:13">
      <c r="A493" s="27">
        <v>46080</v>
      </c>
      <c r="B493" s="76" t="s">
        <v>202</v>
      </c>
      <c r="C493" s="76"/>
      <c r="D493" s="76"/>
      <c r="E493" s="77"/>
      <c r="F493" s="4">
        <v>-18000</v>
      </c>
      <c r="G493" s="74">
        <v>0</v>
      </c>
      <c r="H493" s="4">
        <v>-18000</v>
      </c>
      <c r="I493" s="4">
        <v>65529</v>
      </c>
      <c r="J493" s="74">
        <v>0</v>
      </c>
      <c r="K493" s="74">
        <v>0</v>
      </c>
      <c r="L493" s="74">
        <f t="shared" si="60"/>
        <v>55900</v>
      </c>
      <c r="M493" s="74">
        <f t="shared" si="61"/>
        <v>86</v>
      </c>
    </row>
    <row r="494" spans="1:13">
      <c r="A494" s="27">
        <v>46080</v>
      </c>
      <c r="B494" s="76" t="s">
        <v>202</v>
      </c>
      <c r="C494" s="76"/>
      <c r="D494" s="76"/>
      <c r="E494" s="77"/>
      <c r="F494" s="4">
        <v>-18000</v>
      </c>
      <c r="G494" s="74">
        <v>0</v>
      </c>
      <c r="H494" s="4">
        <v>-18000</v>
      </c>
      <c r="I494" s="4">
        <v>47529</v>
      </c>
      <c r="J494" s="74">
        <v>0</v>
      </c>
      <c r="K494" s="74">
        <v>0</v>
      </c>
      <c r="L494" s="74">
        <f t="shared" si="60"/>
        <v>55900</v>
      </c>
      <c r="M494" s="74">
        <f t="shared" si="61"/>
        <v>86</v>
      </c>
    </row>
    <row r="495" spans="1:13">
      <c r="A495" s="27">
        <v>46080</v>
      </c>
      <c r="B495" s="76" t="s">
        <v>202</v>
      </c>
      <c r="C495" s="76"/>
      <c r="D495" s="76"/>
      <c r="E495" s="77"/>
      <c r="F495" s="4">
        <v>-18000</v>
      </c>
      <c r="G495" s="74">
        <v>0</v>
      </c>
      <c r="H495" s="4">
        <v>-18000</v>
      </c>
      <c r="I495" s="4">
        <v>29529</v>
      </c>
      <c r="J495" s="74">
        <v>0</v>
      </c>
      <c r="K495" s="74">
        <v>0</v>
      </c>
      <c r="L495" s="74">
        <f t="shared" si="60"/>
        <v>55900</v>
      </c>
      <c r="M495" s="74">
        <f t="shared" si="61"/>
        <v>86</v>
      </c>
    </row>
    <row r="496" spans="1:13">
      <c r="A496" s="27">
        <v>46081</v>
      </c>
      <c r="B496" s="1" t="s">
        <v>54</v>
      </c>
      <c r="C496" s="1" t="s">
        <v>55</v>
      </c>
      <c r="D496" s="1" t="s">
        <v>42</v>
      </c>
      <c r="E496" s="1" t="s">
        <v>50</v>
      </c>
      <c r="F496" s="74">
        <v>106</v>
      </c>
      <c r="G496" s="28">
        <v>111</v>
      </c>
      <c r="H496" s="74">
        <v>217</v>
      </c>
      <c r="I496" s="4">
        <v>29746</v>
      </c>
      <c r="J496" s="74">
        <v>212</v>
      </c>
      <c r="K496" s="74">
        <v>1</v>
      </c>
      <c r="L496" s="74">
        <f t="shared" ref="L496:L504" si="62">J496+L495</f>
        <v>56112</v>
      </c>
      <c r="M496" s="74">
        <f t="shared" ref="M496:M504" si="63">K496+M495</f>
        <v>87</v>
      </c>
    </row>
    <row r="497" spans="1:13">
      <c r="A497" s="27">
        <v>46081</v>
      </c>
      <c r="B497" s="1" t="s">
        <v>209</v>
      </c>
      <c r="C497" s="1" t="s">
        <v>53</v>
      </c>
      <c r="D497" s="1" t="s">
        <v>42</v>
      </c>
      <c r="E497" s="1" t="s">
        <v>50</v>
      </c>
      <c r="F497" s="74">
        <v>106</v>
      </c>
      <c r="G497" s="28">
        <v>111</v>
      </c>
      <c r="H497" s="74">
        <v>217</v>
      </c>
      <c r="I497" s="4">
        <v>29963</v>
      </c>
      <c r="J497" s="74">
        <v>212</v>
      </c>
      <c r="K497" s="74">
        <v>1</v>
      </c>
      <c r="L497" s="74">
        <f t="shared" si="62"/>
        <v>56324</v>
      </c>
      <c r="M497" s="74">
        <f t="shared" si="63"/>
        <v>88</v>
      </c>
    </row>
    <row r="498" spans="1:13">
      <c r="A498" s="27">
        <v>46081</v>
      </c>
      <c r="B498" s="76" t="s">
        <v>49</v>
      </c>
      <c r="C498" s="76"/>
      <c r="D498" s="76"/>
      <c r="E498" s="77"/>
      <c r="F498" s="74">
        <v>0</v>
      </c>
      <c r="G498" s="74">
        <v>1</v>
      </c>
      <c r="H498" s="74">
        <v>1</v>
      </c>
      <c r="I498" s="4">
        <v>29964</v>
      </c>
      <c r="J498" s="74">
        <v>0</v>
      </c>
      <c r="K498" s="74">
        <v>0</v>
      </c>
      <c r="L498" s="74">
        <f t="shared" si="62"/>
        <v>56324</v>
      </c>
      <c r="M498" s="74">
        <f t="shared" si="63"/>
        <v>88</v>
      </c>
    </row>
    <row r="499" spans="1:13">
      <c r="A499" s="27">
        <v>46081</v>
      </c>
      <c r="B499" s="76" t="s">
        <v>167</v>
      </c>
      <c r="C499" s="76"/>
      <c r="D499" s="76"/>
      <c r="E499" s="77"/>
      <c r="F499" s="74">
        <v>0</v>
      </c>
      <c r="G499" s="74">
        <v>68</v>
      </c>
      <c r="H499" s="74">
        <v>68</v>
      </c>
      <c r="I499" s="4">
        <v>30032</v>
      </c>
      <c r="J499" s="74">
        <v>0</v>
      </c>
      <c r="K499" s="74">
        <v>0</v>
      </c>
      <c r="L499" s="74">
        <f t="shared" si="62"/>
        <v>56324</v>
      </c>
      <c r="M499" s="74">
        <f t="shared" si="63"/>
        <v>88</v>
      </c>
    </row>
    <row r="500" spans="1:13">
      <c r="A500" s="27">
        <v>46081</v>
      </c>
      <c r="B500" s="76" t="s">
        <v>168</v>
      </c>
      <c r="C500" s="76"/>
      <c r="D500" s="76"/>
      <c r="E500" s="77"/>
      <c r="F500" s="74">
        <v>0</v>
      </c>
      <c r="G500" s="74">
        <v>5</v>
      </c>
      <c r="H500" s="74">
        <v>5</v>
      </c>
      <c r="I500" s="4">
        <v>30037</v>
      </c>
      <c r="J500" s="74">
        <v>0</v>
      </c>
      <c r="K500" s="74">
        <v>0</v>
      </c>
      <c r="L500" s="74">
        <f t="shared" si="62"/>
        <v>56324</v>
      </c>
      <c r="M500" s="74">
        <f t="shared" si="63"/>
        <v>88</v>
      </c>
    </row>
    <row r="501" spans="1:13">
      <c r="A501" s="27">
        <v>46081</v>
      </c>
      <c r="B501" s="76" t="s">
        <v>169</v>
      </c>
      <c r="C501" s="76"/>
      <c r="D501" s="76"/>
      <c r="E501" s="77"/>
      <c r="F501" s="74">
        <v>0</v>
      </c>
      <c r="G501" s="74">
        <v>21</v>
      </c>
      <c r="H501" s="74">
        <v>21</v>
      </c>
      <c r="I501" s="4">
        <v>30058</v>
      </c>
      <c r="J501" s="74">
        <v>0</v>
      </c>
      <c r="K501" s="74">
        <v>0</v>
      </c>
      <c r="L501" s="74">
        <f t="shared" si="62"/>
        <v>56324</v>
      </c>
      <c r="M501" s="74">
        <f t="shared" si="63"/>
        <v>88</v>
      </c>
    </row>
    <row r="502" spans="1:13">
      <c r="A502" s="29">
        <v>46081</v>
      </c>
      <c r="B502" s="78" t="s">
        <v>33</v>
      </c>
      <c r="C502" s="78"/>
      <c r="D502" s="78"/>
      <c r="E502" s="79"/>
      <c r="F502" s="75">
        <v>0</v>
      </c>
      <c r="G502" s="75">
        <v>8</v>
      </c>
      <c r="H502" s="75">
        <v>8</v>
      </c>
      <c r="I502" s="30">
        <v>30066</v>
      </c>
      <c r="J502" s="75">
        <v>0</v>
      </c>
      <c r="K502" s="75">
        <v>0</v>
      </c>
      <c r="L502" s="74">
        <f t="shared" si="62"/>
        <v>56324</v>
      </c>
      <c r="M502" s="74">
        <f t="shared" si="63"/>
        <v>88</v>
      </c>
    </row>
    <row r="503" spans="1:13">
      <c r="A503" s="27">
        <v>46082</v>
      </c>
      <c r="B503" s="76" t="s">
        <v>33</v>
      </c>
      <c r="C503" s="76"/>
      <c r="D503" s="76"/>
      <c r="E503" s="77"/>
      <c r="F503" s="74">
        <v>0</v>
      </c>
      <c r="G503" s="74">
        <v>39</v>
      </c>
      <c r="H503" s="74">
        <v>39</v>
      </c>
      <c r="I503" s="4">
        <v>30105</v>
      </c>
      <c r="J503" s="74">
        <v>0</v>
      </c>
      <c r="K503" s="74">
        <v>0</v>
      </c>
      <c r="L503" s="74">
        <f t="shared" si="62"/>
        <v>56324</v>
      </c>
      <c r="M503" s="74">
        <f t="shared" si="63"/>
        <v>88</v>
      </c>
    </row>
    <row r="504" spans="1:13">
      <c r="A504" s="27">
        <v>46083</v>
      </c>
      <c r="B504" s="76" t="s">
        <v>33</v>
      </c>
      <c r="C504" s="76"/>
      <c r="D504" s="76"/>
      <c r="E504" s="77"/>
      <c r="F504" s="74">
        <v>0</v>
      </c>
      <c r="G504" s="74">
        <v>11</v>
      </c>
      <c r="H504" s="74">
        <v>11</v>
      </c>
      <c r="I504" s="4">
        <v>30116</v>
      </c>
      <c r="J504" s="74">
        <v>0</v>
      </c>
      <c r="K504" s="74">
        <v>0</v>
      </c>
      <c r="L504" s="74">
        <f t="shared" si="62"/>
        <v>56324</v>
      </c>
      <c r="M504" s="74">
        <f t="shared" si="63"/>
        <v>88</v>
      </c>
    </row>
    <row r="505" spans="1:13">
      <c r="A505" s="27">
        <v>46084</v>
      </c>
      <c r="B505" s="76" t="s">
        <v>163</v>
      </c>
      <c r="C505" s="76"/>
      <c r="D505" s="76"/>
      <c r="E505" s="77"/>
      <c r="F505" s="74">
        <v>0</v>
      </c>
      <c r="G505" s="74">
        <v>10</v>
      </c>
      <c r="H505" s="74">
        <v>10</v>
      </c>
      <c r="I505" s="4">
        <v>30126</v>
      </c>
      <c r="J505" s="74">
        <v>0</v>
      </c>
      <c r="K505" s="74">
        <v>0</v>
      </c>
      <c r="L505" s="74">
        <f t="shared" ref="L505:L506" si="64">J505+L504</f>
        <v>56324</v>
      </c>
      <c r="M505" s="74">
        <f t="shared" ref="M505:M506" si="65">K505+M504</f>
        <v>88</v>
      </c>
    </row>
    <row r="506" spans="1:13">
      <c r="A506" s="27">
        <v>46084</v>
      </c>
      <c r="B506" s="76" t="s">
        <v>33</v>
      </c>
      <c r="C506" s="76"/>
      <c r="D506" s="76"/>
      <c r="E506" s="77"/>
      <c r="F506" s="74">
        <v>0</v>
      </c>
      <c r="G506" s="74">
        <v>9</v>
      </c>
      <c r="H506" s="74">
        <v>9</v>
      </c>
      <c r="I506" s="4">
        <v>30135</v>
      </c>
      <c r="J506" s="74">
        <v>0</v>
      </c>
      <c r="K506" s="74">
        <v>0</v>
      </c>
      <c r="L506" s="74">
        <f t="shared" ref="L506:L523" si="66">J506+L505</f>
        <v>56324</v>
      </c>
      <c r="M506" s="74">
        <f t="shared" ref="M506:M523" si="67">K506+M505</f>
        <v>88</v>
      </c>
    </row>
    <row r="507" spans="1:13">
      <c r="A507" s="27">
        <v>46085</v>
      </c>
      <c r="B507" s="76" t="s">
        <v>33</v>
      </c>
      <c r="C507" s="76"/>
      <c r="D507" s="76"/>
      <c r="E507" s="77"/>
      <c r="F507" s="74">
        <v>0</v>
      </c>
      <c r="G507" s="74">
        <v>9</v>
      </c>
      <c r="H507" s="74">
        <v>9</v>
      </c>
      <c r="I507" s="4">
        <v>30144</v>
      </c>
      <c r="J507" s="74">
        <v>0</v>
      </c>
      <c r="K507" s="74">
        <v>0</v>
      </c>
      <c r="L507" s="74">
        <f t="shared" si="66"/>
        <v>56324</v>
      </c>
      <c r="M507" s="74">
        <f t="shared" si="67"/>
        <v>88</v>
      </c>
    </row>
    <row r="508" spans="1:13">
      <c r="A508" s="27">
        <v>46086</v>
      </c>
      <c r="B508" s="76" t="s">
        <v>49</v>
      </c>
      <c r="C508" s="76"/>
      <c r="D508" s="76"/>
      <c r="E508" s="77"/>
      <c r="F508" s="74">
        <v>0</v>
      </c>
      <c r="G508" s="74">
        <v>3</v>
      </c>
      <c r="H508" s="74">
        <v>3</v>
      </c>
      <c r="I508" s="4">
        <v>30147</v>
      </c>
      <c r="J508" s="74">
        <v>0</v>
      </c>
      <c r="K508" s="74">
        <v>0</v>
      </c>
      <c r="L508" s="74">
        <f t="shared" si="66"/>
        <v>56324</v>
      </c>
      <c r="M508" s="74">
        <f t="shared" si="67"/>
        <v>88</v>
      </c>
    </row>
    <row r="509" spans="1:13">
      <c r="A509" s="27">
        <v>46086</v>
      </c>
      <c r="B509" s="76" t="s">
        <v>33</v>
      </c>
      <c r="C509" s="76"/>
      <c r="D509" s="76"/>
      <c r="E509" s="77"/>
      <c r="F509" s="74">
        <v>0</v>
      </c>
      <c r="G509" s="74">
        <v>10</v>
      </c>
      <c r="H509" s="74">
        <v>10</v>
      </c>
      <c r="I509" s="4">
        <v>30157</v>
      </c>
      <c r="J509" s="74">
        <v>0</v>
      </c>
      <c r="K509" s="74">
        <v>0</v>
      </c>
      <c r="L509" s="74">
        <f t="shared" si="66"/>
        <v>56324</v>
      </c>
      <c r="M509" s="74">
        <f t="shared" si="67"/>
        <v>88</v>
      </c>
    </row>
    <row r="510" spans="1:13">
      <c r="A510" s="27">
        <v>46087</v>
      </c>
      <c r="B510" s="76" t="s">
        <v>33</v>
      </c>
      <c r="C510" s="76"/>
      <c r="D510" s="76"/>
      <c r="E510" s="77"/>
      <c r="F510" s="74">
        <v>0</v>
      </c>
      <c r="G510" s="74">
        <v>18</v>
      </c>
      <c r="H510" s="74">
        <v>18</v>
      </c>
      <c r="I510" s="4">
        <v>30175</v>
      </c>
      <c r="J510" s="74">
        <v>0</v>
      </c>
      <c r="K510" s="74">
        <v>0</v>
      </c>
      <c r="L510" s="74">
        <f t="shared" si="66"/>
        <v>56324</v>
      </c>
      <c r="M510" s="74">
        <f t="shared" si="67"/>
        <v>88</v>
      </c>
    </row>
    <row r="511" spans="1:13">
      <c r="A511" s="27">
        <v>46088</v>
      </c>
      <c r="B511" s="76" t="s">
        <v>49</v>
      </c>
      <c r="C511" s="76"/>
      <c r="D511" s="76"/>
      <c r="E511" s="77"/>
      <c r="F511" s="74">
        <v>0</v>
      </c>
      <c r="G511" s="74">
        <v>2</v>
      </c>
      <c r="H511" s="74">
        <v>2</v>
      </c>
      <c r="I511" s="4">
        <v>30177</v>
      </c>
      <c r="J511" s="74">
        <v>0</v>
      </c>
      <c r="K511" s="74">
        <v>0</v>
      </c>
      <c r="L511" s="74">
        <f t="shared" si="66"/>
        <v>56324</v>
      </c>
      <c r="M511" s="74">
        <f t="shared" si="67"/>
        <v>88</v>
      </c>
    </row>
    <row r="512" spans="1:13">
      <c r="A512" s="27">
        <v>46088</v>
      </c>
      <c r="B512" s="76" t="s">
        <v>33</v>
      </c>
      <c r="C512" s="76"/>
      <c r="D512" s="76"/>
      <c r="E512" s="77"/>
      <c r="F512" s="74">
        <v>0</v>
      </c>
      <c r="G512" s="74">
        <v>10</v>
      </c>
      <c r="H512" s="74">
        <v>10</v>
      </c>
      <c r="I512" s="4">
        <v>30187</v>
      </c>
      <c r="J512" s="74">
        <v>0</v>
      </c>
      <c r="K512" s="74">
        <v>0</v>
      </c>
      <c r="L512" s="74">
        <f t="shared" si="66"/>
        <v>56324</v>
      </c>
      <c r="M512" s="74">
        <f t="shared" si="67"/>
        <v>88</v>
      </c>
    </row>
    <row r="513" spans="1:13">
      <c r="A513" s="27">
        <v>46089</v>
      </c>
      <c r="B513" s="76" t="s">
        <v>33</v>
      </c>
      <c r="C513" s="76"/>
      <c r="D513" s="76"/>
      <c r="E513" s="77"/>
      <c r="F513" s="74">
        <v>0</v>
      </c>
      <c r="G513" s="74">
        <v>24</v>
      </c>
      <c r="H513" s="74">
        <v>24</v>
      </c>
      <c r="I513" s="4">
        <v>30211</v>
      </c>
      <c r="J513" s="74">
        <v>0</v>
      </c>
      <c r="K513" s="74">
        <v>0</v>
      </c>
      <c r="L513" s="74">
        <f t="shared" si="66"/>
        <v>56324</v>
      </c>
      <c r="M513" s="74">
        <f t="shared" si="67"/>
        <v>88</v>
      </c>
    </row>
    <row r="514" spans="1:13">
      <c r="A514" s="27">
        <v>46090</v>
      </c>
      <c r="B514" s="76" t="s">
        <v>33</v>
      </c>
      <c r="C514" s="76"/>
      <c r="D514" s="76"/>
      <c r="E514" s="77"/>
      <c r="F514" s="74">
        <v>0</v>
      </c>
      <c r="G514" s="74">
        <v>10</v>
      </c>
      <c r="H514" s="74">
        <v>10</v>
      </c>
      <c r="I514" s="4">
        <v>30221</v>
      </c>
      <c r="J514" s="74">
        <v>0</v>
      </c>
      <c r="K514" s="74">
        <v>0</v>
      </c>
      <c r="L514" s="74">
        <f t="shared" si="66"/>
        <v>56324</v>
      </c>
      <c r="M514" s="74">
        <f t="shared" si="67"/>
        <v>88</v>
      </c>
    </row>
    <row r="515" spans="1:13">
      <c r="A515" s="27">
        <v>46091</v>
      </c>
      <c r="B515" s="76" t="s">
        <v>65</v>
      </c>
      <c r="C515" s="76"/>
      <c r="D515" s="76"/>
      <c r="E515" s="77"/>
      <c r="F515" s="4">
        <v>4315</v>
      </c>
      <c r="G515" s="74">
        <v>0</v>
      </c>
      <c r="H515" s="4">
        <v>4315</v>
      </c>
      <c r="I515" s="4">
        <v>34536</v>
      </c>
      <c r="J515" s="74">
        <v>0</v>
      </c>
      <c r="K515" s="74">
        <v>0</v>
      </c>
      <c r="L515" s="74">
        <f t="shared" si="66"/>
        <v>56324</v>
      </c>
      <c r="M515" s="74">
        <f t="shared" si="67"/>
        <v>88</v>
      </c>
    </row>
    <row r="516" spans="1:13">
      <c r="A516" s="27">
        <v>46091</v>
      </c>
      <c r="B516" s="1" t="s">
        <v>80</v>
      </c>
      <c r="C516" s="1" t="s">
        <v>81</v>
      </c>
      <c r="D516" s="1" t="s">
        <v>42</v>
      </c>
      <c r="E516" s="1" t="s">
        <v>50</v>
      </c>
      <c r="F516" s="74">
        <v>20</v>
      </c>
      <c r="G516" s="28">
        <v>21</v>
      </c>
      <c r="H516" s="74">
        <v>41</v>
      </c>
      <c r="I516" s="4">
        <v>34577</v>
      </c>
      <c r="J516" s="74">
        <v>40</v>
      </c>
      <c r="K516" s="74">
        <v>1</v>
      </c>
      <c r="L516" s="74">
        <f t="shared" si="66"/>
        <v>56364</v>
      </c>
      <c r="M516" s="74">
        <f t="shared" si="67"/>
        <v>89</v>
      </c>
    </row>
    <row r="517" spans="1:13">
      <c r="A517" s="27">
        <v>46091</v>
      </c>
      <c r="B517" s="1" t="s">
        <v>82</v>
      </c>
      <c r="C517" s="1" t="s">
        <v>83</v>
      </c>
      <c r="D517" s="1" t="s">
        <v>42</v>
      </c>
      <c r="E517" s="1" t="s">
        <v>50</v>
      </c>
      <c r="F517" s="74">
        <v>20</v>
      </c>
      <c r="G517" s="28">
        <v>21</v>
      </c>
      <c r="H517" s="74">
        <v>41</v>
      </c>
      <c r="I517" s="4">
        <v>34618</v>
      </c>
      <c r="J517" s="74">
        <v>40</v>
      </c>
      <c r="K517" s="74">
        <v>1</v>
      </c>
      <c r="L517" s="74">
        <f t="shared" si="66"/>
        <v>56404</v>
      </c>
      <c r="M517" s="74">
        <f t="shared" si="67"/>
        <v>90</v>
      </c>
    </row>
    <row r="518" spans="1:13">
      <c r="A518" s="27">
        <v>46091</v>
      </c>
      <c r="B518" s="1" t="s">
        <v>203</v>
      </c>
      <c r="C518" s="1" t="s">
        <v>204</v>
      </c>
      <c r="D518" s="1" t="s">
        <v>42</v>
      </c>
      <c r="E518" s="1" t="s">
        <v>50</v>
      </c>
      <c r="F518" s="74">
        <v>36</v>
      </c>
      <c r="G518" s="28">
        <v>38</v>
      </c>
      <c r="H518" s="74">
        <v>74</v>
      </c>
      <c r="I518" s="4">
        <v>34692</v>
      </c>
      <c r="J518" s="74">
        <v>72</v>
      </c>
      <c r="K518" s="74">
        <v>1</v>
      </c>
      <c r="L518" s="74">
        <f t="shared" si="66"/>
        <v>56476</v>
      </c>
      <c r="M518" s="74">
        <f t="shared" si="67"/>
        <v>91</v>
      </c>
    </row>
    <row r="519" spans="1:13">
      <c r="A519" s="27">
        <v>46091</v>
      </c>
      <c r="B519" s="1" t="s">
        <v>84</v>
      </c>
      <c r="C519" s="1" t="s">
        <v>85</v>
      </c>
      <c r="D519" s="1" t="s">
        <v>42</v>
      </c>
      <c r="E519" s="1" t="s">
        <v>50</v>
      </c>
      <c r="F519" s="74">
        <v>54</v>
      </c>
      <c r="G519" s="28">
        <v>107</v>
      </c>
      <c r="H519" s="74">
        <v>161</v>
      </c>
      <c r="I519" s="4">
        <v>34853</v>
      </c>
      <c r="J519" s="74">
        <v>308</v>
      </c>
      <c r="K519" s="74">
        <v>1</v>
      </c>
      <c r="L519" s="74">
        <f t="shared" si="66"/>
        <v>56784</v>
      </c>
      <c r="M519" s="74">
        <f t="shared" si="67"/>
        <v>92</v>
      </c>
    </row>
    <row r="520" spans="1:13">
      <c r="A520" s="27">
        <v>46091</v>
      </c>
      <c r="B520" s="1" t="s">
        <v>86</v>
      </c>
      <c r="C520" s="1" t="s">
        <v>87</v>
      </c>
      <c r="D520" s="1" t="s">
        <v>42</v>
      </c>
      <c r="E520" s="1" t="s">
        <v>50</v>
      </c>
      <c r="F520" s="74">
        <v>40</v>
      </c>
      <c r="G520" s="28">
        <v>42</v>
      </c>
      <c r="H520" s="74">
        <v>82</v>
      </c>
      <c r="I520" s="4">
        <v>34935</v>
      </c>
      <c r="J520" s="74">
        <v>80</v>
      </c>
      <c r="K520" s="74">
        <v>1</v>
      </c>
      <c r="L520" s="74">
        <f t="shared" si="66"/>
        <v>56864</v>
      </c>
      <c r="M520" s="74">
        <f t="shared" si="67"/>
        <v>93</v>
      </c>
    </row>
    <row r="521" spans="1:13">
      <c r="A521" s="27">
        <v>46091</v>
      </c>
      <c r="B521" s="1" t="s">
        <v>88</v>
      </c>
      <c r="C521" s="1" t="s">
        <v>89</v>
      </c>
      <c r="D521" s="1" t="s">
        <v>42</v>
      </c>
      <c r="E521" s="1" t="s">
        <v>50</v>
      </c>
      <c r="F521" s="74">
        <v>40</v>
      </c>
      <c r="G521" s="28">
        <v>42</v>
      </c>
      <c r="H521" s="74">
        <v>82</v>
      </c>
      <c r="I521" s="4">
        <v>35017</v>
      </c>
      <c r="J521" s="74">
        <v>80</v>
      </c>
      <c r="K521" s="74">
        <v>1</v>
      </c>
      <c r="L521" s="74">
        <f t="shared" si="66"/>
        <v>56944</v>
      </c>
      <c r="M521" s="74">
        <f t="shared" si="67"/>
        <v>94</v>
      </c>
    </row>
    <row r="522" spans="1:13">
      <c r="A522" s="27">
        <v>46091</v>
      </c>
      <c r="B522" s="1" t="s">
        <v>210</v>
      </c>
      <c r="C522" s="1" t="s">
        <v>136</v>
      </c>
      <c r="D522" s="1" t="s">
        <v>42</v>
      </c>
      <c r="E522" s="1" t="s">
        <v>50</v>
      </c>
      <c r="F522" s="74">
        <v>124</v>
      </c>
      <c r="G522" s="28">
        <v>130</v>
      </c>
      <c r="H522" s="74">
        <v>254</v>
      </c>
      <c r="I522" s="4">
        <v>35271</v>
      </c>
      <c r="J522" s="74">
        <v>248</v>
      </c>
      <c r="K522" s="74">
        <v>1</v>
      </c>
      <c r="L522" s="74">
        <f t="shared" si="66"/>
        <v>57192</v>
      </c>
      <c r="M522" s="74">
        <f t="shared" si="67"/>
        <v>95</v>
      </c>
    </row>
    <row r="523" spans="1:13">
      <c r="A523" s="27">
        <v>46091</v>
      </c>
      <c r="B523" s="1" t="s">
        <v>90</v>
      </c>
      <c r="C523" s="1" t="s">
        <v>91</v>
      </c>
      <c r="D523" s="1" t="s">
        <v>42</v>
      </c>
      <c r="E523" s="1" t="s">
        <v>50</v>
      </c>
      <c r="F523" s="74">
        <v>124</v>
      </c>
      <c r="G523" s="28">
        <v>130</v>
      </c>
      <c r="H523" s="74">
        <v>254</v>
      </c>
      <c r="I523" s="4">
        <v>35525</v>
      </c>
      <c r="J523" s="74">
        <v>248</v>
      </c>
      <c r="K523" s="74">
        <v>1</v>
      </c>
      <c r="L523" s="74">
        <f t="shared" si="66"/>
        <v>57440</v>
      </c>
      <c r="M523" s="74">
        <f t="shared" si="67"/>
        <v>96</v>
      </c>
    </row>
    <row r="524" spans="1:13">
      <c r="A524" s="27">
        <v>46091</v>
      </c>
      <c r="B524" s="1" t="s">
        <v>162</v>
      </c>
      <c r="C524" s="1" t="s">
        <v>100</v>
      </c>
      <c r="D524" s="1" t="s">
        <v>42</v>
      </c>
      <c r="E524" s="1" t="s">
        <v>50</v>
      </c>
      <c r="F524" s="74">
        <v>492</v>
      </c>
      <c r="G524" s="28">
        <v>517</v>
      </c>
      <c r="H524" s="4">
        <v>1009</v>
      </c>
      <c r="I524" s="4">
        <v>36534</v>
      </c>
      <c r="J524" s="74">
        <v>984</v>
      </c>
      <c r="K524" s="74">
        <v>1</v>
      </c>
      <c r="L524" s="74">
        <f t="shared" ref="L524:L525" si="68">J524+L523</f>
        <v>58424</v>
      </c>
      <c r="M524" s="74">
        <f t="shared" ref="M524:M525" si="69">K524+M523</f>
        <v>97</v>
      </c>
    </row>
    <row r="525" spans="1:13">
      <c r="A525" s="27">
        <v>46091</v>
      </c>
      <c r="B525" s="1" t="s">
        <v>125</v>
      </c>
      <c r="C525" s="1" t="s">
        <v>11</v>
      </c>
      <c r="D525" s="1" t="s">
        <v>42</v>
      </c>
      <c r="E525" s="1" t="s">
        <v>50</v>
      </c>
      <c r="F525" s="74">
        <v>492</v>
      </c>
      <c r="G525" s="28">
        <v>517</v>
      </c>
      <c r="H525" s="4">
        <v>1009</v>
      </c>
      <c r="I525" s="4">
        <v>37543</v>
      </c>
      <c r="J525" s="74">
        <v>984</v>
      </c>
      <c r="K525" s="74">
        <v>1</v>
      </c>
      <c r="L525" s="74">
        <f t="shared" si="68"/>
        <v>59408</v>
      </c>
      <c r="M525" s="74">
        <f t="shared" si="69"/>
        <v>98</v>
      </c>
    </row>
    <row r="526" spans="1:13">
      <c r="A526" s="27">
        <v>46091</v>
      </c>
      <c r="B526" s="76" t="s">
        <v>33</v>
      </c>
      <c r="C526" s="76"/>
      <c r="D526" s="76"/>
      <c r="E526" s="77"/>
      <c r="F526" s="74">
        <v>0</v>
      </c>
      <c r="G526" s="74">
        <v>6</v>
      </c>
      <c r="H526" s="74">
        <v>6</v>
      </c>
      <c r="I526" s="4">
        <v>37549</v>
      </c>
      <c r="J526" s="74">
        <v>0</v>
      </c>
      <c r="K526" s="74">
        <v>0</v>
      </c>
      <c r="L526" s="74">
        <f t="shared" ref="L526:L532" si="70">J526+L525</f>
        <v>59408</v>
      </c>
      <c r="M526" s="74">
        <f t="shared" ref="M526:M532" si="71">K526+M525</f>
        <v>98</v>
      </c>
    </row>
    <row r="527" spans="1:13">
      <c r="A527" s="27">
        <v>46092</v>
      </c>
      <c r="B527" s="76" t="s">
        <v>49</v>
      </c>
      <c r="C527" s="76"/>
      <c r="D527" s="76"/>
      <c r="E527" s="77"/>
      <c r="F527" s="74">
        <v>0</v>
      </c>
      <c r="G527" s="74">
        <v>1</v>
      </c>
      <c r="H527" s="74">
        <v>1</v>
      </c>
      <c r="I527" s="4">
        <v>37550</v>
      </c>
      <c r="J527" s="74">
        <v>0</v>
      </c>
      <c r="K527" s="74">
        <v>0</v>
      </c>
      <c r="L527" s="74">
        <f t="shared" si="70"/>
        <v>59408</v>
      </c>
      <c r="M527" s="74">
        <f t="shared" si="71"/>
        <v>98</v>
      </c>
    </row>
    <row r="528" spans="1:13">
      <c r="A528" s="27">
        <v>46092</v>
      </c>
      <c r="B528" s="76" t="s">
        <v>33</v>
      </c>
      <c r="C528" s="76"/>
      <c r="D528" s="76"/>
      <c r="E528" s="77"/>
      <c r="F528" s="74">
        <v>0</v>
      </c>
      <c r="G528" s="74">
        <v>58</v>
      </c>
      <c r="H528" s="74">
        <v>58</v>
      </c>
      <c r="I528" s="4">
        <v>37608</v>
      </c>
      <c r="J528" s="74">
        <v>0</v>
      </c>
      <c r="K528" s="74">
        <v>0</v>
      </c>
      <c r="L528" s="74">
        <f t="shared" si="70"/>
        <v>59408</v>
      </c>
      <c r="M528" s="74">
        <f t="shared" si="71"/>
        <v>98</v>
      </c>
    </row>
    <row r="529" spans="1:13">
      <c r="A529" s="27">
        <v>46093</v>
      </c>
      <c r="B529" s="76" t="s">
        <v>33</v>
      </c>
      <c r="C529" s="76"/>
      <c r="D529" s="76"/>
      <c r="E529" s="77"/>
      <c r="F529" s="74">
        <v>0</v>
      </c>
      <c r="G529" s="74">
        <v>13</v>
      </c>
      <c r="H529" s="74">
        <v>13</v>
      </c>
      <c r="I529" s="4">
        <v>37621</v>
      </c>
      <c r="J529" s="74">
        <v>0</v>
      </c>
      <c r="K529" s="74">
        <v>0</v>
      </c>
      <c r="L529" s="74">
        <f t="shared" si="70"/>
        <v>59408</v>
      </c>
      <c r="M529" s="74">
        <f t="shared" si="71"/>
        <v>98</v>
      </c>
    </row>
    <row r="530" spans="1:13">
      <c r="A530" s="27">
        <v>46094</v>
      </c>
      <c r="B530" s="76" t="s">
        <v>33</v>
      </c>
      <c r="C530" s="76"/>
      <c r="D530" s="76"/>
      <c r="E530" s="77"/>
      <c r="F530" s="74">
        <v>0</v>
      </c>
      <c r="G530" s="74">
        <v>10</v>
      </c>
      <c r="H530" s="74">
        <v>10</v>
      </c>
      <c r="I530" s="4">
        <v>37631</v>
      </c>
      <c r="J530" s="74">
        <v>0</v>
      </c>
      <c r="K530" s="74">
        <v>0</v>
      </c>
      <c r="L530" s="74">
        <f t="shared" si="70"/>
        <v>59408</v>
      </c>
      <c r="M530" s="74">
        <f t="shared" si="71"/>
        <v>98</v>
      </c>
    </row>
    <row r="531" spans="1:13">
      <c r="A531" s="27">
        <v>46095</v>
      </c>
      <c r="B531" s="76" t="s">
        <v>33</v>
      </c>
      <c r="C531" s="76"/>
      <c r="D531" s="76"/>
      <c r="E531" s="77"/>
      <c r="F531" s="74">
        <v>0</v>
      </c>
      <c r="G531" s="74">
        <v>9</v>
      </c>
      <c r="H531" s="74">
        <v>9</v>
      </c>
      <c r="I531" s="4">
        <v>37640</v>
      </c>
      <c r="J531" s="74">
        <v>0</v>
      </c>
      <c r="K531" s="74">
        <v>0</v>
      </c>
      <c r="L531" s="74">
        <f t="shared" si="70"/>
        <v>59408</v>
      </c>
      <c r="M531" s="74">
        <f t="shared" si="71"/>
        <v>98</v>
      </c>
    </row>
    <row r="532" spans="1:13">
      <c r="A532" s="27">
        <v>46096</v>
      </c>
      <c r="B532" s="76" t="s">
        <v>49</v>
      </c>
      <c r="C532" s="76"/>
      <c r="D532" s="76"/>
      <c r="E532" s="77"/>
      <c r="F532" s="74">
        <v>0</v>
      </c>
      <c r="G532" s="74">
        <v>2</v>
      </c>
      <c r="H532" s="74">
        <v>2</v>
      </c>
      <c r="I532" s="4">
        <v>37642</v>
      </c>
      <c r="J532" s="74">
        <v>0</v>
      </c>
      <c r="K532" s="74">
        <v>0</v>
      </c>
      <c r="L532" s="74">
        <f t="shared" si="70"/>
        <v>59408</v>
      </c>
      <c r="M532" s="74">
        <f t="shared" si="71"/>
        <v>98</v>
      </c>
    </row>
    <row r="533" spans="1:13">
      <c r="A533" s="27">
        <v>46096</v>
      </c>
      <c r="B533" s="76" t="s">
        <v>33</v>
      </c>
      <c r="C533" s="76"/>
      <c r="D533" s="76"/>
      <c r="E533" s="77"/>
      <c r="F533" s="74">
        <v>0</v>
      </c>
      <c r="G533" s="74">
        <v>20</v>
      </c>
      <c r="H533" s="74">
        <v>20</v>
      </c>
      <c r="I533" s="4">
        <v>37662</v>
      </c>
      <c r="J533" s="74">
        <v>0</v>
      </c>
      <c r="K533" s="74">
        <v>0</v>
      </c>
      <c r="L533" s="74">
        <f t="shared" ref="L533:L547" si="72">J533+L532</f>
        <v>59408</v>
      </c>
      <c r="M533" s="74">
        <f t="shared" ref="M533:M547" si="73">K533+M532</f>
        <v>98</v>
      </c>
    </row>
    <row r="534" spans="1:13">
      <c r="A534" s="27">
        <v>46097</v>
      </c>
      <c r="B534" s="76" t="s">
        <v>33</v>
      </c>
      <c r="C534" s="76"/>
      <c r="D534" s="76"/>
      <c r="E534" s="77"/>
      <c r="F534" s="74">
        <v>0</v>
      </c>
      <c r="G534" s="74">
        <v>11</v>
      </c>
      <c r="H534" s="74">
        <v>11</v>
      </c>
      <c r="I534" s="4">
        <v>37673</v>
      </c>
      <c r="J534" s="74">
        <v>0</v>
      </c>
      <c r="K534" s="74">
        <v>0</v>
      </c>
      <c r="L534" s="74">
        <f t="shared" si="72"/>
        <v>59408</v>
      </c>
      <c r="M534" s="74">
        <f t="shared" si="73"/>
        <v>98</v>
      </c>
    </row>
    <row r="535" spans="1:13">
      <c r="A535" s="27">
        <v>46098</v>
      </c>
      <c r="B535" s="76" t="s">
        <v>33</v>
      </c>
      <c r="C535" s="76"/>
      <c r="D535" s="76"/>
      <c r="E535" s="77"/>
      <c r="F535" s="74">
        <v>0</v>
      </c>
      <c r="G535" s="74">
        <v>5</v>
      </c>
      <c r="H535" s="74">
        <v>5</v>
      </c>
      <c r="I535" s="4">
        <v>37678</v>
      </c>
      <c r="J535" s="74">
        <v>0</v>
      </c>
      <c r="K535" s="74">
        <v>0</v>
      </c>
      <c r="L535" s="74">
        <f t="shared" si="72"/>
        <v>59408</v>
      </c>
      <c r="M535" s="74">
        <f t="shared" si="73"/>
        <v>98</v>
      </c>
    </row>
    <row r="536" spans="1:13">
      <c r="A536" s="27">
        <v>46099</v>
      </c>
      <c r="B536" s="76" t="s">
        <v>33</v>
      </c>
      <c r="C536" s="76"/>
      <c r="D536" s="76"/>
      <c r="E536" s="77"/>
      <c r="F536" s="74">
        <v>0</v>
      </c>
      <c r="G536" s="74">
        <v>8</v>
      </c>
      <c r="H536" s="74">
        <v>8</v>
      </c>
      <c r="I536" s="4">
        <v>37686</v>
      </c>
      <c r="J536" s="74">
        <v>0</v>
      </c>
      <c r="K536" s="74">
        <v>0</v>
      </c>
      <c r="L536" s="74">
        <f t="shared" si="72"/>
        <v>59408</v>
      </c>
      <c r="M536" s="74">
        <f t="shared" si="73"/>
        <v>98</v>
      </c>
    </row>
    <row r="537" spans="1:13">
      <c r="A537" s="27">
        <v>46100</v>
      </c>
      <c r="B537" s="76" t="s">
        <v>33</v>
      </c>
      <c r="C537" s="76"/>
      <c r="D537" s="76"/>
      <c r="E537" s="77"/>
      <c r="F537" s="74">
        <v>0</v>
      </c>
      <c r="G537" s="74">
        <v>11</v>
      </c>
      <c r="H537" s="74">
        <v>11</v>
      </c>
      <c r="I537" s="4">
        <v>37697</v>
      </c>
      <c r="J537" s="74">
        <v>0</v>
      </c>
      <c r="K537" s="74">
        <v>0</v>
      </c>
      <c r="L537" s="74">
        <f t="shared" si="72"/>
        <v>59408</v>
      </c>
      <c r="M537" s="74">
        <f t="shared" si="73"/>
        <v>98</v>
      </c>
    </row>
    <row r="538" spans="1:13">
      <c r="A538" s="27">
        <v>46101</v>
      </c>
      <c r="B538" s="76" t="s">
        <v>49</v>
      </c>
      <c r="C538" s="76"/>
      <c r="D538" s="76"/>
      <c r="E538" s="77"/>
      <c r="F538" s="74">
        <v>0</v>
      </c>
      <c r="G538" s="74">
        <v>2</v>
      </c>
      <c r="H538" s="74">
        <v>2</v>
      </c>
      <c r="I538" s="4">
        <v>37699</v>
      </c>
      <c r="J538" s="74">
        <v>0</v>
      </c>
      <c r="K538" s="74">
        <v>0</v>
      </c>
      <c r="L538" s="74">
        <f t="shared" si="72"/>
        <v>59408</v>
      </c>
      <c r="M538" s="74">
        <f t="shared" si="73"/>
        <v>98</v>
      </c>
    </row>
    <row r="539" spans="1:13">
      <c r="A539" s="27">
        <v>46101</v>
      </c>
      <c r="B539" s="76" t="s">
        <v>33</v>
      </c>
      <c r="C539" s="76"/>
      <c r="D539" s="76"/>
      <c r="E539" s="77"/>
      <c r="F539" s="74">
        <v>0</v>
      </c>
      <c r="G539" s="74">
        <v>9</v>
      </c>
      <c r="H539" s="74">
        <v>9</v>
      </c>
      <c r="I539" s="4">
        <v>37708</v>
      </c>
      <c r="J539" s="74">
        <v>0</v>
      </c>
      <c r="K539" s="74">
        <v>0</v>
      </c>
      <c r="L539" s="74">
        <f t="shared" si="72"/>
        <v>59408</v>
      </c>
      <c r="M539" s="74">
        <f t="shared" si="73"/>
        <v>98</v>
      </c>
    </row>
    <row r="540" spans="1:13">
      <c r="A540" s="27">
        <v>46102</v>
      </c>
      <c r="B540" s="76" t="s">
        <v>33</v>
      </c>
      <c r="C540" s="76"/>
      <c r="D540" s="76"/>
      <c r="E540" s="77"/>
      <c r="F540" s="74">
        <v>0</v>
      </c>
      <c r="G540" s="74">
        <v>9</v>
      </c>
      <c r="H540" s="74">
        <v>9</v>
      </c>
      <c r="I540" s="4">
        <v>37717</v>
      </c>
      <c r="J540" s="74">
        <v>0</v>
      </c>
      <c r="K540" s="74">
        <v>0</v>
      </c>
      <c r="L540" s="74">
        <f t="shared" si="72"/>
        <v>59408</v>
      </c>
      <c r="M540" s="74">
        <f t="shared" si="73"/>
        <v>98</v>
      </c>
    </row>
    <row r="541" spans="1:13">
      <c r="A541" s="27">
        <v>46103</v>
      </c>
      <c r="B541" s="76" t="s">
        <v>33</v>
      </c>
      <c r="C541" s="76"/>
      <c r="D541" s="76"/>
      <c r="E541" s="77"/>
      <c r="F541" s="74">
        <v>0</v>
      </c>
      <c r="G541" s="74">
        <v>21</v>
      </c>
      <c r="H541" s="74">
        <v>21</v>
      </c>
      <c r="I541" s="4">
        <v>37738</v>
      </c>
      <c r="J541" s="74">
        <v>0</v>
      </c>
      <c r="K541" s="74">
        <v>0</v>
      </c>
      <c r="L541" s="74">
        <f t="shared" si="72"/>
        <v>59408</v>
      </c>
      <c r="M541" s="74">
        <f t="shared" si="73"/>
        <v>98</v>
      </c>
    </row>
    <row r="542" spans="1:13">
      <c r="A542" s="27">
        <v>46104</v>
      </c>
      <c r="B542" s="1" t="s">
        <v>211</v>
      </c>
      <c r="C542" s="1" t="s">
        <v>107</v>
      </c>
      <c r="D542" s="1" t="s">
        <v>42</v>
      </c>
      <c r="E542" s="1" t="s">
        <v>43</v>
      </c>
      <c r="F542" s="74">
        <v>308</v>
      </c>
      <c r="G542" s="28">
        <v>373</v>
      </c>
      <c r="H542" s="74">
        <v>681</v>
      </c>
      <c r="I542" s="4">
        <v>38419</v>
      </c>
      <c r="J542" s="4">
        <v>1016</v>
      </c>
      <c r="K542" s="74">
        <v>1</v>
      </c>
      <c r="L542" s="74">
        <f t="shared" si="72"/>
        <v>60424</v>
      </c>
      <c r="M542" s="74">
        <f t="shared" si="73"/>
        <v>99</v>
      </c>
    </row>
    <row r="543" spans="1:13">
      <c r="A543" s="27">
        <v>46104</v>
      </c>
      <c r="B543" s="76" t="s">
        <v>49</v>
      </c>
      <c r="C543" s="76"/>
      <c r="D543" s="76"/>
      <c r="E543" s="77"/>
      <c r="F543" s="74">
        <v>0</v>
      </c>
      <c r="G543" s="74">
        <v>2</v>
      </c>
      <c r="H543" s="74">
        <v>2</v>
      </c>
      <c r="I543" s="4">
        <v>38421</v>
      </c>
      <c r="J543" s="74">
        <v>0</v>
      </c>
      <c r="K543" s="74">
        <v>0</v>
      </c>
      <c r="L543" s="74">
        <f t="shared" si="72"/>
        <v>60424</v>
      </c>
      <c r="M543" s="74">
        <f t="shared" si="73"/>
        <v>99</v>
      </c>
    </row>
    <row r="544" spans="1:13">
      <c r="A544" s="27">
        <v>46104</v>
      </c>
      <c r="B544" s="76" t="s">
        <v>33</v>
      </c>
      <c r="C544" s="76"/>
      <c r="D544" s="76"/>
      <c r="E544" s="77"/>
      <c r="F544" s="74">
        <v>0</v>
      </c>
      <c r="G544" s="74">
        <v>17</v>
      </c>
      <c r="H544" s="74">
        <v>17</v>
      </c>
      <c r="I544" s="4">
        <v>38438</v>
      </c>
      <c r="J544" s="74">
        <v>0</v>
      </c>
      <c r="K544" s="74">
        <v>0</v>
      </c>
      <c r="L544" s="74">
        <f t="shared" si="72"/>
        <v>60424</v>
      </c>
      <c r="M544" s="74">
        <f t="shared" si="73"/>
        <v>99</v>
      </c>
    </row>
    <row r="545" spans="1:13">
      <c r="A545" s="27">
        <v>46105</v>
      </c>
      <c r="B545" s="1" t="s">
        <v>212</v>
      </c>
      <c r="C545" s="1" t="s">
        <v>59</v>
      </c>
      <c r="D545" s="1" t="s">
        <v>42</v>
      </c>
      <c r="E545" s="1" t="s">
        <v>43</v>
      </c>
      <c r="F545" s="74">
        <v>308</v>
      </c>
      <c r="G545" s="28">
        <v>373</v>
      </c>
      <c r="H545" s="74">
        <v>681</v>
      </c>
      <c r="I545" s="4">
        <v>39119</v>
      </c>
      <c r="J545" s="4">
        <v>1016</v>
      </c>
      <c r="K545" s="74">
        <v>1</v>
      </c>
      <c r="L545" s="74">
        <f t="shared" si="72"/>
        <v>61440</v>
      </c>
      <c r="M545" s="74">
        <f t="shared" si="73"/>
        <v>100</v>
      </c>
    </row>
    <row r="546" spans="1:13">
      <c r="A546" s="27">
        <v>46105</v>
      </c>
      <c r="B546" s="76" t="s">
        <v>33</v>
      </c>
      <c r="C546" s="76"/>
      <c r="D546" s="76"/>
      <c r="E546" s="77"/>
      <c r="F546" s="74">
        <v>0</v>
      </c>
      <c r="G546" s="74">
        <v>10</v>
      </c>
      <c r="H546" s="74">
        <v>10</v>
      </c>
      <c r="I546" s="4">
        <v>39129</v>
      </c>
      <c r="J546" s="74">
        <v>0</v>
      </c>
      <c r="K546" s="74">
        <v>0</v>
      </c>
      <c r="L546" s="74">
        <f t="shared" si="72"/>
        <v>61440</v>
      </c>
      <c r="M546" s="74">
        <f t="shared" si="73"/>
        <v>100</v>
      </c>
    </row>
    <row r="547" spans="1:13">
      <c r="A547" s="27">
        <v>46106</v>
      </c>
      <c r="B547" s="76" t="s">
        <v>33</v>
      </c>
      <c r="C547" s="76"/>
      <c r="D547" s="76"/>
      <c r="E547" s="77"/>
      <c r="F547" s="74">
        <v>0</v>
      </c>
      <c r="G547" s="74">
        <v>12</v>
      </c>
      <c r="H547" s="74">
        <v>12</v>
      </c>
      <c r="I547" s="4">
        <v>39141</v>
      </c>
      <c r="J547" s="74">
        <v>0</v>
      </c>
      <c r="K547" s="74">
        <v>0</v>
      </c>
      <c r="L547" s="74">
        <f t="shared" si="72"/>
        <v>61440</v>
      </c>
      <c r="M547" s="74">
        <f t="shared" si="73"/>
        <v>100</v>
      </c>
    </row>
    <row r="548" spans="1:13">
      <c r="A548" s="27">
        <v>46107</v>
      </c>
      <c r="B548" s="76" t="s">
        <v>33</v>
      </c>
      <c r="C548" s="76"/>
      <c r="D548" s="76"/>
      <c r="E548" s="77"/>
      <c r="F548" s="74">
        <v>0</v>
      </c>
      <c r="G548" s="74">
        <v>18</v>
      </c>
      <c r="H548" s="74">
        <v>18</v>
      </c>
      <c r="I548" s="4">
        <v>39159</v>
      </c>
      <c r="J548" s="74">
        <v>0</v>
      </c>
      <c r="K548" s="74">
        <v>0</v>
      </c>
      <c r="L548" s="74">
        <f t="shared" ref="L548:L559" si="74">J548+L547</f>
        <v>61440</v>
      </c>
      <c r="M548" s="74">
        <f t="shared" ref="M548:M559" si="75">K548+M547</f>
        <v>100</v>
      </c>
    </row>
    <row r="549" spans="1:13">
      <c r="A549" s="27">
        <v>46108</v>
      </c>
      <c r="B549" s="76" t="s">
        <v>33</v>
      </c>
      <c r="C549" s="76"/>
      <c r="D549" s="76"/>
      <c r="E549" s="77"/>
      <c r="F549" s="74">
        <v>0</v>
      </c>
      <c r="G549" s="74">
        <v>9</v>
      </c>
      <c r="H549" s="74">
        <v>9</v>
      </c>
      <c r="I549" s="4">
        <v>39168</v>
      </c>
      <c r="J549" s="74">
        <v>0</v>
      </c>
      <c r="K549" s="74">
        <v>0</v>
      </c>
      <c r="L549" s="74">
        <f t="shared" si="74"/>
        <v>61440</v>
      </c>
      <c r="M549" s="74">
        <f t="shared" si="75"/>
        <v>100</v>
      </c>
    </row>
    <row r="550" spans="1:13">
      <c r="A550" s="27">
        <v>46109</v>
      </c>
      <c r="B550" s="1" t="s">
        <v>22</v>
      </c>
      <c r="C550" s="1" t="s">
        <v>13</v>
      </c>
      <c r="D550" s="1" t="s">
        <v>42</v>
      </c>
      <c r="E550" s="1" t="s">
        <v>43</v>
      </c>
      <c r="F550" s="74">
        <v>624</v>
      </c>
      <c r="G550" s="28">
        <v>705</v>
      </c>
      <c r="H550" s="4">
        <v>1329</v>
      </c>
      <c r="I550" s="4">
        <v>40497</v>
      </c>
      <c r="J550" s="4">
        <v>1648</v>
      </c>
      <c r="K550" s="74">
        <v>1</v>
      </c>
      <c r="L550" s="74">
        <f t="shared" si="74"/>
        <v>63088</v>
      </c>
      <c r="M550" s="74">
        <f t="shared" si="75"/>
        <v>101</v>
      </c>
    </row>
    <row r="551" spans="1:13">
      <c r="A551" s="27">
        <v>46109</v>
      </c>
      <c r="B551" s="76" t="s">
        <v>33</v>
      </c>
      <c r="C551" s="76"/>
      <c r="D551" s="76"/>
      <c r="E551" s="77"/>
      <c r="F551" s="74">
        <v>0</v>
      </c>
      <c r="G551" s="74">
        <v>10</v>
      </c>
      <c r="H551" s="74">
        <v>10</v>
      </c>
      <c r="I551" s="4">
        <v>40507</v>
      </c>
      <c r="J551" s="74">
        <v>0</v>
      </c>
      <c r="K551" s="74">
        <v>0</v>
      </c>
      <c r="L551" s="74">
        <f t="shared" si="74"/>
        <v>63088</v>
      </c>
      <c r="M551" s="74">
        <f t="shared" si="75"/>
        <v>101</v>
      </c>
    </row>
    <row r="552" spans="1:13">
      <c r="A552" s="27">
        <v>46110</v>
      </c>
      <c r="B552" s="76" t="s">
        <v>129</v>
      </c>
      <c r="C552" s="76"/>
      <c r="D552" s="76"/>
      <c r="E552" s="77"/>
      <c r="F552" s="74">
        <v>0</v>
      </c>
      <c r="G552" s="74">
        <v>135</v>
      </c>
      <c r="H552" s="74">
        <v>135</v>
      </c>
      <c r="I552" s="4">
        <v>40642</v>
      </c>
      <c r="J552" s="74">
        <v>0</v>
      </c>
      <c r="K552" s="74">
        <v>0</v>
      </c>
      <c r="L552" s="74">
        <f t="shared" si="74"/>
        <v>63088</v>
      </c>
      <c r="M552" s="74">
        <f t="shared" si="75"/>
        <v>101</v>
      </c>
    </row>
    <row r="553" spans="1:13">
      <c r="A553" s="27">
        <v>46110</v>
      </c>
      <c r="B553" s="76" t="s">
        <v>33</v>
      </c>
      <c r="C553" s="76"/>
      <c r="D553" s="76"/>
      <c r="E553" s="77"/>
      <c r="F553" s="74">
        <v>0</v>
      </c>
      <c r="G553" s="74">
        <v>23</v>
      </c>
      <c r="H553" s="74">
        <v>23</v>
      </c>
      <c r="I553" s="4">
        <v>40665</v>
      </c>
      <c r="J553" s="74">
        <v>0</v>
      </c>
      <c r="K553" s="74">
        <v>0</v>
      </c>
      <c r="L553" s="74">
        <f t="shared" si="74"/>
        <v>63088</v>
      </c>
      <c r="M553" s="74">
        <f t="shared" si="75"/>
        <v>101</v>
      </c>
    </row>
    <row r="554" spans="1:13">
      <c r="A554" s="27">
        <v>46111</v>
      </c>
      <c r="B554" s="1" t="s">
        <v>213</v>
      </c>
      <c r="C554" s="1" t="s">
        <v>24</v>
      </c>
      <c r="D554" s="1" t="s">
        <v>42</v>
      </c>
      <c r="E554" s="1" t="s">
        <v>43</v>
      </c>
      <c r="F554" s="74">
        <v>624</v>
      </c>
      <c r="G554" s="28">
        <v>705</v>
      </c>
      <c r="H554" s="4">
        <v>1329</v>
      </c>
      <c r="I554" s="4">
        <v>41994</v>
      </c>
      <c r="J554" s="4">
        <v>1648</v>
      </c>
      <c r="K554" s="74">
        <v>1</v>
      </c>
      <c r="L554" s="74">
        <f t="shared" si="74"/>
        <v>64736</v>
      </c>
      <c r="M554" s="74">
        <f t="shared" si="75"/>
        <v>102</v>
      </c>
    </row>
    <row r="555" spans="1:13">
      <c r="A555" s="27">
        <v>46111</v>
      </c>
      <c r="B555" s="76" t="s">
        <v>33</v>
      </c>
      <c r="C555" s="76"/>
      <c r="D555" s="76"/>
      <c r="E555" s="77"/>
      <c r="F555" s="74">
        <v>0</v>
      </c>
      <c r="G555" s="74">
        <v>109</v>
      </c>
      <c r="H555" s="74">
        <v>109</v>
      </c>
      <c r="I555" s="4">
        <v>42103</v>
      </c>
      <c r="J555" s="74">
        <v>0</v>
      </c>
      <c r="K555" s="74">
        <v>0</v>
      </c>
      <c r="L555" s="74">
        <f t="shared" si="74"/>
        <v>64736</v>
      </c>
      <c r="M555" s="74">
        <f t="shared" si="75"/>
        <v>102</v>
      </c>
    </row>
    <row r="556" spans="1:13">
      <c r="A556" s="27">
        <v>46112</v>
      </c>
      <c r="B556" s="76" t="s">
        <v>214</v>
      </c>
      <c r="C556" s="76"/>
      <c r="D556" s="76"/>
      <c r="E556" s="77"/>
      <c r="F556" s="74">
        <v>0</v>
      </c>
      <c r="G556" s="74">
        <v>20</v>
      </c>
      <c r="H556" s="74">
        <v>20</v>
      </c>
      <c r="I556" s="4">
        <v>42123</v>
      </c>
      <c r="J556" s="74">
        <v>0</v>
      </c>
      <c r="K556" s="74">
        <v>0</v>
      </c>
      <c r="L556" s="74">
        <f t="shared" si="74"/>
        <v>64736</v>
      </c>
      <c r="M556" s="74">
        <f t="shared" si="75"/>
        <v>102</v>
      </c>
    </row>
    <row r="557" spans="1:13">
      <c r="A557" s="27">
        <v>46112</v>
      </c>
      <c r="B557" s="76" t="s">
        <v>168</v>
      </c>
      <c r="C557" s="76"/>
      <c r="D557" s="76"/>
      <c r="E557" s="77"/>
      <c r="F557" s="74">
        <v>0</v>
      </c>
      <c r="G557" s="74">
        <v>5</v>
      </c>
      <c r="H557" s="74">
        <v>5</v>
      </c>
      <c r="I557" s="4">
        <v>42128</v>
      </c>
      <c r="J557" s="74">
        <v>0</v>
      </c>
      <c r="K557" s="74">
        <v>0</v>
      </c>
      <c r="L557" s="74">
        <f t="shared" si="74"/>
        <v>64736</v>
      </c>
      <c r="M557" s="74">
        <f t="shared" si="75"/>
        <v>102</v>
      </c>
    </row>
    <row r="558" spans="1:13">
      <c r="A558" s="27">
        <v>46112</v>
      </c>
      <c r="B558" s="76" t="s">
        <v>169</v>
      </c>
      <c r="C558" s="76"/>
      <c r="D558" s="76"/>
      <c r="E558" s="77"/>
      <c r="F558" s="74">
        <v>0</v>
      </c>
      <c r="G558" s="74">
        <v>38</v>
      </c>
      <c r="H558" s="74">
        <v>38</v>
      </c>
      <c r="I558" s="4">
        <v>42166</v>
      </c>
      <c r="J558" s="74">
        <v>0</v>
      </c>
      <c r="K558" s="74">
        <v>0</v>
      </c>
      <c r="L558" s="74">
        <f t="shared" si="74"/>
        <v>64736</v>
      </c>
      <c r="M558" s="74">
        <f t="shared" si="75"/>
        <v>102</v>
      </c>
    </row>
    <row r="559" spans="1:13">
      <c r="A559" s="27">
        <v>46112</v>
      </c>
      <c r="B559" s="76" t="s">
        <v>33</v>
      </c>
      <c r="C559" s="76"/>
      <c r="D559" s="76"/>
      <c r="E559" s="77"/>
      <c r="F559" s="74">
        <v>0</v>
      </c>
      <c r="G559" s="74">
        <v>12</v>
      </c>
      <c r="H559" s="74">
        <v>12</v>
      </c>
      <c r="I559" s="4">
        <v>42178</v>
      </c>
      <c r="J559" s="74">
        <v>0</v>
      </c>
      <c r="K559" s="74">
        <v>0</v>
      </c>
      <c r="L559" s="74">
        <f t="shared" si="74"/>
        <v>64736</v>
      </c>
      <c r="M559" s="74">
        <f t="shared" si="75"/>
        <v>102</v>
      </c>
    </row>
    <row r="560" spans="1:13">
      <c r="A560" s="27">
        <v>46113</v>
      </c>
      <c r="B560" s="76" t="s">
        <v>49</v>
      </c>
      <c r="C560" s="76"/>
      <c r="D560" s="76"/>
      <c r="E560" s="77"/>
      <c r="F560" s="74">
        <v>0</v>
      </c>
      <c r="G560" s="74">
        <v>3</v>
      </c>
      <c r="H560" s="74">
        <v>3</v>
      </c>
      <c r="I560" s="4">
        <v>42181</v>
      </c>
      <c r="J560" s="74">
        <v>0</v>
      </c>
      <c r="K560" s="74">
        <v>0</v>
      </c>
      <c r="L560" s="74">
        <f t="shared" ref="L560:L581" si="76">J560+L559</f>
        <v>64736</v>
      </c>
      <c r="M560" s="74">
        <f t="shared" ref="M560:M581" si="77">K560+M559</f>
        <v>102</v>
      </c>
    </row>
    <row r="561" spans="1:13">
      <c r="A561" s="27">
        <v>46113</v>
      </c>
      <c r="B561" s="76" t="s">
        <v>33</v>
      </c>
      <c r="C561" s="76"/>
      <c r="D561" s="76"/>
      <c r="E561" s="77"/>
      <c r="F561" s="74">
        <v>0</v>
      </c>
      <c r="G561" s="74">
        <v>43</v>
      </c>
      <c r="H561" s="74">
        <v>43</v>
      </c>
      <c r="I561" s="4">
        <v>42224</v>
      </c>
      <c r="J561" s="74">
        <v>0</v>
      </c>
      <c r="K561" s="74">
        <v>0</v>
      </c>
      <c r="L561" s="74">
        <f t="shared" si="76"/>
        <v>64736</v>
      </c>
      <c r="M561" s="74">
        <f t="shared" si="77"/>
        <v>102</v>
      </c>
    </row>
    <row r="562" spans="1:13">
      <c r="A562" s="27">
        <v>46114</v>
      </c>
      <c r="B562" s="76" t="s">
        <v>33</v>
      </c>
      <c r="C562" s="76"/>
      <c r="D562" s="76"/>
      <c r="E562" s="77"/>
      <c r="F562" s="74">
        <v>0</v>
      </c>
      <c r="G562" s="74">
        <v>9</v>
      </c>
      <c r="H562" s="74">
        <v>9</v>
      </c>
      <c r="I562" s="4">
        <v>42233</v>
      </c>
      <c r="J562" s="74">
        <v>0</v>
      </c>
      <c r="K562" s="74">
        <v>0</v>
      </c>
      <c r="L562" s="74">
        <f t="shared" si="76"/>
        <v>64736</v>
      </c>
      <c r="M562" s="74">
        <f t="shared" si="77"/>
        <v>102</v>
      </c>
    </row>
    <row r="563" spans="1:13">
      <c r="A563" s="27">
        <v>46115</v>
      </c>
      <c r="B563" s="76" t="s">
        <v>33</v>
      </c>
      <c r="C563" s="76"/>
      <c r="D563" s="76"/>
      <c r="E563" s="77"/>
      <c r="F563" s="74">
        <v>0</v>
      </c>
      <c r="G563" s="74">
        <v>8</v>
      </c>
      <c r="H563" s="74">
        <v>8</v>
      </c>
      <c r="I563" s="4">
        <v>42241</v>
      </c>
      <c r="J563" s="74">
        <v>0</v>
      </c>
      <c r="K563" s="74">
        <v>0</v>
      </c>
      <c r="L563" s="74">
        <f t="shared" si="76"/>
        <v>64736</v>
      </c>
      <c r="M563" s="74">
        <f t="shared" si="77"/>
        <v>102</v>
      </c>
    </row>
    <row r="564" spans="1:13">
      <c r="A564" s="27">
        <v>46116</v>
      </c>
      <c r="B564" s="76" t="s">
        <v>33</v>
      </c>
      <c r="C564" s="76"/>
      <c r="D564" s="76"/>
      <c r="E564" s="77"/>
      <c r="F564" s="74">
        <v>0</v>
      </c>
      <c r="G564" s="74">
        <v>9</v>
      </c>
      <c r="H564" s="74">
        <v>9</v>
      </c>
      <c r="I564" s="4">
        <v>42250</v>
      </c>
      <c r="J564" s="74">
        <v>0</v>
      </c>
      <c r="K564" s="74">
        <v>0</v>
      </c>
      <c r="L564" s="74">
        <f t="shared" si="76"/>
        <v>64736</v>
      </c>
      <c r="M564" s="74">
        <f t="shared" si="77"/>
        <v>102</v>
      </c>
    </row>
    <row r="565" spans="1:13">
      <c r="A565" s="27">
        <v>46117</v>
      </c>
      <c r="B565" s="76" t="s">
        <v>33</v>
      </c>
      <c r="C565" s="76"/>
      <c r="D565" s="76"/>
      <c r="E565" s="77"/>
      <c r="F565" s="74">
        <v>0</v>
      </c>
      <c r="G565" s="74">
        <v>23</v>
      </c>
      <c r="H565" s="74">
        <v>23</v>
      </c>
      <c r="I565" s="4">
        <v>42273</v>
      </c>
      <c r="J565" s="74">
        <v>0</v>
      </c>
      <c r="K565" s="74">
        <v>0</v>
      </c>
      <c r="L565" s="74">
        <f t="shared" si="76"/>
        <v>64736</v>
      </c>
      <c r="M565" s="74">
        <f t="shared" si="77"/>
        <v>102</v>
      </c>
    </row>
    <row r="566" spans="1:13">
      <c r="A566" s="27">
        <v>46118</v>
      </c>
      <c r="B566" s="76" t="s">
        <v>49</v>
      </c>
      <c r="C566" s="76"/>
      <c r="D566" s="76"/>
      <c r="E566" s="77"/>
      <c r="F566" s="74">
        <v>0</v>
      </c>
      <c r="G566" s="74">
        <v>2</v>
      </c>
      <c r="H566" s="74">
        <v>2</v>
      </c>
      <c r="I566" s="4">
        <v>42275</v>
      </c>
      <c r="J566" s="74">
        <v>0</v>
      </c>
      <c r="K566" s="74">
        <v>0</v>
      </c>
      <c r="L566" s="74">
        <f t="shared" si="76"/>
        <v>64736</v>
      </c>
      <c r="M566" s="74">
        <f t="shared" si="77"/>
        <v>102</v>
      </c>
    </row>
    <row r="567" spans="1:13">
      <c r="A567" s="27">
        <v>46118</v>
      </c>
      <c r="B567" s="76" t="s">
        <v>33</v>
      </c>
      <c r="C567" s="76"/>
      <c r="D567" s="76"/>
      <c r="E567" s="77"/>
      <c r="F567" s="74">
        <v>0</v>
      </c>
      <c r="G567" s="74">
        <v>15</v>
      </c>
      <c r="H567" s="74">
        <v>15</v>
      </c>
      <c r="I567" s="4">
        <v>42290</v>
      </c>
      <c r="J567" s="74">
        <v>0</v>
      </c>
      <c r="K567" s="74">
        <v>0</v>
      </c>
      <c r="L567" s="74">
        <f t="shared" si="76"/>
        <v>64736</v>
      </c>
      <c r="M567" s="74">
        <f t="shared" si="77"/>
        <v>102</v>
      </c>
    </row>
    <row r="568" spans="1:13">
      <c r="A568" s="27">
        <v>46119</v>
      </c>
      <c r="B568" s="1" t="s">
        <v>215</v>
      </c>
      <c r="C568" s="1" t="s">
        <v>107</v>
      </c>
      <c r="D568" s="1" t="s">
        <v>42</v>
      </c>
      <c r="E568" s="1" t="s">
        <v>43</v>
      </c>
      <c r="F568" s="74">
        <v>308</v>
      </c>
      <c r="G568" s="28">
        <v>373</v>
      </c>
      <c r="H568" s="74">
        <v>681</v>
      </c>
      <c r="I568" s="4">
        <v>42971</v>
      </c>
      <c r="J568" s="4">
        <v>1016</v>
      </c>
      <c r="K568" s="74">
        <v>1</v>
      </c>
      <c r="L568" s="74">
        <f t="shared" si="76"/>
        <v>65752</v>
      </c>
      <c r="M568" s="74">
        <f t="shared" si="77"/>
        <v>103</v>
      </c>
    </row>
    <row r="569" spans="1:13">
      <c r="A569" s="27">
        <v>46119</v>
      </c>
      <c r="B569" s="76" t="s">
        <v>216</v>
      </c>
      <c r="C569" s="76"/>
      <c r="D569" s="76"/>
      <c r="E569" s="77"/>
      <c r="F569" s="74">
        <v>0</v>
      </c>
      <c r="G569" s="74">
        <v>300</v>
      </c>
      <c r="H569" s="74">
        <v>300</v>
      </c>
      <c r="I569" s="4">
        <v>43271</v>
      </c>
      <c r="J569" s="74">
        <v>0</v>
      </c>
      <c r="K569" s="74">
        <v>0</v>
      </c>
      <c r="L569" s="74">
        <f t="shared" si="76"/>
        <v>65752</v>
      </c>
      <c r="M569" s="74">
        <f t="shared" si="77"/>
        <v>103</v>
      </c>
    </row>
    <row r="570" spans="1:13">
      <c r="A570" s="27">
        <v>46119</v>
      </c>
      <c r="B570" s="76" t="s">
        <v>33</v>
      </c>
      <c r="C570" s="76"/>
      <c r="D570" s="76"/>
      <c r="E570" s="77"/>
      <c r="F570" s="74">
        <v>0</v>
      </c>
      <c r="G570" s="74">
        <v>11</v>
      </c>
      <c r="H570" s="74">
        <v>11</v>
      </c>
      <c r="I570" s="4">
        <v>43282</v>
      </c>
      <c r="J570" s="74">
        <v>0</v>
      </c>
      <c r="K570" s="74">
        <v>0</v>
      </c>
      <c r="L570" s="74">
        <f t="shared" si="76"/>
        <v>65752</v>
      </c>
      <c r="M570" s="74">
        <f t="shared" si="77"/>
        <v>103</v>
      </c>
    </row>
    <row r="571" spans="1:13">
      <c r="A571" s="27">
        <v>46120</v>
      </c>
      <c r="B571" s="76" t="s">
        <v>33</v>
      </c>
      <c r="C571" s="76"/>
      <c r="D571" s="76"/>
      <c r="E571" s="77"/>
      <c r="F571" s="74">
        <v>0</v>
      </c>
      <c r="G571" s="74">
        <v>11</v>
      </c>
      <c r="H571" s="74">
        <v>11</v>
      </c>
      <c r="I571" s="4">
        <v>43293</v>
      </c>
      <c r="J571" s="74">
        <v>0</v>
      </c>
      <c r="K571" s="74">
        <v>0</v>
      </c>
      <c r="L571" s="74">
        <f t="shared" si="76"/>
        <v>65752</v>
      </c>
      <c r="M571" s="74">
        <f t="shared" si="77"/>
        <v>103</v>
      </c>
    </row>
    <row r="572" spans="1:13">
      <c r="A572" s="27">
        <v>46121</v>
      </c>
      <c r="B572" s="76" t="s">
        <v>33</v>
      </c>
      <c r="C572" s="76"/>
      <c r="D572" s="76"/>
      <c r="E572" s="77"/>
      <c r="F572" s="74">
        <v>0</v>
      </c>
      <c r="G572" s="74">
        <v>11</v>
      </c>
      <c r="H572" s="74">
        <v>11</v>
      </c>
      <c r="I572" s="4">
        <v>43304</v>
      </c>
      <c r="J572" s="74">
        <v>0</v>
      </c>
      <c r="K572" s="74">
        <v>0</v>
      </c>
      <c r="L572" s="74">
        <f t="shared" si="76"/>
        <v>65752</v>
      </c>
      <c r="M572" s="74">
        <f t="shared" si="77"/>
        <v>103</v>
      </c>
    </row>
    <row r="573" spans="1:13">
      <c r="A573" s="27">
        <v>46122</v>
      </c>
      <c r="B573" s="76" t="s">
        <v>65</v>
      </c>
      <c r="C573" s="76"/>
      <c r="D573" s="76"/>
      <c r="E573" s="77"/>
      <c r="F573" s="4">
        <v>11358</v>
      </c>
      <c r="G573" s="74">
        <v>0</v>
      </c>
      <c r="H573" s="4">
        <v>11358</v>
      </c>
      <c r="I573" s="4">
        <v>54662</v>
      </c>
      <c r="J573" s="74">
        <v>0</v>
      </c>
      <c r="K573" s="74">
        <v>0</v>
      </c>
      <c r="L573" s="74">
        <f t="shared" si="76"/>
        <v>65752</v>
      </c>
      <c r="M573" s="74">
        <f t="shared" si="77"/>
        <v>103</v>
      </c>
    </row>
    <row r="574" spans="1:13">
      <c r="A574" s="27">
        <v>46122</v>
      </c>
      <c r="B574" s="1" t="s">
        <v>217</v>
      </c>
      <c r="C574" s="1" t="s">
        <v>59</v>
      </c>
      <c r="D574" s="1" t="s">
        <v>42</v>
      </c>
      <c r="E574" s="1" t="s">
        <v>43</v>
      </c>
      <c r="F574" s="74">
        <v>308</v>
      </c>
      <c r="G574" s="28">
        <v>373</v>
      </c>
      <c r="H574" s="74">
        <v>681</v>
      </c>
      <c r="I574" s="4">
        <v>55343</v>
      </c>
      <c r="J574" s="4">
        <v>1016</v>
      </c>
      <c r="K574" s="74">
        <v>1</v>
      </c>
      <c r="L574" s="74">
        <f t="shared" si="76"/>
        <v>66768</v>
      </c>
      <c r="M574" s="74">
        <f t="shared" si="77"/>
        <v>104</v>
      </c>
    </row>
    <row r="575" spans="1:13">
      <c r="A575" s="27">
        <v>46122</v>
      </c>
      <c r="B575" s="76" t="s">
        <v>33</v>
      </c>
      <c r="C575" s="76"/>
      <c r="D575" s="76"/>
      <c r="E575" s="77"/>
      <c r="F575" s="74">
        <v>0</v>
      </c>
      <c r="G575" s="74">
        <v>10</v>
      </c>
      <c r="H575" s="74">
        <v>10</v>
      </c>
      <c r="I575" s="4">
        <v>55353</v>
      </c>
      <c r="J575" s="74">
        <v>0</v>
      </c>
      <c r="K575" s="74">
        <v>0</v>
      </c>
      <c r="L575" s="74">
        <f t="shared" si="76"/>
        <v>66768</v>
      </c>
      <c r="M575" s="74">
        <f t="shared" si="77"/>
        <v>104</v>
      </c>
    </row>
    <row r="576" spans="1:13">
      <c r="A576" s="27">
        <v>46123</v>
      </c>
      <c r="B576" s="76" t="s">
        <v>201</v>
      </c>
      <c r="C576" s="76"/>
      <c r="D576" s="76"/>
      <c r="E576" s="77"/>
      <c r="F576" s="74">
        <v>0</v>
      </c>
      <c r="G576" s="74">
        <v>320</v>
      </c>
      <c r="H576" s="74">
        <v>320</v>
      </c>
      <c r="I576" s="4">
        <v>55673</v>
      </c>
      <c r="J576" s="74">
        <v>0</v>
      </c>
      <c r="K576" s="74">
        <v>0</v>
      </c>
      <c r="L576" s="74">
        <f t="shared" si="76"/>
        <v>66768</v>
      </c>
      <c r="M576" s="74">
        <f t="shared" si="77"/>
        <v>104</v>
      </c>
    </row>
    <row r="577" spans="1:13">
      <c r="A577" s="27">
        <v>46123</v>
      </c>
      <c r="B577" s="76" t="s">
        <v>49</v>
      </c>
      <c r="C577" s="76"/>
      <c r="D577" s="76"/>
      <c r="E577" s="77"/>
      <c r="F577" s="74">
        <v>0</v>
      </c>
      <c r="G577" s="74">
        <v>2</v>
      </c>
      <c r="H577" s="74">
        <v>2</v>
      </c>
      <c r="I577" s="4">
        <v>55675</v>
      </c>
      <c r="J577" s="74">
        <v>0</v>
      </c>
      <c r="K577" s="74">
        <v>0</v>
      </c>
      <c r="L577" s="74">
        <f t="shared" si="76"/>
        <v>66768</v>
      </c>
      <c r="M577" s="74">
        <f t="shared" si="77"/>
        <v>104</v>
      </c>
    </row>
    <row r="578" spans="1:13">
      <c r="A578" s="27">
        <v>46123</v>
      </c>
      <c r="B578" s="76" t="s">
        <v>33</v>
      </c>
      <c r="C578" s="76"/>
      <c r="D578" s="76"/>
      <c r="E578" s="77"/>
      <c r="F578" s="74">
        <v>0</v>
      </c>
      <c r="G578" s="74">
        <v>9</v>
      </c>
      <c r="H578" s="74">
        <v>9</v>
      </c>
      <c r="I578" s="4">
        <v>55684</v>
      </c>
      <c r="J578" s="74">
        <v>0</v>
      </c>
      <c r="K578" s="74">
        <v>0</v>
      </c>
      <c r="L578" s="74">
        <f t="shared" si="76"/>
        <v>66768</v>
      </c>
      <c r="M578" s="74">
        <f t="shared" si="77"/>
        <v>104</v>
      </c>
    </row>
    <row r="579" spans="1:13">
      <c r="A579" s="27">
        <v>46123</v>
      </c>
      <c r="B579" s="76" t="s">
        <v>39</v>
      </c>
      <c r="C579" s="76"/>
      <c r="D579" s="76"/>
      <c r="E579" s="77"/>
      <c r="F579" s="4">
        <v>-1500</v>
      </c>
      <c r="G579" s="74">
        <v>0</v>
      </c>
      <c r="H579" s="4">
        <v>-1500</v>
      </c>
      <c r="I579" s="4">
        <v>54184</v>
      </c>
      <c r="J579" s="74">
        <v>0</v>
      </c>
      <c r="K579" s="74">
        <v>0</v>
      </c>
      <c r="L579" s="74">
        <f t="shared" si="76"/>
        <v>66768</v>
      </c>
      <c r="M579" s="74">
        <f t="shared" si="77"/>
        <v>104</v>
      </c>
    </row>
    <row r="580" spans="1:13">
      <c r="A580" s="27">
        <v>46124</v>
      </c>
      <c r="B580" s="76" t="s">
        <v>33</v>
      </c>
      <c r="C580" s="76"/>
      <c r="D580" s="76"/>
      <c r="E580" s="77"/>
      <c r="F580" s="74">
        <v>0</v>
      </c>
      <c r="G580" s="74">
        <v>22</v>
      </c>
      <c r="H580" s="74">
        <v>22</v>
      </c>
      <c r="I580" s="4">
        <v>54206</v>
      </c>
      <c r="J580" s="74">
        <v>0</v>
      </c>
      <c r="K580" s="74">
        <v>0</v>
      </c>
      <c r="L580" s="74">
        <f t="shared" si="76"/>
        <v>66768</v>
      </c>
      <c r="M580" s="74">
        <f t="shared" si="77"/>
        <v>104</v>
      </c>
    </row>
    <row r="581" spans="1:13">
      <c r="A581" s="27">
        <v>46125</v>
      </c>
      <c r="B581" s="1" t="s">
        <v>218</v>
      </c>
      <c r="C581" s="1" t="s">
        <v>219</v>
      </c>
      <c r="D581" s="1" t="s">
        <v>42</v>
      </c>
      <c r="E581" s="1" t="s">
        <v>50</v>
      </c>
      <c r="F581" s="74">
        <v>56</v>
      </c>
      <c r="G581" s="28">
        <v>109</v>
      </c>
      <c r="H581" s="74">
        <v>165</v>
      </c>
      <c r="I581" s="4">
        <v>54371</v>
      </c>
      <c r="J581" s="74">
        <v>312</v>
      </c>
      <c r="K581" s="74">
        <v>1</v>
      </c>
      <c r="L581" s="74">
        <f t="shared" si="76"/>
        <v>67080</v>
      </c>
      <c r="M581" s="74">
        <f t="shared" si="77"/>
        <v>105</v>
      </c>
    </row>
    <row r="582" spans="1:13">
      <c r="A582" s="27">
        <v>46125</v>
      </c>
      <c r="B582" s="1" t="s">
        <v>220</v>
      </c>
      <c r="C582" s="1" t="s">
        <v>221</v>
      </c>
      <c r="D582" s="1" t="s">
        <v>42</v>
      </c>
      <c r="E582" s="1" t="s">
        <v>50</v>
      </c>
      <c r="F582" s="74">
        <v>56</v>
      </c>
      <c r="G582" s="28">
        <v>109</v>
      </c>
      <c r="H582" s="74">
        <v>165</v>
      </c>
      <c r="I582" s="4">
        <v>54536</v>
      </c>
      <c r="J582" s="74">
        <v>312</v>
      </c>
      <c r="K582" s="74">
        <v>1</v>
      </c>
      <c r="L582" s="74">
        <f t="shared" ref="L582:L598" si="78">J582+L581</f>
        <v>67392</v>
      </c>
      <c r="M582" s="74">
        <f t="shared" ref="M582:M598" si="79">K582+M581</f>
        <v>106</v>
      </c>
    </row>
    <row r="583" spans="1:13">
      <c r="A583" s="27">
        <v>46125</v>
      </c>
      <c r="B583" s="1" t="s">
        <v>222</v>
      </c>
      <c r="C583" s="1" t="s">
        <v>223</v>
      </c>
      <c r="D583" s="1" t="s">
        <v>42</v>
      </c>
      <c r="E583" s="1" t="s">
        <v>50</v>
      </c>
      <c r="F583" s="74">
        <v>68</v>
      </c>
      <c r="G583" s="28">
        <v>121</v>
      </c>
      <c r="H583" s="74">
        <v>189</v>
      </c>
      <c r="I583" s="4">
        <v>54725</v>
      </c>
      <c r="J583" s="74">
        <v>336</v>
      </c>
      <c r="K583" s="74">
        <v>1</v>
      </c>
      <c r="L583" s="74">
        <f t="shared" si="78"/>
        <v>67728</v>
      </c>
      <c r="M583" s="74">
        <f t="shared" si="79"/>
        <v>107</v>
      </c>
    </row>
    <row r="584" spans="1:13">
      <c r="A584" s="27">
        <v>46125</v>
      </c>
      <c r="B584" s="1" t="s">
        <v>224</v>
      </c>
      <c r="C584" s="1" t="s">
        <v>225</v>
      </c>
      <c r="D584" s="1" t="s">
        <v>42</v>
      </c>
      <c r="E584" s="1" t="s">
        <v>50</v>
      </c>
      <c r="F584" s="74">
        <v>68</v>
      </c>
      <c r="G584" s="28">
        <v>121</v>
      </c>
      <c r="H584" s="74">
        <v>189</v>
      </c>
      <c r="I584" s="4">
        <v>54914</v>
      </c>
      <c r="J584" s="74">
        <v>336</v>
      </c>
      <c r="K584" s="74">
        <v>1</v>
      </c>
      <c r="L584" s="74">
        <f t="shared" si="78"/>
        <v>68064</v>
      </c>
      <c r="M584" s="74">
        <f t="shared" si="79"/>
        <v>108</v>
      </c>
    </row>
    <row r="585" spans="1:13">
      <c r="A585" s="27">
        <v>46125</v>
      </c>
      <c r="B585" s="1" t="s">
        <v>226</v>
      </c>
      <c r="C585" s="1" t="s">
        <v>227</v>
      </c>
      <c r="D585" s="1" t="s">
        <v>42</v>
      </c>
      <c r="E585" s="1" t="s">
        <v>50</v>
      </c>
      <c r="F585" s="74">
        <v>89</v>
      </c>
      <c r="G585" s="28">
        <v>93</v>
      </c>
      <c r="H585" s="74">
        <v>182</v>
      </c>
      <c r="I585" s="4">
        <v>55096</v>
      </c>
      <c r="J585" s="74">
        <v>178</v>
      </c>
      <c r="K585" s="74">
        <v>1</v>
      </c>
      <c r="L585" s="74">
        <f t="shared" si="78"/>
        <v>68242</v>
      </c>
      <c r="M585" s="74">
        <f t="shared" si="79"/>
        <v>109</v>
      </c>
    </row>
    <row r="586" spans="1:13">
      <c r="A586" s="27">
        <v>46125</v>
      </c>
      <c r="B586" s="1" t="s">
        <v>228</v>
      </c>
      <c r="C586" s="1" t="s">
        <v>229</v>
      </c>
      <c r="D586" s="1" t="s">
        <v>42</v>
      </c>
      <c r="E586" s="1" t="s">
        <v>50</v>
      </c>
      <c r="F586" s="74">
        <v>89</v>
      </c>
      <c r="G586" s="28">
        <v>93</v>
      </c>
      <c r="H586" s="74">
        <v>182</v>
      </c>
      <c r="I586" s="4">
        <v>55278</v>
      </c>
      <c r="J586" s="74">
        <v>178</v>
      </c>
      <c r="K586" s="74">
        <v>1</v>
      </c>
      <c r="L586" s="74">
        <f t="shared" si="78"/>
        <v>68420</v>
      </c>
      <c r="M586" s="74">
        <f t="shared" si="79"/>
        <v>110</v>
      </c>
    </row>
    <row r="587" spans="1:13">
      <c r="A587" s="27">
        <v>46125</v>
      </c>
      <c r="B587" s="1" t="s">
        <v>230</v>
      </c>
      <c r="C587" s="1" t="s">
        <v>231</v>
      </c>
      <c r="D587" s="1" t="s">
        <v>42</v>
      </c>
      <c r="E587" s="1" t="s">
        <v>50</v>
      </c>
      <c r="F587" s="74">
        <v>212</v>
      </c>
      <c r="G587" s="28">
        <v>223</v>
      </c>
      <c r="H587" s="74">
        <v>435</v>
      </c>
      <c r="I587" s="4">
        <v>55713</v>
      </c>
      <c r="J587" s="74">
        <v>424</v>
      </c>
      <c r="K587" s="74">
        <v>1</v>
      </c>
      <c r="L587" s="74">
        <f t="shared" si="78"/>
        <v>68844</v>
      </c>
      <c r="M587" s="74">
        <f t="shared" si="79"/>
        <v>111</v>
      </c>
    </row>
    <row r="588" spans="1:13">
      <c r="A588" s="27">
        <v>46125</v>
      </c>
      <c r="B588" s="1" t="s">
        <v>232</v>
      </c>
      <c r="C588" s="1" t="s">
        <v>233</v>
      </c>
      <c r="D588" s="1" t="s">
        <v>42</v>
      </c>
      <c r="E588" s="1" t="s">
        <v>50</v>
      </c>
      <c r="F588" s="74">
        <v>212</v>
      </c>
      <c r="G588" s="28">
        <v>223</v>
      </c>
      <c r="H588" s="74">
        <v>435</v>
      </c>
      <c r="I588" s="4">
        <v>56148</v>
      </c>
      <c r="J588" s="74">
        <v>424</v>
      </c>
      <c r="K588" s="74">
        <v>1</v>
      </c>
      <c r="L588" s="74">
        <f t="shared" si="78"/>
        <v>69268</v>
      </c>
      <c r="M588" s="74">
        <f t="shared" si="79"/>
        <v>112</v>
      </c>
    </row>
    <row r="589" spans="1:13">
      <c r="A589" s="27">
        <v>46126</v>
      </c>
      <c r="B589" s="76" t="s">
        <v>33</v>
      </c>
      <c r="C589" s="76"/>
      <c r="D589" s="76"/>
      <c r="E589" s="77"/>
      <c r="F589" s="74">
        <v>0</v>
      </c>
      <c r="G589" s="74">
        <v>60</v>
      </c>
      <c r="H589" s="74">
        <v>60</v>
      </c>
      <c r="I589" s="4">
        <v>56208</v>
      </c>
      <c r="J589" s="74">
        <v>0</v>
      </c>
      <c r="K589" s="74">
        <v>0</v>
      </c>
      <c r="L589" s="74">
        <f t="shared" si="78"/>
        <v>69268</v>
      </c>
      <c r="M589" s="74">
        <f t="shared" si="79"/>
        <v>112</v>
      </c>
    </row>
    <row r="590" spans="1:13">
      <c r="A590" s="27">
        <v>46127</v>
      </c>
      <c r="B590" s="1" t="s">
        <v>234</v>
      </c>
      <c r="C590" s="1" t="s">
        <v>235</v>
      </c>
      <c r="D590" s="1" t="s">
        <v>42</v>
      </c>
      <c r="E590" s="1" t="s">
        <v>43</v>
      </c>
      <c r="F590" s="74">
        <v>625</v>
      </c>
      <c r="G590" s="28">
        <v>706</v>
      </c>
      <c r="H590" s="4">
        <v>1331</v>
      </c>
      <c r="I590" s="4">
        <v>57539</v>
      </c>
      <c r="J590" s="4">
        <v>1650</v>
      </c>
      <c r="K590" s="74">
        <v>1</v>
      </c>
      <c r="L590" s="74">
        <f t="shared" si="78"/>
        <v>70918</v>
      </c>
      <c r="M590" s="74">
        <f t="shared" si="79"/>
        <v>113</v>
      </c>
    </row>
    <row r="591" spans="1:13">
      <c r="A591" s="27">
        <v>46127</v>
      </c>
      <c r="B591" s="76" t="s">
        <v>49</v>
      </c>
      <c r="C591" s="76"/>
      <c r="D591" s="76"/>
      <c r="E591" s="77"/>
      <c r="F591" s="74">
        <v>0</v>
      </c>
      <c r="G591" s="74">
        <v>3</v>
      </c>
      <c r="H591" s="74">
        <v>3</v>
      </c>
      <c r="I591" s="4">
        <v>57542</v>
      </c>
      <c r="J591" s="74">
        <v>0</v>
      </c>
      <c r="K591" s="74">
        <v>0</v>
      </c>
      <c r="L591" s="74">
        <f t="shared" si="78"/>
        <v>70918</v>
      </c>
      <c r="M591" s="74">
        <f t="shared" si="79"/>
        <v>113</v>
      </c>
    </row>
    <row r="592" spans="1:13">
      <c r="A592" s="27">
        <v>46127</v>
      </c>
      <c r="B592" s="76" t="s">
        <v>33</v>
      </c>
      <c r="C592" s="76"/>
      <c r="D592" s="76"/>
      <c r="E592" s="77"/>
      <c r="F592" s="74">
        <v>0</v>
      </c>
      <c r="G592" s="74">
        <v>9</v>
      </c>
      <c r="H592" s="74">
        <v>9</v>
      </c>
      <c r="I592" s="4">
        <v>57551</v>
      </c>
      <c r="J592" s="74">
        <v>0</v>
      </c>
      <c r="K592" s="74">
        <v>0</v>
      </c>
      <c r="L592" s="74">
        <f t="shared" si="78"/>
        <v>70918</v>
      </c>
      <c r="M592" s="74">
        <f t="shared" si="79"/>
        <v>113</v>
      </c>
    </row>
    <row r="593" spans="1:13">
      <c r="A593" s="27">
        <v>46128</v>
      </c>
      <c r="B593" s="1" t="s">
        <v>236</v>
      </c>
      <c r="C593" s="1" t="s">
        <v>63</v>
      </c>
      <c r="D593" s="1" t="s">
        <v>42</v>
      </c>
      <c r="E593" s="1" t="s">
        <v>43</v>
      </c>
      <c r="F593" s="74">
        <v>389</v>
      </c>
      <c r="G593" s="28">
        <v>458</v>
      </c>
      <c r="H593" s="74">
        <v>847</v>
      </c>
      <c r="I593" s="4">
        <v>58398</v>
      </c>
      <c r="J593" s="4">
        <v>1178</v>
      </c>
      <c r="K593" s="74">
        <v>1</v>
      </c>
      <c r="L593" s="74">
        <f t="shared" si="78"/>
        <v>72096</v>
      </c>
      <c r="M593" s="74">
        <f t="shared" si="79"/>
        <v>114</v>
      </c>
    </row>
    <row r="594" spans="1:13">
      <c r="A594" s="27">
        <v>46128</v>
      </c>
      <c r="B594" s="76" t="s">
        <v>33</v>
      </c>
      <c r="C594" s="76"/>
      <c r="D594" s="76"/>
      <c r="E594" s="77"/>
      <c r="F594" s="74">
        <v>0</v>
      </c>
      <c r="G594" s="74">
        <v>10</v>
      </c>
      <c r="H594" s="74">
        <v>10</v>
      </c>
      <c r="I594" s="4">
        <v>58408</v>
      </c>
      <c r="J594" s="74">
        <v>0</v>
      </c>
      <c r="K594" s="74">
        <v>0</v>
      </c>
      <c r="L594" s="74">
        <f t="shared" si="78"/>
        <v>72096</v>
      </c>
      <c r="M594" s="74">
        <f t="shared" si="79"/>
        <v>114</v>
      </c>
    </row>
    <row r="595" spans="1:13">
      <c r="A595" s="27">
        <v>46129</v>
      </c>
      <c r="B595" s="76" t="s">
        <v>33</v>
      </c>
      <c r="C595" s="76"/>
      <c r="D595" s="76"/>
      <c r="E595" s="77"/>
      <c r="F595" s="74">
        <v>0</v>
      </c>
      <c r="G595" s="74">
        <v>7</v>
      </c>
      <c r="H595" s="74">
        <v>7</v>
      </c>
      <c r="I595" s="4">
        <v>58415</v>
      </c>
      <c r="J595" s="74">
        <v>0</v>
      </c>
      <c r="K595" s="74">
        <v>0</v>
      </c>
      <c r="L595" s="74">
        <f t="shared" si="78"/>
        <v>72096</v>
      </c>
      <c r="M595" s="74">
        <f t="shared" si="79"/>
        <v>114</v>
      </c>
    </row>
    <row r="596" spans="1:13">
      <c r="A596" s="27">
        <v>46130</v>
      </c>
      <c r="B596" s="76" t="s">
        <v>49</v>
      </c>
      <c r="C596" s="76"/>
      <c r="D596" s="76"/>
      <c r="E596" s="77"/>
      <c r="F596" s="74">
        <v>0</v>
      </c>
      <c r="G596" s="74">
        <v>1</v>
      </c>
      <c r="H596" s="74">
        <v>1</v>
      </c>
      <c r="I596" s="4">
        <v>58416</v>
      </c>
      <c r="J596" s="74">
        <v>0</v>
      </c>
      <c r="K596" s="74">
        <v>0</v>
      </c>
      <c r="L596" s="74">
        <f t="shared" si="78"/>
        <v>72096</v>
      </c>
      <c r="M596" s="74">
        <f t="shared" si="79"/>
        <v>114</v>
      </c>
    </row>
    <row r="597" spans="1:13">
      <c r="A597" s="27">
        <v>46130</v>
      </c>
      <c r="B597" s="76" t="s">
        <v>33</v>
      </c>
      <c r="C597" s="76"/>
      <c r="D597" s="76"/>
      <c r="E597" s="77"/>
      <c r="F597" s="74">
        <v>0</v>
      </c>
      <c r="G597" s="74">
        <v>9</v>
      </c>
      <c r="H597" s="74">
        <v>9</v>
      </c>
      <c r="I597" s="4">
        <v>58425</v>
      </c>
      <c r="J597" s="74">
        <v>0</v>
      </c>
      <c r="K597" s="74">
        <v>0</v>
      </c>
      <c r="L597" s="74">
        <f t="shared" si="78"/>
        <v>72096</v>
      </c>
      <c r="M597" s="74">
        <f t="shared" si="79"/>
        <v>114</v>
      </c>
    </row>
    <row r="598" spans="1:13">
      <c r="A598" s="27">
        <v>46131</v>
      </c>
      <c r="B598" s="76" t="s">
        <v>129</v>
      </c>
      <c r="C598" s="76"/>
      <c r="D598" s="76"/>
      <c r="E598" s="77"/>
      <c r="F598" s="74">
        <v>0</v>
      </c>
      <c r="G598" s="74">
        <v>152</v>
      </c>
      <c r="H598" s="74">
        <v>152</v>
      </c>
      <c r="I598" s="4">
        <v>58577</v>
      </c>
      <c r="J598" s="74">
        <v>0</v>
      </c>
      <c r="K598" s="74">
        <v>0</v>
      </c>
      <c r="L598" s="74">
        <f t="shared" si="78"/>
        <v>72096</v>
      </c>
      <c r="M598" s="74">
        <f t="shared" si="79"/>
        <v>114</v>
      </c>
    </row>
    <row r="599" spans="1:13">
      <c r="A599" s="27">
        <v>46131</v>
      </c>
      <c r="B599" s="76" t="s">
        <v>33</v>
      </c>
      <c r="C599" s="76"/>
      <c r="D599" s="76"/>
      <c r="E599" s="77"/>
      <c r="F599" s="74">
        <v>0</v>
      </c>
      <c r="G599" s="74">
        <v>25</v>
      </c>
      <c r="H599" s="74">
        <v>25</v>
      </c>
      <c r="I599" s="4">
        <v>58602</v>
      </c>
      <c r="J599" s="74">
        <v>0</v>
      </c>
      <c r="K599" s="74">
        <v>0</v>
      </c>
      <c r="L599" s="74">
        <f t="shared" ref="L599:L604" si="80">J599+L598</f>
        <v>72096</v>
      </c>
      <c r="M599" s="74">
        <f t="shared" ref="M599:M604" si="81">K599+M598</f>
        <v>114</v>
      </c>
    </row>
    <row r="600" spans="1:13">
      <c r="A600" s="27">
        <v>46132</v>
      </c>
      <c r="B600" s="76" t="s">
        <v>237</v>
      </c>
      <c r="C600" s="76"/>
      <c r="D600" s="76"/>
      <c r="E600" s="77"/>
      <c r="F600" s="74">
        <v>0</v>
      </c>
      <c r="G600" s="74">
        <v>50</v>
      </c>
      <c r="H600" s="74">
        <v>50</v>
      </c>
      <c r="I600" s="4">
        <v>58652</v>
      </c>
      <c r="J600" s="74">
        <v>0</v>
      </c>
      <c r="K600" s="74">
        <v>0</v>
      </c>
      <c r="L600" s="74">
        <f t="shared" si="80"/>
        <v>72096</v>
      </c>
      <c r="M600" s="74">
        <f t="shared" si="81"/>
        <v>114</v>
      </c>
    </row>
    <row r="601" spans="1:13">
      <c r="A601" s="27">
        <v>46132</v>
      </c>
      <c r="B601" s="76" t="s">
        <v>33</v>
      </c>
      <c r="C601" s="76"/>
      <c r="D601" s="76"/>
      <c r="E601" s="77"/>
      <c r="F601" s="74">
        <v>0</v>
      </c>
      <c r="G601" s="74">
        <v>15</v>
      </c>
      <c r="H601" s="74">
        <v>15</v>
      </c>
      <c r="I601" s="4">
        <v>58667</v>
      </c>
      <c r="J601" s="74">
        <v>0</v>
      </c>
      <c r="K601" s="74">
        <v>0</v>
      </c>
      <c r="L601" s="74">
        <f t="shared" si="80"/>
        <v>72096</v>
      </c>
      <c r="M601" s="74">
        <f t="shared" si="81"/>
        <v>114</v>
      </c>
    </row>
    <row r="602" spans="1:13">
      <c r="A602" s="27">
        <v>46133</v>
      </c>
      <c r="B602" s="76" t="s">
        <v>33</v>
      </c>
      <c r="C602" s="76"/>
      <c r="D602" s="76"/>
      <c r="E602" s="77"/>
      <c r="F602" s="74">
        <v>0</v>
      </c>
      <c r="G602" s="74">
        <v>7</v>
      </c>
      <c r="H602" s="74">
        <v>7</v>
      </c>
      <c r="I602" s="4">
        <v>58674</v>
      </c>
      <c r="J602" s="74">
        <v>0</v>
      </c>
      <c r="K602" s="74">
        <v>0</v>
      </c>
      <c r="L602" s="74">
        <f t="shared" si="80"/>
        <v>72096</v>
      </c>
      <c r="M602" s="74">
        <f t="shared" si="81"/>
        <v>114</v>
      </c>
    </row>
    <row r="603" spans="1:13">
      <c r="A603" s="27">
        <v>46134</v>
      </c>
      <c r="B603" s="76" t="s">
        <v>33</v>
      </c>
      <c r="C603" s="76"/>
      <c r="D603" s="76"/>
      <c r="E603" s="77"/>
      <c r="F603" s="74">
        <v>0</v>
      </c>
      <c r="G603" s="74">
        <v>57</v>
      </c>
      <c r="H603" s="74">
        <v>57</v>
      </c>
      <c r="I603" s="4">
        <v>58731</v>
      </c>
      <c r="J603" s="74">
        <v>0</v>
      </c>
      <c r="K603" s="74">
        <v>0</v>
      </c>
      <c r="L603" s="74">
        <f t="shared" si="80"/>
        <v>72096</v>
      </c>
      <c r="M603" s="74">
        <f t="shared" si="81"/>
        <v>114</v>
      </c>
    </row>
    <row r="604" spans="1:13">
      <c r="A604" s="27">
        <v>46135</v>
      </c>
      <c r="B604" s="76" t="s">
        <v>49</v>
      </c>
      <c r="C604" s="76"/>
      <c r="D604" s="76"/>
      <c r="E604" s="77"/>
      <c r="F604" s="74">
        <v>0</v>
      </c>
      <c r="G604" s="74">
        <v>3</v>
      </c>
      <c r="H604" s="74">
        <v>3</v>
      </c>
      <c r="I604" s="4">
        <v>58734</v>
      </c>
      <c r="J604" s="74">
        <v>0</v>
      </c>
      <c r="K604" s="74">
        <v>0</v>
      </c>
      <c r="L604" s="74">
        <f t="shared" si="80"/>
        <v>72096</v>
      </c>
      <c r="M604" s="74">
        <f t="shared" si="81"/>
        <v>114</v>
      </c>
    </row>
    <row r="605" spans="1:13">
      <c r="A605" s="27">
        <v>46135</v>
      </c>
      <c r="B605" s="76" t="s">
        <v>33</v>
      </c>
      <c r="C605" s="76"/>
      <c r="D605" s="76"/>
      <c r="E605" s="77"/>
      <c r="F605" s="74">
        <v>0</v>
      </c>
      <c r="G605" s="74">
        <v>6</v>
      </c>
      <c r="H605" s="74">
        <v>6</v>
      </c>
      <c r="I605" s="4">
        <v>58740</v>
      </c>
      <c r="J605" s="74">
        <v>0</v>
      </c>
      <c r="K605" s="74">
        <v>0</v>
      </c>
      <c r="L605" s="74">
        <f t="shared" ref="L605:L614" si="82">J605+L604</f>
        <v>72096</v>
      </c>
      <c r="M605" s="74">
        <f t="shared" ref="M605:M614" si="83">K605+M604</f>
        <v>114</v>
      </c>
    </row>
    <row r="606" spans="1:13">
      <c r="A606" s="27">
        <v>46136</v>
      </c>
      <c r="B606" s="76" t="s">
        <v>33</v>
      </c>
      <c r="C606" s="76"/>
      <c r="D606" s="76"/>
      <c r="E606" s="77"/>
      <c r="F606" s="74">
        <v>0</v>
      </c>
      <c r="G606" s="74">
        <v>8</v>
      </c>
      <c r="H606" s="74">
        <v>8</v>
      </c>
      <c r="I606" s="4">
        <v>58748</v>
      </c>
      <c r="J606" s="74">
        <v>0</v>
      </c>
      <c r="K606" s="74">
        <v>0</v>
      </c>
      <c r="L606" s="74">
        <f t="shared" si="82"/>
        <v>72096</v>
      </c>
      <c r="M606" s="74">
        <f t="shared" si="83"/>
        <v>114</v>
      </c>
    </row>
    <row r="607" spans="1:13">
      <c r="A607" s="27">
        <v>46137</v>
      </c>
      <c r="B607" s="1" t="s">
        <v>196</v>
      </c>
      <c r="C607" s="1" t="s">
        <v>73</v>
      </c>
      <c r="D607" s="1" t="s">
        <v>42</v>
      </c>
      <c r="E607" s="1" t="s">
        <v>50</v>
      </c>
      <c r="F607" s="74">
        <v>66</v>
      </c>
      <c r="G607" s="28">
        <v>69</v>
      </c>
      <c r="H607" s="74">
        <v>135</v>
      </c>
      <c r="I607" s="4">
        <v>58883</v>
      </c>
      <c r="J607" s="74">
        <v>132</v>
      </c>
      <c r="K607" s="74">
        <v>1</v>
      </c>
      <c r="L607" s="74">
        <f t="shared" si="82"/>
        <v>72228</v>
      </c>
      <c r="M607" s="74">
        <f t="shared" si="83"/>
        <v>115</v>
      </c>
    </row>
    <row r="608" spans="1:13">
      <c r="A608" s="27">
        <v>46137</v>
      </c>
      <c r="B608" s="1" t="s">
        <v>238</v>
      </c>
      <c r="C608" s="1" t="s">
        <v>239</v>
      </c>
      <c r="D608" s="1" t="s">
        <v>42</v>
      </c>
      <c r="E608" s="1" t="s">
        <v>50</v>
      </c>
      <c r="F608" s="74">
        <v>281</v>
      </c>
      <c r="G608" s="28">
        <v>295</v>
      </c>
      <c r="H608" s="74">
        <v>576</v>
      </c>
      <c r="I608" s="4">
        <v>59459</v>
      </c>
      <c r="J608" s="74">
        <v>562</v>
      </c>
      <c r="K608" s="74">
        <v>1</v>
      </c>
      <c r="L608" s="74">
        <f t="shared" si="82"/>
        <v>72790</v>
      </c>
      <c r="M608" s="74">
        <f t="shared" si="83"/>
        <v>116</v>
      </c>
    </row>
    <row r="609" spans="1:13">
      <c r="A609" s="27">
        <v>46137</v>
      </c>
      <c r="B609" s="1" t="s">
        <v>240</v>
      </c>
      <c r="C609" s="1" t="s">
        <v>241</v>
      </c>
      <c r="D609" s="1" t="s">
        <v>42</v>
      </c>
      <c r="E609" s="1" t="s">
        <v>50</v>
      </c>
      <c r="F609" s="74">
        <v>288</v>
      </c>
      <c r="G609" s="28">
        <v>302</v>
      </c>
      <c r="H609" s="74">
        <v>590</v>
      </c>
      <c r="I609" s="4">
        <v>60049</v>
      </c>
      <c r="J609" s="74">
        <v>576</v>
      </c>
      <c r="K609" s="74">
        <v>1</v>
      </c>
      <c r="L609" s="74">
        <f t="shared" si="82"/>
        <v>73366</v>
      </c>
      <c r="M609" s="74">
        <f t="shared" si="83"/>
        <v>117</v>
      </c>
    </row>
    <row r="610" spans="1:13">
      <c r="A610" s="27">
        <v>46137</v>
      </c>
      <c r="B610" s="1" t="s">
        <v>242</v>
      </c>
      <c r="C610" s="1" t="s">
        <v>243</v>
      </c>
      <c r="D610" s="1" t="s">
        <v>42</v>
      </c>
      <c r="E610" s="1" t="s">
        <v>50</v>
      </c>
      <c r="F610" s="74">
        <v>288</v>
      </c>
      <c r="G610" s="28">
        <v>302</v>
      </c>
      <c r="H610" s="74">
        <v>590</v>
      </c>
      <c r="I610" s="4">
        <v>60639</v>
      </c>
      <c r="J610" s="74">
        <v>576</v>
      </c>
      <c r="K610" s="74">
        <v>1</v>
      </c>
      <c r="L610" s="74">
        <f t="shared" si="82"/>
        <v>73942</v>
      </c>
      <c r="M610" s="74">
        <f t="shared" si="83"/>
        <v>118</v>
      </c>
    </row>
    <row r="611" spans="1:13">
      <c r="A611" s="27">
        <v>46137</v>
      </c>
      <c r="B611" s="76" t="s">
        <v>33</v>
      </c>
      <c r="C611" s="76"/>
      <c r="D611" s="76"/>
      <c r="E611" s="77"/>
      <c r="F611" s="74">
        <v>0</v>
      </c>
      <c r="G611" s="74">
        <v>9</v>
      </c>
      <c r="H611" s="74">
        <v>9</v>
      </c>
      <c r="I611" s="4">
        <v>60648</v>
      </c>
      <c r="J611" s="74">
        <v>0</v>
      </c>
      <c r="K611" s="74">
        <v>0</v>
      </c>
      <c r="L611" s="74">
        <f t="shared" si="82"/>
        <v>73942</v>
      </c>
      <c r="M611" s="74">
        <f t="shared" si="83"/>
        <v>118</v>
      </c>
    </row>
    <row r="612" spans="1:13">
      <c r="A612" s="27">
        <v>46138</v>
      </c>
      <c r="B612" s="1" t="s">
        <v>135</v>
      </c>
      <c r="C612" s="1" t="s">
        <v>136</v>
      </c>
      <c r="D612" s="1" t="s">
        <v>42</v>
      </c>
      <c r="E612" s="1" t="s">
        <v>50</v>
      </c>
      <c r="F612" s="74">
        <v>124</v>
      </c>
      <c r="G612" s="28">
        <v>130</v>
      </c>
      <c r="H612" s="74">
        <v>254</v>
      </c>
      <c r="I612" s="4">
        <v>60902</v>
      </c>
      <c r="J612" s="74">
        <v>248</v>
      </c>
      <c r="K612" s="74">
        <v>1</v>
      </c>
      <c r="L612" s="74">
        <f t="shared" si="82"/>
        <v>74190</v>
      </c>
      <c r="M612" s="74">
        <f t="shared" si="83"/>
        <v>119</v>
      </c>
    </row>
    <row r="613" spans="1:13">
      <c r="A613" s="27">
        <v>46138</v>
      </c>
      <c r="B613" s="1" t="s">
        <v>90</v>
      </c>
      <c r="C613" s="1" t="s">
        <v>91</v>
      </c>
      <c r="D613" s="1" t="s">
        <v>42</v>
      </c>
      <c r="E613" s="1" t="s">
        <v>50</v>
      </c>
      <c r="F613" s="74">
        <v>124</v>
      </c>
      <c r="G613" s="28">
        <v>130</v>
      </c>
      <c r="H613" s="74">
        <v>254</v>
      </c>
      <c r="I613" s="4">
        <v>61156</v>
      </c>
      <c r="J613" s="74">
        <v>248</v>
      </c>
      <c r="K613" s="74">
        <v>1</v>
      </c>
      <c r="L613" s="74">
        <f t="shared" si="82"/>
        <v>74438</v>
      </c>
      <c r="M613" s="74">
        <f t="shared" si="83"/>
        <v>120</v>
      </c>
    </row>
    <row r="614" spans="1:13">
      <c r="A614" s="27">
        <v>46138</v>
      </c>
      <c r="B614" s="1" t="s">
        <v>244</v>
      </c>
      <c r="C614" s="1" t="s">
        <v>138</v>
      </c>
      <c r="D614" s="1" t="s">
        <v>42</v>
      </c>
      <c r="E614" s="1" t="s">
        <v>50</v>
      </c>
      <c r="F614" s="74">
        <v>89</v>
      </c>
      <c r="G614" s="28">
        <v>93</v>
      </c>
      <c r="H614" s="74">
        <v>182</v>
      </c>
      <c r="I614" s="4">
        <v>61338</v>
      </c>
      <c r="J614" s="74">
        <v>178</v>
      </c>
      <c r="K614" s="74">
        <v>1</v>
      </c>
      <c r="L614" s="74">
        <f t="shared" si="82"/>
        <v>74616</v>
      </c>
      <c r="M614" s="74">
        <f t="shared" si="83"/>
        <v>121</v>
      </c>
    </row>
    <row r="615" spans="1:13">
      <c r="A615" s="27">
        <v>46138</v>
      </c>
      <c r="B615" s="1" t="s">
        <v>245</v>
      </c>
      <c r="C615" s="1" t="s">
        <v>93</v>
      </c>
      <c r="D615" s="1" t="s">
        <v>42</v>
      </c>
      <c r="E615" s="1" t="s">
        <v>50</v>
      </c>
      <c r="F615" s="74">
        <v>89</v>
      </c>
      <c r="G615" s="28">
        <v>93</v>
      </c>
      <c r="H615" s="74">
        <v>182</v>
      </c>
      <c r="I615" s="4">
        <v>61520</v>
      </c>
      <c r="J615" s="74">
        <v>178</v>
      </c>
      <c r="K615" s="74">
        <v>1</v>
      </c>
      <c r="L615" s="74">
        <f t="shared" ref="L615:L616" si="84">J615+L614</f>
        <v>74794</v>
      </c>
      <c r="M615" s="74">
        <f t="shared" ref="M615:M616" si="85">K615+M614</f>
        <v>122</v>
      </c>
    </row>
    <row r="616" spans="1:13">
      <c r="A616" s="27">
        <v>46138</v>
      </c>
      <c r="B616" s="1" t="s">
        <v>139</v>
      </c>
      <c r="C616" s="1" t="s">
        <v>121</v>
      </c>
      <c r="D616" s="1" t="s">
        <v>42</v>
      </c>
      <c r="E616" s="1" t="s">
        <v>50</v>
      </c>
      <c r="F616" s="74">
        <v>30</v>
      </c>
      <c r="G616" s="28">
        <v>32</v>
      </c>
      <c r="H616" s="74">
        <v>62</v>
      </c>
      <c r="I616" s="4">
        <v>61582</v>
      </c>
      <c r="J616" s="74">
        <v>60</v>
      </c>
      <c r="K616" s="74">
        <v>1</v>
      </c>
      <c r="L616" s="74">
        <f t="shared" si="84"/>
        <v>74854</v>
      </c>
      <c r="M616" s="74">
        <f t="shared" si="85"/>
        <v>123</v>
      </c>
    </row>
    <row r="617" spans="1:13">
      <c r="A617" s="27">
        <v>46138</v>
      </c>
      <c r="B617" s="1" t="s">
        <v>140</v>
      </c>
      <c r="C617" s="1" t="s">
        <v>123</v>
      </c>
      <c r="D617" s="1" t="s">
        <v>42</v>
      </c>
      <c r="E617" s="1" t="s">
        <v>50</v>
      </c>
      <c r="F617" s="74">
        <v>30</v>
      </c>
      <c r="G617" s="28">
        <v>32</v>
      </c>
      <c r="H617" s="74">
        <v>62</v>
      </c>
      <c r="I617" s="4">
        <v>61644</v>
      </c>
      <c r="J617" s="74">
        <v>60</v>
      </c>
      <c r="K617" s="74">
        <v>1</v>
      </c>
      <c r="L617" s="74">
        <f t="shared" ref="L617:L625" si="86">J617+L616</f>
        <v>74914</v>
      </c>
      <c r="M617" s="74">
        <f t="shared" ref="M617:M625" si="87">K617+M616</f>
        <v>124</v>
      </c>
    </row>
    <row r="618" spans="1:13">
      <c r="A618" s="27">
        <v>46138</v>
      </c>
      <c r="B618" s="1" t="s">
        <v>95</v>
      </c>
      <c r="C618" s="1" t="s">
        <v>69</v>
      </c>
      <c r="D618" s="1" t="s">
        <v>42</v>
      </c>
      <c r="E618" s="1" t="s">
        <v>50</v>
      </c>
      <c r="F618" s="74">
        <v>269</v>
      </c>
      <c r="G618" s="28">
        <v>282</v>
      </c>
      <c r="H618" s="74">
        <v>551</v>
      </c>
      <c r="I618" s="4">
        <v>62195</v>
      </c>
      <c r="J618" s="74">
        <v>538</v>
      </c>
      <c r="K618" s="74">
        <v>1</v>
      </c>
      <c r="L618" s="74">
        <f t="shared" si="86"/>
        <v>75452</v>
      </c>
      <c r="M618" s="74">
        <f t="shared" si="87"/>
        <v>125</v>
      </c>
    </row>
    <row r="619" spans="1:13">
      <c r="A619" s="27">
        <v>46138</v>
      </c>
      <c r="B619" s="1" t="s">
        <v>162</v>
      </c>
      <c r="C619" s="1" t="s">
        <v>100</v>
      </c>
      <c r="D619" s="1" t="s">
        <v>42</v>
      </c>
      <c r="E619" s="1" t="s">
        <v>50</v>
      </c>
      <c r="F619" s="74">
        <v>492</v>
      </c>
      <c r="G619" s="28">
        <v>517</v>
      </c>
      <c r="H619" s="4">
        <v>1009</v>
      </c>
      <c r="I619" s="4">
        <v>63204</v>
      </c>
      <c r="J619" s="74">
        <v>984</v>
      </c>
      <c r="K619" s="74">
        <v>1</v>
      </c>
      <c r="L619" s="74">
        <f t="shared" si="86"/>
        <v>76436</v>
      </c>
      <c r="M619" s="74">
        <f t="shared" si="87"/>
        <v>126</v>
      </c>
    </row>
    <row r="620" spans="1:13">
      <c r="A620" s="27">
        <v>46138</v>
      </c>
      <c r="B620" s="76" t="s">
        <v>49</v>
      </c>
      <c r="C620" s="76"/>
      <c r="D620" s="76"/>
      <c r="E620" s="77"/>
      <c r="F620" s="74">
        <v>0</v>
      </c>
      <c r="G620" s="74">
        <v>1</v>
      </c>
      <c r="H620" s="74">
        <v>1</v>
      </c>
      <c r="I620" s="4">
        <v>63205</v>
      </c>
      <c r="J620" s="74">
        <v>0</v>
      </c>
      <c r="K620" s="74">
        <v>0</v>
      </c>
      <c r="L620" s="74">
        <f t="shared" si="86"/>
        <v>76436</v>
      </c>
      <c r="M620" s="74">
        <f t="shared" si="87"/>
        <v>126</v>
      </c>
    </row>
    <row r="621" spans="1:13">
      <c r="A621" s="27">
        <v>46138</v>
      </c>
      <c r="B621" s="76" t="s">
        <v>33</v>
      </c>
      <c r="C621" s="76"/>
      <c r="D621" s="76"/>
      <c r="E621" s="77"/>
      <c r="F621" s="74">
        <v>0</v>
      </c>
      <c r="G621" s="74">
        <v>31</v>
      </c>
      <c r="H621" s="74">
        <v>31</v>
      </c>
      <c r="I621" s="4">
        <v>63236</v>
      </c>
      <c r="J621" s="74">
        <v>0</v>
      </c>
      <c r="K621" s="74">
        <v>0</v>
      </c>
      <c r="L621" s="74">
        <f t="shared" si="86"/>
        <v>76436</v>
      </c>
      <c r="M621" s="74">
        <f t="shared" si="87"/>
        <v>126</v>
      </c>
    </row>
    <row r="622" spans="1:13">
      <c r="A622" s="27">
        <v>46139</v>
      </c>
      <c r="B622" s="76" t="s">
        <v>33</v>
      </c>
      <c r="C622" s="76"/>
      <c r="D622" s="76"/>
      <c r="E622" s="77"/>
      <c r="F622" s="74">
        <v>0</v>
      </c>
      <c r="G622" s="74">
        <v>10</v>
      </c>
      <c r="H622" s="74">
        <v>10</v>
      </c>
      <c r="I622" s="4">
        <v>63246</v>
      </c>
      <c r="J622" s="74">
        <v>0</v>
      </c>
      <c r="K622" s="74">
        <v>0</v>
      </c>
      <c r="L622" s="74">
        <f t="shared" si="86"/>
        <v>76436</v>
      </c>
      <c r="M622" s="74">
        <f t="shared" si="87"/>
        <v>126</v>
      </c>
    </row>
    <row r="623" spans="1:13">
      <c r="A623" s="27">
        <v>46140</v>
      </c>
      <c r="B623" s="76" t="s">
        <v>33</v>
      </c>
      <c r="C623" s="76"/>
      <c r="D623" s="76"/>
      <c r="E623" s="77"/>
      <c r="F623" s="74">
        <v>0</v>
      </c>
      <c r="G623" s="74">
        <v>17</v>
      </c>
      <c r="H623" s="74">
        <v>17</v>
      </c>
      <c r="I623" s="4">
        <v>63263</v>
      </c>
      <c r="J623" s="74">
        <v>0</v>
      </c>
      <c r="K623" s="74">
        <v>0</v>
      </c>
      <c r="L623" s="74">
        <f t="shared" si="86"/>
        <v>76436</v>
      </c>
      <c r="M623" s="74">
        <f t="shared" si="87"/>
        <v>126</v>
      </c>
    </row>
    <row r="624" spans="1:13">
      <c r="A624" s="27">
        <v>46141</v>
      </c>
      <c r="B624" s="76" t="s">
        <v>33</v>
      </c>
      <c r="C624" s="76"/>
      <c r="D624" s="76"/>
      <c r="E624" s="77"/>
      <c r="F624" s="74">
        <v>0</v>
      </c>
      <c r="G624" s="74">
        <v>9</v>
      </c>
      <c r="H624" s="74">
        <v>9</v>
      </c>
      <c r="I624" s="4">
        <v>63272</v>
      </c>
      <c r="J624" s="74">
        <v>0</v>
      </c>
      <c r="K624" s="74">
        <v>0</v>
      </c>
      <c r="L624" s="74">
        <f t="shared" si="86"/>
        <v>76436</v>
      </c>
      <c r="M624" s="74">
        <f t="shared" si="87"/>
        <v>126</v>
      </c>
    </row>
    <row r="625" spans="1:13">
      <c r="A625" s="27">
        <v>46142</v>
      </c>
      <c r="B625" s="76" t="s">
        <v>214</v>
      </c>
      <c r="C625" s="76"/>
      <c r="D625" s="76"/>
      <c r="E625" s="77"/>
      <c r="F625" s="74">
        <v>0</v>
      </c>
      <c r="G625" s="74">
        <v>60</v>
      </c>
      <c r="H625" s="74">
        <v>60</v>
      </c>
      <c r="I625" s="4">
        <v>63332</v>
      </c>
      <c r="J625" s="74">
        <v>0</v>
      </c>
      <c r="K625" s="74">
        <v>0</v>
      </c>
      <c r="L625" s="74">
        <f t="shared" si="86"/>
        <v>76436</v>
      </c>
      <c r="M625" s="74">
        <f t="shared" si="87"/>
        <v>126</v>
      </c>
    </row>
    <row r="626" spans="1:13">
      <c r="A626" s="27">
        <v>46142</v>
      </c>
      <c r="B626" s="76" t="s">
        <v>167</v>
      </c>
      <c r="C626" s="76"/>
      <c r="D626" s="76"/>
      <c r="E626" s="77"/>
      <c r="F626" s="74">
        <v>0</v>
      </c>
      <c r="G626" s="74">
        <v>58</v>
      </c>
      <c r="H626" s="74">
        <v>58</v>
      </c>
      <c r="I626" s="4">
        <v>63390</v>
      </c>
      <c r="J626" s="74">
        <v>0</v>
      </c>
      <c r="K626" s="74">
        <v>0</v>
      </c>
      <c r="L626" s="74">
        <f t="shared" ref="L626:L632" si="88">J626+L625</f>
        <v>76436</v>
      </c>
      <c r="M626" s="74">
        <f t="shared" ref="M626:M632" si="89">K626+M625</f>
        <v>126</v>
      </c>
    </row>
    <row r="627" spans="1:13">
      <c r="A627" s="27">
        <v>46142</v>
      </c>
      <c r="B627" s="76" t="s">
        <v>168</v>
      </c>
      <c r="C627" s="76"/>
      <c r="D627" s="76"/>
      <c r="E627" s="77"/>
      <c r="F627" s="74">
        <v>0</v>
      </c>
      <c r="G627" s="74">
        <v>5</v>
      </c>
      <c r="H627" s="74">
        <v>5</v>
      </c>
      <c r="I627" s="4">
        <v>63395</v>
      </c>
      <c r="J627" s="74">
        <v>0</v>
      </c>
      <c r="K627" s="74">
        <v>0</v>
      </c>
      <c r="L627" s="74">
        <f t="shared" si="88"/>
        <v>76436</v>
      </c>
      <c r="M627" s="74">
        <f t="shared" si="89"/>
        <v>126</v>
      </c>
    </row>
    <row r="628" spans="1:13">
      <c r="A628" s="27">
        <v>46142</v>
      </c>
      <c r="B628" s="76" t="s">
        <v>169</v>
      </c>
      <c r="C628" s="76"/>
      <c r="D628" s="76"/>
      <c r="E628" s="77"/>
      <c r="F628" s="74">
        <v>0</v>
      </c>
      <c r="G628" s="74">
        <v>27</v>
      </c>
      <c r="H628" s="74">
        <v>27</v>
      </c>
      <c r="I628" s="4">
        <v>63422</v>
      </c>
      <c r="J628" s="74">
        <v>0</v>
      </c>
      <c r="K628" s="74">
        <v>0</v>
      </c>
      <c r="L628" s="74">
        <f t="shared" si="88"/>
        <v>76436</v>
      </c>
      <c r="M628" s="74">
        <f t="shared" si="89"/>
        <v>126</v>
      </c>
    </row>
    <row r="629" spans="1:13">
      <c r="A629" s="27">
        <v>46142</v>
      </c>
      <c r="B629" s="76" t="s">
        <v>33</v>
      </c>
      <c r="C629" s="76"/>
      <c r="D629" s="76"/>
      <c r="E629" s="77"/>
      <c r="F629" s="74">
        <v>0</v>
      </c>
      <c r="G629" s="74">
        <v>10</v>
      </c>
      <c r="H629" s="74">
        <v>10</v>
      </c>
      <c r="I629" s="4">
        <v>63432</v>
      </c>
      <c r="J629" s="74">
        <v>0</v>
      </c>
      <c r="K629" s="74">
        <v>0</v>
      </c>
      <c r="L629" s="74">
        <f t="shared" si="88"/>
        <v>76436</v>
      </c>
      <c r="M629" s="74">
        <f t="shared" si="89"/>
        <v>126</v>
      </c>
    </row>
    <row r="630" spans="1:13">
      <c r="A630" s="27">
        <v>46143</v>
      </c>
      <c r="B630" s="76" t="s">
        <v>246</v>
      </c>
      <c r="C630" s="76"/>
      <c r="D630" s="76"/>
      <c r="E630" s="77"/>
      <c r="F630" s="74">
        <v>0</v>
      </c>
      <c r="G630" s="4">
        <v>5000</v>
      </c>
      <c r="H630" s="4">
        <v>5000</v>
      </c>
      <c r="I630" s="4">
        <v>68432</v>
      </c>
      <c r="J630" s="74">
        <v>0</v>
      </c>
      <c r="K630" s="74">
        <v>0</v>
      </c>
      <c r="L630" s="74">
        <f t="shared" si="88"/>
        <v>76436</v>
      </c>
      <c r="M630" s="74">
        <f t="shared" si="89"/>
        <v>126</v>
      </c>
    </row>
    <row r="631" spans="1:13">
      <c r="A631" s="27">
        <v>46143</v>
      </c>
      <c r="B631" s="76" t="s">
        <v>49</v>
      </c>
      <c r="C631" s="76"/>
      <c r="D631" s="76"/>
      <c r="E631" s="77"/>
      <c r="F631" s="74">
        <v>0</v>
      </c>
      <c r="G631" s="74">
        <v>1</v>
      </c>
      <c r="H631" s="74">
        <v>1</v>
      </c>
      <c r="I631" s="4">
        <v>68433</v>
      </c>
      <c r="J631" s="74">
        <v>0</v>
      </c>
      <c r="K631" s="74">
        <v>0</v>
      </c>
      <c r="L631" s="74">
        <f t="shared" si="88"/>
        <v>76436</v>
      </c>
      <c r="M631" s="74">
        <f t="shared" si="89"/>
        <v>126</v>
      </c>
    </row>
    <row r="632" spans="1:13">
      <c r="A632" s="27">
        <v>46143</v>
      </c>
      <c r="B632" s="76" t="s">
        <v>33</v>
      </c>
      <c r="C632" s="76"/>
      <c r="D632" s="76"/>
      <c r="E632" s="77"/>
      <c r="F632" s="74">
        <v>0</v>
      </c>
      <c r="G632" s="74">
        <v>20</v>
      </c>
      <c r="H632" s="74">
        <v>20</v>
      </c>
      <c r="I632" s="4">
        <v>68453</v>
      </c>
      <c r="J632" s="74">
        <v>0</v>
      </c>
      <c r="K632" s="74">
        <v>0</v>
      </c>
      <c r="L632" s="74">
        <f t="shared" si="88"/>
        <v>76436</v>
      </c>
      <c r="M632" s="74">
        <f t="shared" si="89"/>
        <v>126</v>
      </c>
    </row>
    <row r="633" spans="1:13">
      <c r="A633" s="27">
        <v>46143</v>
      </c>
      <c r="B633" s="76" t="s">
        <v>49</v>
      </c>
      <c r="C633" s="76"/>
      <c r="D633" s="76"/>
      <c r="E633" s="77"/>
      <c r="F633" s="74">
        <v>0</v>
      </c>
      <c r="G633" s="74">
        <v>1</v>
      </c>
      <c r="H633" s="74">
        <v>1</v>
      </c>
      <c r="I633" s="4">
        <v>68454</v>
      </c>
      <c r="J633" s="74">
        <v>0</v>
      </c>
      <c r="K633" s="74">
        <v>0</v>
      </c>
      <c r="L633" s="74">
        <f t="shared" ref="L633:L635" si="90">J633+L632</f>
        <v>76436</v>
      </c>
      <c r="M633" s="74">
        <f t="shared" ref="M633:M635" si="91">K633+M632</f>
        <v>126</v>
      </c>
    </row>
    <row r="634" spans="1:13">
      <c r="A634" s="27">
        <v>46144</v>
      </c>
      <c r="B634" s="76" t="s">
        <v>33</v>
      </c>
      <c r="C634" s="76"/>
      <c r="D634" s="76"/>
      <c r="E634" s="77"/>
      <c r="F634" s="74">
        <v>0</v>
      </c>
      <c r="G634" s="74">
        <v>24</v>
      </c>
      <c r="H634" s="74">
        <v>24</v>
      </c>
      <c r="I634" s="4">
        <v>68478</v>
      </c>
      <c r="J634" s="74">
        <v>0</v>
      </c>
      <c r="K634" s="74">
        <v>0</v>
      </c>
      <c r="L634" s="74">
        <f t="shared" si="90"/>
        <v>76436</v>
      </c>
      <c r="M634" s="74">
        <f t="shared" si="91"/>
        <v>126</v>
      </c>
    </row>
    <row r="635" spans="1:13">
      <c r="A635" s="27">
        <v>46145</v>
      </c>
      <c r="B635" s="76" t="s">
        <v>33</v>
      </c>
      <c r="C635" s="76"/>
      <c r="D635" s="76"/>
      <c r="E635" s="77"/>
      <c r="F635" s="74">
        <v>0</v>
      </c>
      <c r="G635" s="74">
        <v>19</v>
      </c>
      <c r="H635" s="74">
        <v>19</v>
      </c>
      <c r="I635" s="4">
        <v>68497</v>
      </c>
      <c r="J635" s="74">
        <v>0</v>
      </c>
      <c r="K635" s="74">
        <v>0</v>
      </c>
      <c r="L635" s="74">
        <f t="shared" si="90"/>
        <v>76436</v>
      </c>
      <c r="M635" s="74">
        <f t="shared" si="91"/>
        <v>126</v>
      </c>
    </row>
    <row r="636" spans="1:13">
      <c r="A636" s="27">
        <v>46146</v>
      </c>
      <c r="B636" s="76" t="s">
        <v>33</v>
      </c>
      <c r="C636" s="76"/>
      <c r="D636" s="76"/>
      <c r="E636" s="77"/>
      <c r="F636" s="74">
        <v>0</v>
      </c>
      <c r="G636" s="74">
        <v>9</v>
      </c>
      <c r="H636" s="74">
        <v>9</v>
      </c>
      <c r="I636" s="4">
        <v>68506</v>
      </c>
      <c r="J636" s="74">
        <v>0</v>
      </c>
      <c r="K636" s="74">
        <v>0</v>
      </c>
      <c r="L636" s="74">
        <f t="shared" ref="L636:L641" si="92">J636+L635</f>
        <v>76436</v>
      </c>
      <c r="M636" s="74">
        <f t="shared" ref="M636:M641" si="93">K636+M635</f>
        <v>126</v>
      </c>
    </row>
    <row r="637" spans="1:13">
      <c r="A637" s="27">
        <v>46147</v>
      </c>
      <c r="B637" s="76" t="s">
        <v>33</v>
      </c>
      <c r="C637" s="76"/>
      <c r="D637" s="76"/>
      <c r="E637" s="77"/>
      <c r="F637" s="74">
        <v>0</v>
      </c>
      <c r="G637" s="74">
        <v>18</v>
      </c>
      <c r="H637" s="74">
        <v>18</v>
      </c>
      <c r="I637" s="4">
        <v>68524</v>
      </c>
      <c r="J637" s="74">
        <v>0</v>
      </c>
      <c r="K637" s="74">
        <v>0</v>
      </c>
      <c r="L637" s="74">
        <f t="shared" si="92"/>
        <v>76436</v>
      </c>
      <c r="M637" s="74">
        <f t="shared" si="93"/>
        <v>126</v>
      </c>
    </row>
    <row r="638" spans="1:13">
      <c r="A638" s="27">
        <v>46148</v>
      </c>
      <c r="B638" s="76" t="s">
        <v>49</v>
      </c>
      <c r="C638" s="76"/>
      <c r="D638" s="76"/>
      <c r="E638" s="77"/>
      <c r="F638" s="74">
        <v>0</v>
      </c>
      <c r="G638" s="74">
        <v>1</v>
      </c>
      <c r="H638" s="74">
        <v>1</v>
      </c>
      <c r="I638" s="4">
        <v>68525</v>
      </c>
      <c r="J638" s="74">
        <v>0</v>
      </c>
      <c r="K638" s="74">
        <v>0</v>
      </c>
      <c r="L638" s="74">
        <f t="shared" si="92"/>
        <v>76436</v>
      </c>
      <c r="M638" s="74">
        <f t="shared" si="93"/>
        <v>126</v>
      </c>
    </row>
    <row r="639" spans="1:13">
      <c r="A639" s="27">
        <v>46148</v>
      </c>
      <c r="B639" s="76" t="s">
        <v>33</v>
      </c>
      <c r="C639" s="76"/>
      <c r="D639" s="76"/>
      <c r="E639" s="77"/>
      <c r="F639" s="74">
        <v>0</v>
      </c>
      <c r="G639" s="74">
        <v>15</v>
      </c>
      <c r="H639" s="74">
        <v>15</v>
      </c>
      <c r="I639" s="4">
        <v>68540</v>
      </c>
      <c r="J639" s="74">
        <v>0</v>
      </c>
      <c r="K639" s="74">
        <v>0</v>
      </c>
      <c r="L639" s="74">
        <f t="shared" si="92"/>
        <v>76436</v>
      </c>
      <c r="M639" s="74">
        <f t="shared" si="93"/>
        <v>126</v>
      </c>
    </row>
    <row r="640" spans="1:13">
      <c r="A640" s="27">
        <v>46148</v>
      </c>
      <c r="B640" s="76" t="s">
        <v>49</v>
      </c>
      <c r="C640" s="76"/>
      <c r="D640" s="76"/>
      <c r="E640" s="77"/>
      <c r="F640" s="74">
        <v>0</v>
      </c>
      <c r="G640" s="74">
        <v>1</v>
      </c>
      <c r="H640" s="74">
        <v>1</v>
      </c>
      <c r="I640" s="4">
        <v>68541</v>
      </c>
      <c r="J640" s="74">
        <v>0</v>
      </c>
      <c r="K640" s="74">
        <v>0</v>
      </c>
      <c r="L640" s="74">
        <f t="shared" si="92"/>
        <v>76436</v>
      </c>
      <c r="M640" s="74">
        <f t="shared" si="93"/>
        <v>126</v>
      </c>
    </row>
    <row r="641" spans="1:13">
      <c r="A641" s="27">
        <v>46148</v>
      </c>
      <c r="B641" s="76" t="s">
        <v>49</v>
      </c>
      <c r="C641" s="76"/>
      <c r="D641" s="76"/>
      <c r="E641" s="77"/>
      <c r="F641" s="74">
        <v>0</v>
      </c>
      <c r="G641" s="74">
        <v>1</v>
      </c>
      <c r="H641" s="74">
        <v>1</v>
      </c>
      <c r="I641" s="4">
        <v>68542</v>
      </c>
      <c r="J641" s="74">
        <v>0</v>
      </c>
      <c r="K641" s="74">
        <v>0</v>
      </c>
      <c r="L641" s="74">
        <f t="shared" si="92"/>
        <v>76436</v>
      </c>
      <c r="M641" s="74">
        <f t="shared" si="93"/>
        <v>126</v>
      </c>
    </row>
    <row r="642" spans="1:13">
      <c r="A642" s="27">
        <v>46148</v>
      </c>
      <c r="B642" s="76" t="s">
        <v>49</v>
      </c>
      <c r="C642" s="76"/>
      <c r="D642" s="76"/>
      <c r="E642" s="77"/>
      <c r="F642" s="74">
        <v>0</v>
      </c>
      <c r="G642" s="74">
        <v>1</v>
      </c>
      <c r="H642" s="74">
        <v>1</v>
      </c>
      <c r="I642" s="4">
        <v>68543</v>
      </c>
      <c r="J642" s="74">
        <v>0</v>
      </c>
      <c r="K642" s="74">
        <v>0</v>
      </c>
      <c r="L642" s="74">
        <f t="shared" ref="L642:L652" si="94">J642+L641</f>
        <v>76436</v>
      </c>
      <c r="M642" s="74">
        <f t="shared" ref="M642:M652" si="95">K642+M641</f>
        <v>126</v>
      </c>
    </row>
    <row r="643" spans="1:13">
      <c r="A643" s="27">
        <v>46149</v>
      </c>
      <c r="B643" s="76" t="s">
        <v>33</v>
      </c>
      <c r="C643" s="76"/>
      <c r="D643" s="76"/>
      <c r="E643" s="77"/>
      <c r="F643" s="74">
        <v>0</v>
      </c>
      <c r="G643" s="74">
        <v>24</v>
      </c>
      <c r="H643" s="74">
        <v>24</v>
      </c>
      <c r="I643" s="4">
        <v>68567</v>
      </c>
      <c r="J643" s="74">
        <v>0</v>
      </c>
      <c r="K643" s="74">
        <v>0</v>
      </c>
      <c r="L643" s="74">
        <f t="shared" si="94"/>
        <v>76436</v>
      </c>
      <c r="M643" s="74">
        <f t="shared" si="95"/>
        <v>126</v>
      </c>
    </row>
    <row r="644" spans="1:13">
      <c r="A644" s="27">
        <v>46150</v>
      </c>
      <c r="B644" s="76" t="s">
        <v>33</v>
      </c>
      <c r="C644" s="76"/>
      <c r="D644" s="76"/>
      <c r="E644" s="77"/>
      <c r="F644" s="74">
        <v>0</v>
      </c>
      <c r="G644" s="74">
        <v>9</v>
      </c>
      <c r="H644" s="74">
        <v>9</v>
      </c>
      <c r="I644" s="4">
        <v>68576</v>
      </c>
      <c r="J644" s="74">
        <v>0</v>
      </c>
      <c r="K644" s="74">
        <v>0</v>
      </c>
      <c r="L644" s="74">
        <f t="shared" si="94"/>
        <v>76436</v>
      </c>
      <c r="M644" s="74">
        <f t="shared" si="95"/>
        <v>126</v>
      </c>
    </row>
    <row r="645" spans="1:13">
      <c r="A645" s="27">
        <v>46151</v>
      </c>
      <c r="B645" s="76" t="s">
        <v>33</v>
      </c>
      <c r="C645" s="76"/>
      <c r="D645" s="76"/>
      <c r="E645" s="77"/>
      <c r="F645" s="74">
        <v>0</v>
      </c>
      <c r="G645" s="74">
        <v>19</v>
      </c>
      <c r="H645" s="74">
        <v>19</v>
      </c>
      <c r="I645" s="4">
        <v>68595</v>
      </c>
      <c r="J645" s="74">
        <v>0</v>
      </c>
      <c r="K645" s="74">
        <v>0</v>
      </c>
      <c r="L645" s="74">
        <f t="shared" si="94"/>
        <v>76436</v>
      </c>
      <c r="M645" s="74">
        <f t="shared" si="95"/>
        <v>126</v>
      </c>
    </row>
    <row r="646" spans="1:13">
      <c r="A646" s="27">
        <v>46152</v>
      </c>
      <c r="B646" s="76" t="s">
        <v>33</v>
      </c>
      <c r="C646" s="76"/>
      <c r="D646" s="76"/>
      <c r="E646" s="77"/>
      <c r="F646" s="74">
        <v>0</v>
      </c>
      <c r="G646" s="74">
        <v>19</v>
      </c>
      <c r="H646" s="74">
        <v>19</v>
      </c>
      <c r="I646" s="4">
        <v>68614</v>
      </c>
      <c r="J646" s="74">
        <v>0</v>
      </c>
      <c r="K646" s="74">
        <v>0</v>
      </c>
      <c r="L646" s="74">
        <f t="shared" si="94"/>
        <v>76436</v>
      </c>
      <c r="M646" s="74">
        <f t="shared" si="95"/>
        <v>126</v>
      </c>
    </row>
    <row r="647" spans="1:13">
      <c r="A647" s="27">
        <v>46153</v>
      </c>
      <c r="B647" s="76" t="s">
        <v>65</v>
      </c>
      <c r="C647" s="76"/>
      <c r="D647" s="76"/>
      <c r="E647" s="77"/>
      <c r="F647" s="4">
        <v>2782</v>
      </c>
      <c r="G647" s="74">
        <v>0</v>
      </c>
      <c r="H647" s="4">
        <v>2782</v>
      </c>
      <c r="I647" s="4">
        <v>71396</v>
      </c>
      <c r="J647" s="74">
        <v>0</v>
      </c>
      <c r="K647" s="74">
        <v>0</v>
      </c>
      <c r="L647" s="74">
        <f t="shared" si="94"/>
        <v>76436</v>
      </c>
      <c r="M647" s="74">
        <f t="shared" si="95"/>
        <v>126</v>
      </c>
    </row>
    <row r="648" spans="1:13">
      <c r="A648" s="27">
        <v>46153</v>
      </c>
      <c r="B648" s="76" t="s">
        <v>49</v>
      </c>
      <c r="C648" s="76"/>
      <c r="D648" s="76"/>
      <c r="E648" s="77"/>
      <c r="F648" s="74">
        <v>0</v>
      </c>
      <c r="G648" s="74">
        <v>1</v>
      </c>
      <c r="H648" s="74">
        <v>1</v>
      </c>
      <c r="I648" s="4">
        <v>71397</v>
      </c>
      <c r="J648" s="74">
        <v>0</v>
      </c>
      <c r="K648" s="74">
        <v>0</v>
      </c>
      <c r="L648" s="74">
        <f t="shared" si="94"/>
        <v>76436</v>
      </c>
      <c r="M648" s="74">
        <f t="shared" si="95"/>
        <v>126</v>
      </c>
    </row>
    <row r="649" spans="1:13">
      <c r="A649" s="27">
        <v>46153</v>
      </c>
      <c r="B649" s="76" t="s">
        <v>33</v>
      </c>
      <c r="C649" s="76"/>
      <c r="D649" s="76"/>
      <c r="E649" s="77"/>
      <c r="F649" s="74">
        <v>0</v>
      </c>
      <c r="G649" s="74">
        <v>7</v>
      </c>
      <c r="H649" s="74">
        <v>7</v>
      </c>
      <c r="I649" s="4">
        <v>71404</v>
      </c>
      <c r="J649" s="74">
        <v>0</v>
      </c>
      <c r="K649" s="74">
        <v>0</v>
      </c>
      <c r="L649" s="74">
        <f t="shared" si="94"/>
        <v>76436</v>
      </c>
      <c r="M649" s="74">
        <f t="shared" si="95"/>
        <v>126</v>
      </c>
    </row>
    <row r="650" spans="1:13">
      <c r="A650" s="27">
        <v>46153</v>
      </c>
      <c r="B650" s="76" t="s">
        <v>49</v>
      </c>
      <c r="C650" s="76"/>
      <c r="D650" s="76"/>
      <c r="E650" s="77"/>
      <c r="F650" s="74">
        <v>0</v>
      </c>
      <c r="G650" s="74">
        <v>1</v>
      </c>
      <c r="H650" s="74">
        <v>1</v>
      </c>
      <c r="I650" s="4">
        <v>71405</v>
      </c>
      <c r="J650" s="74">
        <v>0</v>
      </c>
      <c r="K650" s="74">
        <v>0</v>
      </c>
      <c r="L650" s="74">
        <f t="shared" si="94"/>
        <v>76436</v>
      </c>
      <c r="M650" s="74">
        <f t="shared" si="95"/>
        <v>126</v>
      </c>
    </row>
    <row r="651" spans="1:13">
      <c r="A651" s="27">
        <v>46153</v>
      </c>
      <c r="B651" s="76" t="s">
        <v>49</v>
      </c>
      <c r="C651" s="76"/>
      <c r="D651" s="76"/>
      <c r="E651" s="77"/>
      <c r="F651" s="74">
        <v>0</v>
      </c>
      <c r="G651" s="74">
        <v>1</v>
      </c>
      <c r="H651" s="74">
        <v>1</v>
      </c>
      <c r="I651" s="4">
        <v>71406</v>
      </c>
      <c r="J651" s="74">
        <v>0</v>
      </c>
      <c r="K651" s="74">
        <v>0</v>
      </c>
      <c r="L651" s="74">
        <f t="shared" si="94"/>
        <v>76436</v>
      </c>
      <c r="M651" s="74">
        <f t="shared" si="95"/>
        <v>126</v>
      </c>
    </row>
    <row r="652" spans="1:13">
      <c r="A652" s="27">
        <v>46153</v>
      </c>
      <c r="B652" s="76" t="s">
        <v>49</v>
      </c>
      <c r="C652" s="76"/>
      <c r="D652" s="76"/>
      <c r="E652" s="77"/>
      <c r="F652" s="74">
        <v>0</v>
      </c>
      <c r="G652" s="74">
        <v>1</v>
      </c>
      <c r="H652" s="74">
        <v>1</v>
      </c>
      <c r="I652" s="4">
        <v>71407</v>
      </c>
      <c r="J652" s="74">
        <v>0</v>
      </c>
      <c r="K652" s="74">
        <v>0</v>
      </c>
      <c r="L652" s="74">
        <f t="shared" si="94"/>
        <v>76436</v>
      </c>
      <c r="M652" s="74">
        <f t="shared" si="95"/>
        <v>126</v>
      </c>
    </row>
    <row r="653" spans="1:13">
      <c r="A653" s="27">
        <v>46153</v>
      </c>
      <c r="B653" s="76" t="s">
        <v>49</v>
      </c>
      <c r="C653" s="76"/>
      <c r="D653" s="76"/>
      <c r="E653" s="77"/>
      <c r="F653" s="74">
        <v>0</v>
      </c>
      <c r="G653" s="74">
        <v>1</v>
      </c>
      <c r="H653" s="74">
        <v>1</v>
      </c>
      <c r="I653" s="4">
        <v>71408</v>
      </c>
      <c r="J653" s="74">
        <v>0</v>
      </c>
      <c r="K653" s="74">
        <v>0</v>
      </c>
      <c r="L653" s="74">
        <f t="shared" ref="L653:L660" si="96">J653+L652</f>
        <v>76436</v>
      </c>
      <c r="M653" s="74">
        <f t="shared" ref="M653:M660" si="97">K653+M652</f>
        <v>126</v>
      </c>
    </row>
    <row r="654" spans="1:13">
      <c r="A654" s="27">
        <v>46153</v>
      </c>
      <c r="B654" s="76" t="s">
        <v>49</v>
      </c>
      <c r="C654" s="76"/>
      <c r="D654" s="76"/>
      <c r="E654" s="77"/>
      <c r="F654" s="74">
        <v>0</v>
      </c>
      <c r="G654" s="74">
        <v>1</v>
      </c>
      <c r="H654" s="74">
        <v>1</v>
      </c>
      <c r="I654" s="4">
        <v>71409</v>
      </c>
      <c r="J654" s="74">
        <v>0</v>
      </c>
      <c r="K654" s="74">
        <v>0</v>
      </c>
      <c r="L654" s="74">
        <f t="shared" si="96"/>
        <v>76436</v>
      </c>
      <c r="M654" s="74">
        <f t="shared" si="97"/>
        <v>126</v>
      </c>
    </row>
    <row r="655" spans="1:13">
      <c r="A655" s="27">
        <v>46154</v>
      </c>
      <c r="B655" s="76" t="s">
        <v>33</v>
      </c>
      <c r="C655" s="76"/>
      <c r="D655" s="76"/>
      <c r="E655" s="77"/>
      <c r="F655" s="74">
        <v>0</v>
      </c>
      <c r="G655" s="74">
        <v>10</v>
      </c>
      <c r="H655" s="74">
        <v>10</v>
      </c>
      <c r="I655" s="4">
        <v>71419</v>
      </c>
      <c r="J655" s="74">
        <v>0</v>
      </c>
      <c r="K655" s="74">
        <v>0</v>
      </c>
      <c r="L655" s="74">
        <f t="shared" si="96"/>
        <v>76436</v>
      </c>
      <c r="M655" s="74">
        <f t="shared" si="97"/>
        <v>126</v>
      </c>
    </row>
    <row r="656" spans="1:13">
      <c r="A656" s="27">
        <v>46155</v>
      </c>
      <c r="B656" s="1" t="s">
        <v>247</v>
      </c>
      <c r="C656" s="1" t="s">
        <v>107</v>
      </c>
      <c r="D656" s="1" t="s">
        <v>42</v>
      </c>
      <c r="E656" s="1" t="s">
        <v>43</v>
      </c>
      <c r="F656" s="74">
        <v>308</v>
      </c>
      <c r="G656" s="28">
        <v>450</v>
      </c>
      <c r="H656" s="74">
        <v>758</v>
      </c>
      <c r="I656" s="4">
        <v>72177</v>
      </c>
      <c r="J656" s="4">
        <v>1016</v>
      </c>
      <c r="K656" s="74">
        <v>1</v>
      </c>
      <c r="L656" s="74">
        <f t="shared" si="96"/>
        <v>77452</v>
      </c>
      <c r="M656" s="74">
        <f t="shared" si="97"/>
        <v>127</v>
      </c>
    </row>
    <row r="657" spans="1:13">
      <c r="A657" s="27">
        <v>46155</v>
      </c>
      <c r="B657" s="76" t="s">
        <v>33</v>
      </c>
      <c r="C657" s="76"/>
      <c r="D657" s="76"/>
      <c r="E657" s="77"/>
      <c r="F657" s="74">
        <v>0</v>
      </c>
      <c r="G657" s="74">
        <v>10</v>
      </c>
      <c r="H657" s="74">
        <v>10</v>
      </c>
      <c r="I657" s="4">
        <v>72187</v>
      </c>
      <c r="J657" s="74">
        <v>0</v>
      </c>
      <c r="K657" s="74">
        <v>0</v>
      </c>
      <c r="L657" s="74">
        <f t="shared" si="96"/>
        <v>77452</v>
      </c>
      <c r="M657" s="74">
        <f t="shared" si="97"/>
        <v>127</v>
      </c>
    </row>
    <row r="658" spans="1:13">
      <c r="A658" s="27">
        <v>46156</v>
      </c>
      <c r="B658" s="76" t="s">
        <v>33</v>
      </c>
      <c r="C658" s="76"/>
      <c r="D658" s="76"/>
      <c r="E658" s="77"/>
      <c r="F658" s="74">
        <v>0</v>
      </c>
      <c r="G658" s="74">
        <v>8</v>
      </c>
      <c r="H658" s="74">
        <v>8</v>
      </c>
      <c r="I658" s="4">
        <v>72195</v>
      </c>
      <c r="J658" s="74">
        <v>0</v>
      </c>
      <c r="K658" s="74">
        <v>0</v>
      </c>
      <c r="L658" s="74">
        <f t="shared" si="96"/>
        <v>77452</v>
      </c>
      <c r="M658" s="74">
        <f t="shared" si="97"/>
        <v>127</v>
      </c>
    </row>
    <row r="659" spans="1:13">
      <c r="A659" s="27">
        <v>46157</v>
      </c>
      <c r="B659" s="76" t="s">
        <v>49</v>
      </c>
      <c r="C659" s="76"/>
      <c r="D659" s="76"/>
      <c r="E659" s="77"/>
      <c r="F659" s="74">
        <v>0</v>
      </c>
      <c r="G659" s="74">
        <v>1</v>
      </c>
      <c r="H659" s="74">
        <v>1</v>
      </c>
      <c r="I659" s="4">
        <v>72196</v>
      </c>
      <c r="J659" s="74">
        <v>0</v>
      </c>
      <c r="K659" s="74">
        <v>0</v>
      </c>
      <c r="L659" s="74">
        <f t="shared" si="96"/>
        <v>77452</v>
      </c>
      <c r="M659" s="74">
        <f t="shared" si="97"/>
        <v>127</v>
      </c>
    </row>
    <row r="660" spans="1:13">
      <c r="A660" s="27">
        <v>46157</v>
      </c>
      <c r="B660" s="76" t="s">
        <v>33</v>
      </c>
      <c r="C660" s="76"/>
      <c r="D660" s="76"/>
      <c r="E660" s="77"/>
      <c r="F660" s="74">
        <v>0</v>
      </c>
      <c r="G660" s="74">
        <v>11</v>
      </c>
      <c r="H660" s="74">
        <v>11</v>
      </c>
      <c r="I660" s="4">
        <v>72207</v>
      </c>
      <c r="J660" s="74">
        <v>0</v>
      </c>
      <c r="K660" s="74">
        <v>0</v>
      </c>
      <c r="L660" s="74">
        <f t="shared" si="96"/>
        <v>77452</v>
      </c>
      <c r="M660" s="74">
        <f t="shared" si="97"/>
        <v>127</v>
      </c>
    </row>
    <row r="661" spans="1:13">
      <c r="A661" s="27">
        <v>46157</v>
      </c>
      <c r="B661" s="76" t="s">
        <v>49</v>
      </c>
      <c r="C661" s="76"/>
      <c r="D661" s="76"/>
      <c r="E661" s="77"/>
      <c r="F661" s="74">
        <v>0</v>
      </c>
      <c r="G661" s="74">
        <v>1</v>
      </c>
      <c r="H661" s="74">
        <v>1</v>
      </c>
      <c r="I661" s="4">
        <v>72208</v>
      </c>
      <c r="J661" s="74">
        <v>0</v>
      </c>
      <c r="K661" s="74">
        <v>0</v>
      </c>
      <c r="L661" s="74">
        <f t="shared" ref="L661:L693" si="98">J661+L660</f>
        <v>77452</v>
      </c>
      <c r="M661" s="74">
        <f t="shared" ref="M661:M693" si="99">K661+M660</f>
        <v>127</v>
      </c>
    </row>
    <row r="662" spans="1:13">
      <c r="A662" s="27">
        <v>46159</v>
      </c>
      <c r="B662" s="76" t="s">
        <v>129</v>
      </c>
      <c r="C662" s="76"/>
      <c r="D662" s="76"/>
      <c r="E662" s="77"/>
      <c r="F662" s="74">
        <v>0</v>
      </c>
      <c r="G662" s="74">
        <v>109</v>
      </c>
      <c r="H662" s="74">
        <v>109</v>
      </c>
      <c r="I662" s="4">
        <v>72317</v>
      </c>
      <c r="J662" s="74">
        <v>0</v>
      </c>
      <c r="K662" s="74">
        <v>0</v>
      </c>
      <c r="L662" s="74">
        <f t="shared" si="98"/>
        <v>77452</v>
      </c>
      <c r="M662" s="74">
        <f t="shared" si="99"/>
        <v>127</v>
      </c>
    </row>
    <row r="663" spans="1:13">
      <c r="A663" s="27">
        <v>46159</v>
      </c>
      <c r="B663" s="76" t="s">
        <v>33</v>
      </c>
      <c r="C663" s="76"/>
      <c r="D663" s="76"/>
      <c r="E663" s="77"/>
      <c r="F663" s="74">
        <v>0</v>
      </c>
      <c r="G663" s="74">
        <v>48</v>
      </c>
      <c r="H663" s="74">
        <v>48</v>
      </c>
      <c r="I663" s="4">
        <v>72365</v>
      </c>
      <c r="J663" s="74">
        <v>0</v>
      </c>
      <c r="K663" s="74">
        <v>0</v>
      </c>
      <c r="L663" s="74">
        <f t="shared" si="98"/>
        <v>77452</v>
      </c>
      <c r="M663" s="74">
        <f t="shared" si="99"/>
        <v>127</v>
      </c>
    </row>
    <row r="664" spans="1:13">
      <c r="A664" s="27">
        <v>46160</v>
      </c>
      <c r="B664" s="76" t="s">
        <v>33</v>
      </c>
      <c r="C664" s="76"/>
      <c r="D664" s="76"/>
      <c r="E664" s="77"/>
      <c r="F664" s="74">
        <v>0</v>
      </c>
      <c r="G664" s="74">
        <v>9</v>
      </c>
      <c r="H664" s="74">
        <v>9</v>
      </c>
      <c r="I664" s="4">
        <v>72374</v>
      </c>
      <c r="J664" s="74">
        <v>0</v>
      </c>
      <c r="K664" s="74">
        <v>0</v>
      </c>
      <c r="L664" s="74">
        <f t="shared" si="98"/>
        <v>77452</v>
      </c>
      <c r="M664" s="74">
        <f t="shared" si="99"/>
        <v>127</v>
      </c>
    </row>
    <row r="665" spans="1:13">
      <c r="A665" s="27">
        <v>46161</v>
      </c>
      <c r="B665" s="76" t="s">
        <v>33</v>
      </c>
      <c r="C665" s="76"/>
      <c r="D665" s="76"/>
      <c r="E665" s="77"/>
      <c r="F665" s="74">
        <v>0</v>
      </c>
      <c r="G665" s="74">
        <v>7</v>
      </c>
      <c r="H665" s="74">
        <v>7</v>
      </c>
      <c r="I665" s="4">
        <v>72381</v>
      </c>
      <c r="J665" s="74">
        <v>0</v>
      </c>
      <c r="K665" s="74">
        <v>0</v>
      </c>
      <c r="L665" s="74">
        <f t="shared" si="98"/>
        <v>77452</v>
      </c>
      <c r="M665" s="74">
        <f t="shared" si="99"/>
        <v>127</v>
      </c>
    </row>
    <row r="666" spans="1:13">
      <c r="A666" s="27">
        <v>46162</v>
      </c>
      <c r="B666" s="76" t="s">
        <v>49</v>
      </c>
      <c r="C666" s="76"/>
      <c r="D666" s="76"/>
      <c r="E666" s="77"/>
      <c r="F666" s="74">
        <v>0</v>
      </c>
      <c r="G666" s="74">
        <v>1</v>
      </c>
      <c r="H666" s="74">
        <v>1</v>
      </c>
      <c r="I666" s="4">
        <v>72382</v>
      </c>
      <c r="J666" s="74">
        <v>0</v>
      </c>
      <c r="K666" s="74">
        <v>0</v>
      </c>
      <c r="L666" s="74">
        <f t="shared" si="98"/>
        <v>77452</v>
      </c>
      <c r="M666" s="74">
        <f t="shared" si="99"/>
        <v>127</v>
      </c>
    </row>
    <row r="667" spans="1:13">
      <c r="A667" s="27">
        <v>46162</v>
      </c>
      <c r="B667" s="76" t="s">
        <v>33</v>
      </c>
      <c r="C667" s="76"/>
      <c r="D667" s="76"/>
      <c r="E667" s="77"/>
      <c r="F667" s="74">
        <v>0</v>
      </c>
      <c r="G667" s="74">
        <v>8</v>
      </c>
      <c r="H667" s="74">
        <v>8</v>
      </c>
      <c r="I667" s="4">
        <v>72390</v>
      </c>
      <c r="J667" s="74">
        <v>0</v>
      </c>
      <c r="K667" s="74">
        <v>0</v>
      </c>
      <c r="L667" s="74">
        <f t="shared" si="98"/>
        <v>77452</v>
      </c>
      <c r="M667" s="74">
        <f t="shared" si="99"/>
        <v>127</v>
      </c>
    </row>
    <row r="668" spans="1:13">
      <c r="A668" s="27">
        <v>46162</v>
      </c>
      <c r="B668" s="76" t="s">
        <v>49</v>
      </c>
      <c r="C668" s="76"/>
      <c r="D668" s="76"/>
      <c r="E668" s="77"/>
      <c r="F668" s="74">
        <v>0</v>
      </c>
      <c r="G668" s="74">
        <v>1</v>
      </c>
      <c r="H668" s="74">
        <v>1</v>
      </c>
      <c r="I668" s="4">
        <v>72391</v>
      </c>
      <c r="J668" s="74">
        <v>0</v>
      </c>
      <c r="K668" s="74">
        <v>0</v>
      </c>
      <c r="L668" s="74">
        <f t="shared" si="98"/>
        <v>77452</v>
      </c>
      <c r="M668" s="74">
        <f t="shared" si="99"/>
        <v>127</v>
      </c>
    </row>
    <row r="669" spans="1:13">
      <c r="A669" s="27">
        <v>46163</v>
      </c>
      <c r="B669" s="76" t="s">
        <v>33</v>
      </c>
      <c r="C669" s="76"/>
      <c r="D669" s="76"/>
      <c r="E669" s="77"/>
      <c r="F669" s="74">
        <v>0</v>
      </c>
      <c r="G669" s="74">
        <v>4</v>
      </c>
      <c r="H669" s="74">
        <v>4</v>
      </c>
      <c r="I669" s="4">
        <v>72395</v>
      </c>
      <c r="J669" s="74">
        <v>0</v>
      </c>
      <c r="K669" s="74">
        <v>0</v>
      </c>
      <c r="L669" s="74">
        <f t="shared" si="98"/>
        <v>77452</v>
      </c>
      <c r="M669" s="74">
        <f t="shared" si="99"/>
        <v>127</v>
      </c>
    </row>
    <row r="670" spans="1:13">
      <c r="A670" s="27">
        <v>46164</v>
      </c>
      <c r="B670" s="76" t="s">
        <v>33</v>
      </c>
      <c r="C670" s="76"/>
      <c r="D670" s="76"/>
      <c r="E670" s="77"/>
      <c r="F670" s="74">
        <v>0</v>
      </c>
      <c r="G670" s="74">
        <v>7</v>
      </c>
      <c r="H670" s="74">
        <v>7</v>
      </c>
      <c r="I670" s="4">
        <v>72402</v>
      </c>
      <c r="J670" s="74">
        <v>0</v>
      </c>
      <c r="K670" s="74">
        <v>0</v>
      </c>
      <c r="L670" s="74">
        <f t="shared" si="98"/>
        <v>77452</v>
      </c>
      <c r="M670" s="74">
        <f t="shared" si="99"/>
        <v>127</v>
      </c>
    </row>
    <row r="671" spans="1:13">
      <c r="A671" s="27">
        <v>46165</v>
      </c>
      <c r="B671" s="76" t="s">
        <v>33</v>
      </c>
      <c r="C671" s="76"/>
      <c r="D671" s="76"/>
      <c r="E671" s="77"/>
      <c r="F671" s="74">
        <v>0</v>
      </c>
      <c r="G671" s="74">
        <v>8</v>
      </c>
      <c r="H671" s="74">
        <v>8</v>
      </c>
      <c r="I671" s="4">
        <v>72410</v>
      </c>
      <c r="J671" s="74">
        <v>0</v>
      </c>
      <c r="K671" s="74">
        <v>0</v>
      </c>
      <c r="L671" s="74">
        <f t="shared" si="98"/>
        <v>77452</v>
      </c>
      <c r="M671" s="74">
        <f t="shared" si="99"/>
        <v>127</v>
      </c>
    </row>
    <row r="672" spans="1:13">
      <c r="A672" s="27">
        <v>46166</v>
      </c>
      <c r="B672" s="76" t="s">
        <v>33</v>
      </c>
      <c r="C672" s="76"/>
      <c r="D672" s="76"/>
      <c r="E672" s="77"/>
      <c r="F672" s="74">
        <v>0</v>
      </c>
      <c r="G672" s="74">
        <v>30</v>
      </c>
      <c r="H672" s="74">
        <v>30</v>
      </c>
      <c r="I672" s="4">
        <v>72440</v>
      </c>
      <c r="J672" s="74">
        <v>0</v>
      </c>
      <c r="K672" s="74">
        <v>0</v>
      </c>
      <c r="L672" s="74">
        <f t="shared" si="98"/>
        <v>77452</v>
      </c>
      <c r="M672" s="74">
        <f t="shared" si="99"/>
        <v>127</v>
      </c>
    </row>
    <row r="673" spans="1:13">
      <c r="A673" s="27">
        <v>46167</v>
      </c>
      <c r="B673" s="76" t="s">
        <v>49</v>
      </c>
      <c r="C673" s="76"/>
      <c r="D673" s="76"/>
      <c r="E673" s="77"/>
      <c r="F673" s="74">
        <v>0</v>
      </c>
      <c r="G673" s="74">
        <v>1</v>
      </c>
      <c r="H673" s="74">
        <v>1</v>
      </c>
      <c r="I673" s="4">
        <v>72441</v>
      </c>
      <c r="J673" s="74">
        <v>0</v>
      </c>
      <c r="K673" s="74">
        <v>0</v>
      </c>
      <c r="L673" s="74">
        <f t="shared" si="98"/>
        <v>77452</v>
      </c>
      <c r="M673" s="74">
        <f t="shared" si="99"/>
        <v>127</v>
      </c>
    </row>
    <row r="674" spans="1:13">
      <c r="A674" s="27">
        <v>46167</v>
      </c>
      <c r="B674" s="76" t="s">
        <v>33</v>
      </c>
      <c r="C674" s="76"/>
      <c r="D674" s="76"/>
      <c r="E674" s="77"/>
      <c r="F674" s="74">
        <v>0</v>
      </c>
      <c r="G674" s="74">
        <v>6</v>
      </c>
      <c r="H674" s="74">
        <v>6</v>
      </c>
      <c r="I674" s="4">
        <v>72447</v>
      </c>
      <c r="J674" s="74">
        <v>0</v>
      </c>
      <c r="K674" s="74">
        <v>0</v>
      </c>
      <c r="L674" s="74">
        <f t="shared" si="98"/>
        <v>77452</v>
      </c>
      <c r="M674" s="74">
        <f t="shared" si="99"/>
        <v>127</v>
      </c>
    </row>
    <row r="675" spans="1:13">
      <c r="A675" s="27">
        <v>46169</v>
      </c>
      <c r="B675" s="76" t="s">
        <v>33</v>
      </c>
      <c r="C675" s="76"/>
      <c r="D675" s="76"/>
      <c r="E675" s="77"/>
      <c r="F675" s="74">
        <v>0</v>
      </c>
      <c r="G675" s="74">
        <v>24</v>
      </c>
      <c r="H675" s="74">
        <v>24</v>
      </c>
      <c r="I675" s="4">
        <v>72471</v>
      </c>
      <c r="J675" s="74">
        <v>0</v>
      </c>
      <c r="K675" s="74">
        <v>0</v>
      </c>
      <c r="L675" s="74">
        <f t="shared" si="98"/>
        <v>77452</v>
      </c>
      <c r="M675" s="74">
        <f t="shared" si="99"/>
        <v>127</v>
      </c>
    </row>
    <row r="676" spans="1:13">
      <c r="A676" s="27">
        <v>46170</v>
      </c>
      <c r="B676" s="1" t="s">
        <v>248</v>
      </c>
      <c r="C676" s="1" t="s">
        <v>61</v>
      </c>
      <c r="D676" s="1" t="s">
        <v>42</v>
      </c>
      <c r="E676" s="1" t="s">
        <v>43</v>
      </c>
      <c r="F676" s="74">
        <v>389</v>
      </c>
      <c r="G676" s="28">
        <v>556</v>
      </c>
      <c r="H676" s="74">
        <v>945</v>
      </c>
      <c r="I676" s="4">
        <v>73416</v>
      </c>
      <c r="J676" s="4">
        <v>1178</v>
      </c>
      <c r="K676" s="74">
        <v>1</v>
      </c>
      <c r="L676" s="74">
        <f t="shared" si="98"/>
        <v>78630</v>
      </c>
      <c r="M676" s="74">
        <f t="shared" si="99"/>
        <v>128</v>
      </c>
    </row>
    <row r="677" spans="1:13">
      <c r="A677" s="27">
        <v>46170</v>
      </c>
      <c r="B677" s="76" t="s">
        <v>249</v>
      </c>
      <c r="C677" s="76"/>
      <c r="D677" s="76"/>
      <c r="E677" s="77"/>
      <c r="F677" s="74">
        <v>0</v>
      </c>
      <c r="G677" s="4">
        <v>3000</v>
      </c>
      <c r="H677" s="4">
        <v>3000</v>
      </c>
      <c r="I677" s="4">
        <v>76416</v>
      </c>
      <c r="J677" s="74">
        <v>0</v>
      </c>
      <c r="K677" s="74">
        <v>0</v>
      </c>
      <c r="L677" s="74">
        <f t="shared" si="98"/>
        <v>78630</v>
      </c>
      <c r="M677" s="74">
        <f t="shared" si="99"/>
        <v>128</v>
      </c>
    </row>
    <row r="678" spans="1:13">
      <c r="A678" s="27">
        <v>46170</v>
      </c>
      <c r="B678" s="76" t="s">
        <v>33</v>
      </c>
      <c r="C678" s="76"/>
      <c r="D678" s="76"/>
      <c r="E678" s="77"/>
      <c r="F678" s="74">
        <v>0</v>
      </c>
      <c r="G678" s="74">
        <v>7</v>
      </c>
      <c r="H678" s="74">
        <v>7</v>
      </c>
      <c r="I678" s="4">
        <v>76423</v>
      </c>
      <c r="J678" s="74">
        <v>0</v>
      </c>
      <c r="K678" s="74">
        <v>0</v>
      </c>
      <c r="L678" s="74">
        <f t="shared" si="98"/>
        <v>78630</v>
      </c>
      <c r="M678" s="74">
        <f t="shared" si="99"/>
        <v>128</v>
      </c>
    </row>
    <row r="679" spans="1:13">
      <c r="A679" s="27">
        <v>46171</v>
      </c>
      <c r="B679" s="1" t="s">
        <v>62</v>
      </c>
      <c r="C679" s="1" t="s">
        <v>63</v>
      </c>
      <c r="D679" s="1" t="s">
        <v>42</v>
      </c>
      <c r="E679" s="1" t="s">
        <v>43</v>
      </c>
      <c r="F679" s="74">
        <v>389</v>
      </c>
      <c r="G679" s="28">
        <v>556</v>
      </c>
      <c r="H679" s="74">
        <v>945</v>
      </c>
      <c r="I679" s="4">
        <v>77368</v>
      </c>
      <c r="J679" s="4">
        <v>1178</v>
      </c>
      <c r="K679" s="74">
        <v>1</v>
      </c>
      <c r="L679" s="74">
        <f t="shared" si="98"/>
        <v>79808</v>
      </c>
      <c r="M679" s="74">
        <f t="shared" si="99"/>
        <v>129</v>
      </c>
    </row>
    <row r="680" spans="1:13">
      <c r="A680" s="27">
        <v>46171</v>
      </c>
      <c r="B680" s="76" t="s">
        <v>49</v>
      </c>
      <c r="C680" s="76"/>
      <c r="D680" s="76"/>
      <c r="E680" s="77"/>
      <c r="F680" s="74">
        <v>0</v>
      </c>
      <c r="G680" s="74">
        <v>1</v>
      </c>
      <c r="H680" s="74">
        <v>1</v>
      </c>
      <c r="I680" s="4">
        <v>77369</v>
      </c>
      <c r="J680" s="74">
        <v>0</v>
      </c>
      <c r="K680" s="74">
        <v>0</v>
      </c>
      <c r="L680" s="74">
        <f t="shared" si="98"/>
        <v>79808</v>
      </c>
      <c r="M680" s="74">
        <f t="shared" si="99"/>
        <v>129</v>
      </c>
    </row>
    <row r="681" spans="1:13">
      <c r="A681" s="27">
        <v>46171</v>
      </c>
      <c r="B681" s="76" t="s">
        <v>33</v>
      </c>
      <c r="C681" s="76"/>
      <c r="D681" s="76"/>
      <c r="E681" s="77"/>
      <c r="F681" s="74">
        <v>0</v>
      </c>
      <c r="G681" s="74">
        <v>16</v>
      </c>
      <c r="H681" s="74">
        <v>16</v>
      </c>
      <c r="I681" s="4">
        <v>77385</v>
      </c>
      <c r="J681" s="74">
        <v>0</v>
      </c>
      <c r="K681" s="74">
        <v>0</v>
      </c>
      <c r="L681" s="74">
        <f t="shared" si="98"/>
        <v>79808</v>
      </c>
      <c r="M681" s="74">
        <f t="shared" si="99"/>
        <v>129</v>
      </c>
    </row>
    <row r="682" spans="1:13">
      <c r="A682" s="27">
        <v>46172</v>
      </c>
      <c r="B682" s="76" t="s">
        <v>33</v>
      </c>
      <c r="C682" s="76"/>
      <c r="D682" s="76"/>
      <c r="E682" s="77"/>
      <c r="F682" s="74">
        <v>0</v>
      </c>
      <c r="G682" s="74">
        <v>9</v>
      </c>
      <c r="H682" s="74">
        <v>9</v>
      </c>
      <c r="I682" s="4">
        <v>77394</v>
      </c>
      <c r="J682" s="74">
        <v>0</v>
      </c>
      <c r="K682" s="74">
        <v>0</v>
      </c>
      <c r="L682" s="74">
        <f t="shared" si="98"/>
        <v>79808</v>
      </c>
      <c r="M682" s="74">
        <f t="shared" si="99"/>
        <v>129</v>
      </c>
    </row>
    <row r="683" spans="1:13">
      <c r="A683" s="27">
        <v>46174</v>
      </c>
      <c r="B683" s="76" t="s">
        <v>33</v>
      </c>
      <c r="C683" s="76"/>
      <c r="D683" s="76"/>
      <c r="E683" s="77"/>
      <c r="F683" s="74">
        <v>0</v>
      </c>
      <c r="G683" s="74">
        <v>59</v>
      </c>
      <c r="H683" s="74">
        <v>59</v>
      </c>
      <c r="I683" s="4">
        <v>77453</v>
      </c>
      <c r="J683" s="74">
        <v>0</v>
      </c>
      <c r="K683" s="74">
        <v>0</v>
      </c>
      <c r="L683" s="74">
        <f t="shared" si="98"/>
        <v>79808</v>
      </c>
      <c r="M683" s="74">
        <f t="shared" si="99"/>
        <v>129</v>
      </c>
    </row>
    <row r="684" spans="1:13">
      <c r="A684" s="27">
        <v>46175</v>
      </c>
      <c r="B684" s="76" t="s">
        <v>33</v>
      </c>
      <c r="C684" s="76"/>
      <c r="D684" s="76"/>
      <c r="E684" s="77"/>
      <c r="F684" s="74">
        <v>0</v>
      </c>
      <c r="G684" s="74">
        <v>17</v>
      </c>
      <c r="H684" s="74">
        <v>17</v>
      </c>
      <c r="I684" s="4">
        <v>77470</v>
      </c>
      <c r="J684" s="74">
        <v>0</v>
      </c>
      <c r="K684" s="74">
        <v>0</v>
      </c>
      <c r="L684" s="74">
        <f t="shared" si="98"/>
        <v>79808</v>
      </c>
      <c r="M684" s="74">
        <f t="shared" si="99"/>
        <v>129</v>
      </c>
    </row>
    <row r="685" spans="1:13">
      <c r="A685" s="27">
        <v>46176</v>
      </c>
      <c r="B685" s="76" t="s">
        <v>49</v>
      </c>
      <c r="C685" s="76"/>
      <c r="D685" s="76"/>
      <c r="E685" s="77"/>
      <c r="F685" s="74">
        <v>0</v>
      </c>
      <c r="G685" s="74">
        <v>1</v>
      </c>
      <c r="H685" s="74">
        <v>1</v>
      </c>
      <c r="I685" s="4">
        <v>77471</v>
      </c>
      <c r="J685" s="74">
        <v>0</v>
      </c>
      <c r="K685" s="74">
        <v>0</v>
      </c>
      <c r="L685" s="74">
        <f t="shared" si="98"/>
        <v>79808</v>
      </c>
      <c r="M685" s="74">
        <f t="shared" si="99"/>
        <v>129</v>
      </c>
    </row>
    <row r="686" spans="1:13">
      <c r="A686" s="27">
        <v>46176</v>
      </c>
      <c r="B686" s="76" t="s">
        <v>33</v>
      </c>
      <c r="C686" s="76"/>
      <c r="D686" s="76"/>
      <c r="E686" s="77"/>
      <c r="F686" s="74">
        <v>0</v>
      </c>
      <c r="G686" s="74">
        <v>13</v>
      </c>
      <c r="H686" s="74">
        <v>13</v>
      </c>
      <c r="I686" s="4">
        <v>77484</v>
      </c>
      <c r="J686" s="74">
        <v>0</v>
      </c>
      <c r="K686" s="74">
        <v>0</v>
      </c>
      <c r="L686" s="74">
        <f t="shared" si="98"/>
        <v>79808</v>
      </c>
      <c r="M686" s="74">
        <f t="shared" si="99"/>
        <v>129</v>
      </c>
    </row>
    <row r="687" spans="1:13">
      <c r="A687" s="27">
        <v>46176</v>
      </c>
      <c r="B687" s="76" t="s">
        <v>49</v>
      </c>
      <c r="C687" s="76"/>
      <c r="D687" s="76"/>
      <c r="E687" s="77"/>
      <c r="F687" s="74">
        <v>0</v>
      </c>
      <c r="G687" s="74">
        <v>1</v>
      </c>
      <c r="H687" s="74">
        <v>1</v>
      </c>
      <c r="I687" s="4">
        <v>77485</v>
      </c>
      <c r="J687" s="74">
        <v>0</v>
      </c>
      <c r="K687" s="74">
        <v>0</v>
      </c>
      <c r="L687" s="74">
        <f t="shared" si="98"/>
        <v>79808</v>
      </c>
      <c r="M687" s="74">
        <f t="shared" si="99"/>
        <v>129</v>
      </c>
    </row>
    <row r="688" spans="1:13">
      <c r="A688" s="27">
        <v>46176</v>
      </c>
      <c r="B688" s="76" t="s">
        <v>49</v>
      </c>
      <c r="C688" s="76"/>
      <c r="D688" s="76"/>
      <c r="E688" s="77"/>
      <c r="F688" s="74">
        <v>0</v>
      </c>
      <c r="G688" s="74">
        <v>1</v>
      </c>
      <c r="H688" s="74">
        <v>1</v>
      </c>
      <c r="I688" s="4">
        <v>77486</v>
      </c>
      <c r="J688" s="74">
        <v>0</v>
      </c>
      <c r="K688" s="74">
        <v>0</v>
      </c>
      <c r="L688" s="74">
        <f t="shared" si="98"/>
        <v>79808</v>
      </c>
      <c r="M688" s="74">
        <f t="shared" si="99"/>
        <v>129</v>
      </c>
    </row>
    <row r="689" spans="1:13">
      <c r="A689" s="27">
        <v>46177</v>
      </c>
      <c r="B689" s="1" t="s">
        <v>250</v>
      </c>
      <c r="C689" s="3" t="s">
        <v>251</v>
      </c>
      <c r="D689" s="3" t="s">
        <v>20</v>
      </c>
      <c r="E689" s="1" t="s">
        <v>20</v>
      </c>
      <c r="F689" s="74">
        <v>0</v>
      </c>
      <c r="G689" s="74">
        <v>0</v>
      </c>
      <c r="H689" s="74">
        <v>0</v>
      </c>
      <c r="I689" s="4">
        <v>77486</v>
      </c>
      <c r="J689" s="74">
        <v>0</v>
      </c>
      <c r="K689" s="74">
        <v>0</v>
      </c>
      <c r="L689" s="74">
        <f t="shared" si="98"/>
        <v>79808</v>
      </c>
      <c r="M689" s="74">
        <f t="shared" si="99"/>
        <v>129</v>
      </c>
    </row>
    <row r="690" spans="1:13">
      <c r="A690" s="27">
        <v>46177</v>
      </c>
      <c r="B690" s="1" t="s">
        <v>252</v>
      </c>
      <c r="C690" s="3" t="s">
        <v>253</v>
      </c>
      <c r="D690" s="3" t="s">
        <v>20</v>
      </c>
      <c r="E690" s="1" t="s">
        <v>20</v>
      </c>
      <c r="F690" s="74">
        <v>0</v>
      </c>
      <c r="G690" s="74">
        <v>0</v>
      </c>
      <c r="H690" s="74">
        <v>0</v>
      </c>
      <c r="I690" s="4">
        <v>77486</v>
      </c>
      <c r="J690" s="74">
        <v>0</v>
      </c>
      <c r="K690" s="74">
        <v>0</v>
      </c>
      <c r="L690" s="74">
        <f t="shared" si="98"/>
        <v>79808</v>
      </c>
      <c r="M690" s="74">
        <f t="shared" si="99"/>
        <v>129</v>
      </c>
    </row>
    <row r="691" spans="1:13">
      <c r="A691" s="27">
        <v>46177</v>
      </c>
      <c r="B691" s="76" t="s">
        <v>33</v>
      </c>
      <c r="C691" s="76"/>
      <c r="D691" s="76"/>
      <c r="E691" s="77"/>
      <c r="F691" s="74">
        <v>0</v>
      </c>
      <c r="G691" s="74">
        <v>10</v>
      </c>
      <c r="H691" s="74">
        <v>10</v>
      </c>
      <c r="I691" s="4">
        <v>77496</v>
      </c>
      <c r="J691" s="74">
        <v>0</v>
      </c>
      <c r="K691" s="74">
        <v>0</v>
      </c>
      <c r="L691" s="74">
        <f t="shared" si="98"/>
        <v>79808</v>
      </c>
      <c r="M691" s="74">
        <f t="shared" si="99"/>
        <v>129</v>
      </c>
    </row>
    <row r="692" spans="1:13">
      <c r="A692" s="27">
        <v>46178</v>
      </c>
      <c r="B692" s="76" t="s">
        <v>33</v>
      </c>
      <c r="C692" s="76"/>
      <c r="D692" s="76"/>
      <c r="E692" s="77"/>
      <c r="F692" s="74">
        <v>0</v>
      </c>
      <c r="G692" s="74">
        <v>110</v>
      </c>
      <c r="H692" s="74">
        <v>110</v>
      </c>
      <c r="I692" s="4">
        <v>77606</v>
      </c>
      <c r="J692" s="74">
        <v>0</v>
      </c>
      <c r="K692" s="74">
        <v>0</v>
      </c>
      <c r="L692" s="74">
        <f t="shared" si="98"/>
        <v>79808</v>
      </c>
      <c r="M692" s="74">
        <f t="shared" si="99"/>
        <v>129</v>
      </c>
    </row>
    <row r="693" spans="1:13">
      <c r="A693" s="27">
        <v>46179</v>
      </c>
      <c r="B693" s="76" t="s">
        <v>33</v>
      </c>
      <c r="C693" s="76"/>
      <c r="D693" s="76"/>
      <c r="E693" s="77"/>
      <c r="F693" s="74">
        <v>0</v>
      </c>
      <c r="G693" s="74">
        <v>10</v>
      </c>
      <c r="H693" s="74">
        <v>10</v>
      </c>
      <c r="I693" s="4">
        <v>77616</v>
      </c>
      <c r="J693" s="74">
        <v>0</v>
      </c>
      <c r="K693" s="74">
        <v>0</v>
      </c>
      <c r="L693" s="74">
        <f t="shared" si="98"/>
        <v>79808</v>
      </c>
      <c r="M693" s="74">
        <f t="shared" si="99"/>
        <v>129</v>
      </c>
    </row>
    <row r="694" spans="1:13">
      <c r="A694" s="27">
        <v>46180</v>
      </c>
      <c r="B694" s="1" t="s">
        <v>254</v>
      </c>
      <c r="C694" s="1" t="s">
        <v>235</v>
      </c>
      <c r="D694" s="1" t="s">
        <v>42</v>
      </c>
      <c r="E694" s="1" t="s">
        <v>43</v>
      </c>
      <c r="F694" s="74">
        <v>625</v>
      </c>
      <c r="G694" s="28">
        <v>863</v>
      </c>
      <c r="H694" s="4">
        <v>1488</v>
      </c>
      <c r="I694" s="4">
        <v>79104</v>
      </c>
      <c r="J694" s="4">
        <v>1650</v>
      </c>
      <c r="K694" s="74">
        <v>1</v>
      </c>
      <c r="L694" s="74">
        <f t="shared" ref="L694:L702" si="100">J694+L693</f>
        <v>81458</v>
      </c>
      <c r="M694" s="74">
        <f t="shared" ref="M694:M702" si="101">K694+M693</f>
        <v>130</v>
      </c>
    </row>
    <row r="695" spans="1:13">
      <c r="A695" s="27">
        <v>46180</v>
      </c>
      <c r="B695" s="76" t="s">
        <v>49</v>
      </c>
      <c r="C695" s="76"/>
      <c r="D695" s="76"/>
      <c r="E695" s="77"/>
      <c r="F695" s="74">
        <v>0</v>
      </c>
      <c r="G695" s="74">
        <v>1</v>
      </c>
      <c r="H695" s="74">
        <v>1</v>
      </c>
      <c r="I695" s="4">
        <v>79105</v>
      </c>
      <c r="J695" s="74">
        <v>0</v>
      </c>
      <c r="K695" s="74">
        <v>0</v>
      </c>
      <c r="L695" s="74">
        <f t="shared" si="100"/>
        <v>81458</v>
      </c>
      <c r="M695" s="74">
        <f t="shared" si="101"/>
        <v>130</v>
      </c>
    </row>
    <row r="696" spans="1:13">
      <c r="A696" s="27">
        <v>46180</v>
      </c>
      <c r="B696" s="76" t="s">
        <v>33</v>
      </c>
      <c r="C696" s="76"/>
      <c r="D696" s="76"/>
      <c r="E696" s="77"/>
      <c r="F696" s="74">
        <v>0</v>
      </c>
      <c r="G696" s="74">
        <v>22</v>
      </c>
      <c r="H696" s="74">
        <v>22</v>
      </c>
      <c r="I696" s="4">
        <v>79127</v>
      </c>
      <c r="J696" s="74">
        <v>0</v>
      </c>
      <c r="K696" s="74">
        <v>0</v>
      </c>
      <c r="L696" s="74">
        <f t="shared" si="100"/>
        <v>81458</v>
      </c>
      <c r="M696" s="74">
        <f t="shared" si="101"/>
        <v>130</v>
      </c>
    </row>
    <row r="697" spans="1:13">
      <c r="A697" s="27">
        <v>46180</v>
      </c>
      <c r="B697" s="76" t="s">
        <v>49</v>
      </c>
      <c r="C697" s="76"/>
      <c r="D697" s="76"/>
      <c r="E697" s="77"/>
      <c r="F697" s="74">
        <v>0</v>
      </c>
      <c r="G697" s="74">
        <v>1</v>
      </c>
      <c r="H697" s="74">
        <v>1</v>
      </c>
      <c r="I697" s="4">
        <v>79128</v>
      </c>
      <c r="J697" s="74">
        <v>0</v>
      </c>
      <c r="K697" s="74">
        <v>0</v>
      </c>
      <c r="L697" s="74">
        <f t="shared" si="100"/>
        <v>81458</v>
      </c>
      <c r="M697" s="74">
        <f t="shared" si="101"/>
        <v>130</v>
      </c>
    </row>
    <row r="698" spans="1:13">
      <c r="A698" s="27">
        <v>46180</v>
      </c>
      <c r="B698" s="76" t="s">
        <v>49</v>
      </c>
      <c r="C698" s="76"/>
      <c r="D698" s="76"/>
      <c r="E698" s="77"/>
      <c r="F698" s="74">
        <v>0</v>
      </c>
      <c r="G698" s="74">
        <v>1</v>
      </c>
      <c r="H698" s="74">
        <v>1</v>
      </c>
      <c r="I698" s="4">
        <v>79129</v>
      </c>
      <c r="J698" s="74">
        <v>0</v>
      </c>
      <c r="K698" s="74">
        <v>0</v>
      </c>
      <c r="L698" s="74">
        <f t="shared" si="100"/>
        <v>81458</v>
      </c>
      <c r="M698" s="74">
        <f t="shared" si="101"/>
        <v>130</v>
      </c>
    </row>
    <row r="699" spans="1:13">
      <c r="A699" s="27">
        <v>46180</v>
      </c>
      <c r="B699" s="76" t="s">
        <v>49</v>
      </c>
      <c r="C699" s="76"/>
      <c r="D699" s="76"/>
      <c r="E699" s="77"/>
      <c r="F699" s="74">
        <v>0</v>
      </c>
      <c r="G699" s="74">
        <v>1</v>
      </c>
      <c r="H699" s="74">
        <v>1</v>
      </c>
      <c r="I699" s="4">
        <v>79130</v>
      </c>
      <c r="J699" s="74">
        <v>0</v>
      </c>
      <c r="K699" s="74">
        <v>0</v>
      </c>
      <c r="L699" s="74">
        <f t="shared" si="100"/>
        <v>81458</v>
      </c>
      <c r="M699" s="74">
        <f t="shared" si="101"/>
        <v>130</v>
      </c>
    </row>
    <row r="700" spans="1:13">
      <c r="A700" s="27">
        <v>46181</v>
      </c>
      <c r="B700" s="1" t="s">
        <v>255</v>
      </c>
      <c r="C700" s="1" t="s">
        <v>256</v>
      </c>
      <c r="D700" s="1" t="s">
        <v>42</v>
      </c>
      <c r="E700" s="1" t="s">
        <v>43</v>
      </c>
      <c r="F700" s="74">
        <v>625</v>
      </c>
      <c r="G700" s="28">
        <v>863</v>
      </c>
      <c r="H700" s="4">
        <v>1488</v>
      </c>
      <c r="I700" s="4">
        <v>80618</v>
      </c>
      <c r="J700" s="4">
        <v>1650</v>
      </c>
      <c r="K700" s="74">
        <v>1</v>
      </c>
      <c r="L700" s="74">
        <f t="shared" si="100"/>
        <v>83108</v>
      </c>
      <c r="M700" s="74">
        <f t="shared" si="101"/>
        <v>131</v>
      </c>
    </row>
    <row r="701" spans="1:13">
      <c r="A701" s="27">
        <v>46181</v>
      </c>
      <c r="B701" s="76" t="s">
        <v>33</v>
      </c>
      <c r="C701" s="76"/>
      <c r="D701" s="76"/>
      <c r="E701" s="77"/>
      <c r="F701" s="74">
        <v>0</v>
      </c>
      <c r="G701" s="74">
        <v>8</v>
      </c>
      <c r="H701" s="74">
        <v>8</v>
      </c>
      <c r="I701" s="4">
        <v>80670</v>
      </c>
      <c r="J701" s="74">
        <v>0</v>
      </c>
      <c r="K701" s="74">
        <v>0</v>
      </c>
      <c r="L701" s="74">
        <f t="shared" si="100"/>
        <v>83108</v>
      </c>
      <c r="M701" s="74">
        <f t="shared" si="101"/>
        <v>131</v>
      </c>
    </row>
    <row r="702" spans="1:13">
      <c r="A702" s="27">
        <v>46182</v>
      </c>
      <c r="B702" s="1" t="s">
        <v>130</v>
      </c>
      <c r="C702" s="1" t="s">
        <v>131</v>
      </c>
      <c r="D702" s="1" t="s">
        <v>42</v>
      </c>
      <c r="E702" s="1" t="s">
        <v>43</v>
      </c>
      <c r="F702" s="74">
        <v>392</v>
      </c>
      <c r="G702" s="28">
        <v>560</v>
      </c>
      <c r="H702" s="74">
        <v>952</v>
      </c>
      <c r="I702" s="4">
        <v>81622</v>
      </c>
      <c r="J702" s="4">
        <v>1184</v>
      </c>
      <c r="K702" s="74">
        <v>1</v>
      </c>
      <c r="L702" s="74">
        <f t="shared" si="100"/>
        <v>84292</v>
      </c>
      <c r="M702" s="74">
        <f t="shared" si="101"/>
        <v>132</v>
      </c>
    </row>
    <row r="703" spans="1:13">
      <c r="A703" s="27">
        <v>46182</v>
      </c>
      <c r="B703" s="76" t="s">
        <v>33</v>
      </c>
      <c r="C703" s="76"/>
      <c r="D703" s="76"/>
      <c r="E703" s="77"/>
      <c r="F703" s="74">
        <v>0</v>
      </c>
      <c r="G703" s="74">
        <v>11</v>
      </c>
      <c r="H703" s="74">
        <v>11</v>
      </c>
      <c r="I703" s="4">
        <v>81633</v>
      </c>
      <c r="J703" s="74">
        <v>0</v>
      </c>
      <c r="K703" s="74">
        <v>0</v>
      </c>
      <c r="L703" s="74">
        <f t="shared" ref="L703:L726" si="102">J703+L702</f>
        <v>84292</v>
      </c>
      <c r="M703" s="74">
        <f t="shared" ref="M703:M726" si="103">K703+M702</f>
        <v>132</v>
      </c>
    </row>
    <row r="704" spans="1:13">
      <c r="A704" s="27">
        <v>46183</v>
      </c>
      <c r="B704" s="76" t="s">
        <v>65</v>
      </c>
      <c r="C704" s="76"/>
      <c r="D704" s="76"/>
      <c r="E704" s="77"/>
      <c r="F704" s="4">
        <v>5543</v>
      </c>
      <c r="G704" s="74">
        <v>0</v>
      </c>
      <c r="H704" s="4">
        <v>5543</v>
      </c>
      <c r="I704" s="4">
        <v>87176</v>
      </c>
      <c r="J704" s="74">
        <v>0</v>
      </c>
      <c r="K704" s="74">
        <v>0</v>
      </c>
      <c r="L704" s="74">
        <f t="shared" si="102"/>
        <v>84292</v>
      </c>
      <c r="M704" s="74">
        <f t="shared" si="103"/>
        <v>132</v>
      </c>
    </row>
    <row r="705" spans="1:13">
      <c r="A705" s="27">
        <v>46183</v>
      </c>
      <c r="B705" s="1" t="s">
        <v>257</v>
      </c>
      <c r="C705" s="1" t="s">
        <v>134</v>
      </c>
      <c r="D705" s="1" t="s">
        <v>42</v>
      </c>
      <c r="E705" s="1" t="s">
        <v>43</v>
      </c>
      <c r="F705" s="74">
        <v>392</v>
      </c>
      <c r="G705" s="28">
        <v>560</v>
      </c>
      <c r="H705" s="74">
        <v>952</v>
      </c>
      <c r="I705" s="4">
        <v>88128</v>
      </c>
      <c r="J705" s="4">
        <v>1184</v>
      </c>
      <c r="K705" s="74">
        <v>1</v>
      </c>
      <c r="L705" s="74">
        <f t="shared" si="102"/>
        <v>85476</v>
      </c>
      <c r="M705" s="74">
        <f t="shared" si="103"/>
        <v>133</v>
      </c>
    </row>
    <row r="706" spans="1:13">
      <c r="A706" s="27">
        <v>46184</v>
      </c>
      <c r="B706" s="76" t="s">
        <v>33</v>
      </c>
      <c r="C706" s="76"/>
      <c r="D706" s="76"/>
      <c r="E706" s="77"/>
      <c r="F706" s="74">
        <v>0</v>
      </c>
      <c r="G706" s="74">
        <v>19</v>
      </c>
      <c r="H706" s="74">
        <v>19</v>
      </c>
      <c r="I706" s="4">
        <v>88147</v>
      </c>
      <c r="J706" s="74">
        <v>0</v>
      </c>
      <c r="K706" s="74">
        <v>0</v>
      </c>
      <c r="L706" s="74">
        <f t="shared" si="102"/>
        <v>85476</v>
      </c>
      <c r="M706" s="74">
        <f t="shared" si="103"/>
        <v>133</v>
      </c>
    </row>
    <row r="707" spans="1:13">
      <c r="A707" s="27">
        <v>46185</v>
      </c>
      <c r="B707" s="76" t="s">
        <v>33</v>
      </c>
      <c r="C707" s="76"/>
      <c r="D707" s="76"/>
      <c r="E707" s="77"/>
      <c r="F707" s="74">
        <v>0</v>
      </c>
      <c r="G707" s="74">
        <v>16</v>
      </c>
      <c r="H707" s="74">
        <v>16</v>
      </c>
      <c r="I707" s="4">
        <v>88163</v>
      </c>
      <c r="J707" s="74">
        <v>0</v>
      </c>
      <c r="K707" s="74">
        <v>0</v>
      </c>
      <c r="L707" s="74">
        <f t="shared" si="102"/>
        <v>85476</v>
      </c>
      <c r="M707" s="74">
        <f t="shared" si="103"/>
        <v>133</v>
      </c>
    </row>
    <row r="708" spans="1:13">
      <c r="A708" s="27">
        <v>46186</v>
      </c>
      <c r="B708" s="76" t="s">
        <v>33</v>
      </c>
      <c r="C708" s="76"/>
      <c r="D708" s="76"/>
      <c r="E708" s="77"/>
      <c r="F708" s="74">
        <v>0</v>
      </c>
      <c r="G708" s="74">
        <v>11</v>
      </c>
      <c r="H708" s="74">
        <v>11</v>
      </c>
      <c r="I708" s="4">
        <v>88174</v>
      </c>
      <c r="J708" s="74">
        <v>0</v>
      </c>
      <c r="K708" s="74">
        <v>0</v>
      </c>
      <c r="L708" s="74">
        <f t="shared" si="102"/>
        <v>85476</v>
      </c>
      <c r="M708" s="74">
        <f t="shared" si="103"/>
        <v>133</v>
      </c>
    </row>
    <row r="709" spans="1:13">
      <c r="A709" s="27">
        <v>46186</v>
      </c>
      <c r="B709" s="76" t="s">
        <v>37</v>
      </c>
      <c r="C709" s="76"/>
      <c r="D709" s="76"/>
      <c r="E709" s="77"/>
      <c r="F709" s="4">
        <v>-7000</v>
      </c>
      <c r="G709" s="74">
        <v>0</v>
      </c>
      <c r="H709" s="4">
        <v>-7000</v>
      </c>
      <c r="I709" s="4">
        <v>81174</v>
      </c>
      <c r="J709" s="74">
        <v>0</v>
      </c>
      <c r="K709" s="74">
        <v>0</v>
      </c>
      <c r="L709" s="74">
        <f t="shared" si="102"/>
        <v>85476</v>
      </c>
      <c r="M709" s="74">
        <f t="shared" si="103"/>
        <v>133</v>
      </c>
    </row>
    <row r="710" spans="1:13">
      <c r="A710" s="27">
        <v>46187</v>
      </c>
      <c r="B710" s="76" t="s">
        <v>33</v>
      </c>
      <c r="C710" s="76"/>
      <c r="D710" s="76"/>
      <c r="E710" s="77"/>
      <c r="F710" s="74">
        <v>0</v>
      </c>
      <c r="G710" s="74">
        <v>20</v>
      </c>
      <c r="H710" s="74">
        <v>20</v>
      </c>
      <c r="I710" s="4">
        <v>81194</v>
      </c>
      <c r="J710" s="74">
        <v>0</v>
      </c>
      <c r="K710" s="74">
        <v>0</v>
      </c>
      <c r="L710" s="74">
        <f t="shared" si="102"/>
        <v>85476</v>
      </c>
      <c r="M710" s="74">
        <f t="shared" si="103"/>
        <v>133</v>
      </c>
    </row>
    <row r="711" spans="1:13">
      <c r="A711" s="27">
        <v>46188</v>
      </c>
      <c r="B711" s="76" t="s">
        <v>33</v>
      </c>
      <c r="C711" s="76"/>
      <c r="D711" s="76"/>
      <c r="E711" s="77"/>
      <c r="F711" s="74">
        <v>0</v>
      </c>
      <c r="G711" s="74">
        <v>12</v>
      </c>
      <c r="H711" s="74">
        <v>12</v>
      </c>
      <c r="I711" s="4">
        <v>81206</v>
      </c>
      <c r="J711" s="74">
        <v>0</v>
      </c>
      <c r="K711" s="74">
        <v>0</v>
      </c>
      <c r="L711" s="74">
        <f t="shared" si="102"/>
        <v>85476</v>
      </c>
      <c r="M711" s="74">
        <f t="shared" si="103"/>
        <v>133</v>
      </c>
    </row>
    <row r="712" spans="1:13">
      <c r="A712" s="27">
        <v>46189</v>
      </c>
      <c r="B712" s="76" t="s">
        <v>33</v>
      </c>
      <c r="C712" s="76"/>
      <c r="D712" s="76"/>
      <c r="E712" s="77"/>
      <c r="F712" s="74">
        <v>0</v>
      </c>
      <c r="G712" s="74">
        <v>21</v>
      </c>
      <c r="H712" s="74">
        <v>21</v>
      </c>
      <c r="I712" s="4">
        <v>81227</v>
      </c>
      <c r="J712" s="74">
        <v>0</v>
      </c>
      <c r="K712" s="74">
        <v>0</v>
      </c>
      <c r="L712" s="74">
        <f t="shared" si="102"/>
        <v>85476</v>
      </c>
      <c r="M712" s="74">
        <f t="shared" si="103"/>
        <v>133</v>
      </c>
    </row>
    <row r="713" spans="1:13">
      <c r="A713" s="27">
        <v>46190</v>
      </c>
      <c r="B713" s="76" t="s">
        <v>49</v>
      </c>
      <c r="C713" s="76"/>
      <c r="D713" s="76"/>
      <c r="E713" s="77"/>
      <c r="F713" s="74">
        <v>0</v>
      </c>
      <c r="G713" s="74">
        <v>1</v>
      </c>
      <c r="H713" s="74">
        <v>1</v>
      </c>
      <c r="I713" s="4">
        <v>81228</v>
      </c>
      <c r="J713" s="74">
        <v>0</v>
      </c>
      <c r="K713" s="74">
        <v>0</v>
      </c>
      <c r="L713" s="74">
        <f t="shared" si="102"/>
        <v>85476</v>
      </c>
      <c r="M713" s="74">
        <f t="shared" si="103"/>
        <v>133</v>
      </c>
    </row>
    <row r="714" spans="1:13">
      <c r="A714" s="27">
        <v>46190</v>
      </c>
      <c r="B714" s="76" t="s">
        <v>33</v>
      </c>
      <c r="C714" s="76"/>
      <c r="D714" s="76"/>
      <c r="E714" s="77"/>
      <c r="F714" s="74">
        <v>0</v>
      </c>
      <c r="G714" s="74">
        <v>11</v>
      </c>
      <c r="H714" s="74">
        <v>11</v>
      </c>
      <c r="I714" s="4">
        <v>81239</v>
      </c>
      <c r="J714" s="74">
        <v>0</v>
      </c>
      <c r="K714" s="74">
        <v>0</v>
      </c>
      <c r="L714" s="74">
        <f t="shared" si="102"/>
        <v>85476</v>
      </c>
      <c r="M714" s="74">
        <f t="shared" si="103"/>
        <v>133</v>
      </c>
    </row>
    <row r="715" spans="1:13">
      <c r="A715" s="27">
        <v>46190</v>
      </c>
      <c r="B715" s="76" t="s">
        <v>49</v>
      </c>
      <c r="C715" s="76"/>
      <c r="D715" s="76"/>
      <c r="E715" s="77"/>
      <c r="F715" s="74">
        <v>0</v>
      </c>
      <c r="G715" s="74">
        <v>1</v>
      </c>
      <c r="H715" s="74">
        <v>1</v>
      </c>
      <c r="I715" s="4">
        <v>81240</v>
      </c>
      <c r="J715" s="74">
        <v>0</v>
      </c>
      <c r="K715" s="74">
        <v>0</v>
      </c>
      <c r="L715" s="74">
        <f t="shared" si="102"/>
        <v>85476</v>
      </c>
      <c r="M715" s="74">
        <f t="shared" si="103"/>
        <v>133</v>
      </c>
    </row>
    <row r="716" spans="1:13">
      <c r="A716" s="27">
        <v>46191</v>
      </c>
      <c r="B716" s="76" t="s">
        <v>33</v>
      </c>
      <c r="C716" s="76"/>
      <c r="D716" s="76"/>
      <c r="E716" s="77"/>
      <c r="F716" s="74">
        <v>0</v>
      </c>
      <c r="G716" s="74">
        <v>15</v>
      </c>
      <c r="H716" s="74">
        <v>15</v>
      </c>
      <c r="I716" s="4">
        <v>81255</v>
      </c>
      <c r="J716" s="74">
        <v>0</v>
      </c>
      <c r="K716" s="74">
        <v>0</v>
      </c>
      <c r="L716" s="74">
        <f t="shared" si="102"/>
        <v>85476</v>
      </c>
      <c r="M716" s="74">
        <f t="shared" si="103"/>
        <v>133</v>
      </c>
    </row>
    <row r="717" spans="1:13">
      <c r="A717" s="27">
        <v>46192</v>
      </c>
      <c r="B717" s="76" t="s">
        <v>33</v>
      </c>
      <c r="C717" s="76"/>
      <c r="D717" s="76"/>
      <c r="E717" s="77"/>
      <c r="F717" s="74">
        <v>0</v>
      </c>
      <c r="G717" s="74">
        <v>12</v>
      </c>
      <c r="H717" s="74">
        <v>12</v>
      </c>
      <c r="I717" s="4">
        <v>81267</v>
      </c>
      <c r="J717" s="74">
        <v>0</v>
      </c>
      <c r="K717" s="74">
        <v>0</v>
      </c>
      <c r="L717" s="74">
        <f t="shared" si="102"/>
        <v>85476</v>
      </c>
      <c r="M717" s="74">
        <f t="shared" si="103"/>
        <v>133</v>
      </c>
    </row>
    <row r="718" spans="1:13">
      <c r="A718" s="27">
        <v>46193</v>
      </c>
      <c r="B718" s="76" t="s">
        <v>33</v>
      </c>
      <c r="C718" s="76"/>
      <c r="D718" s="76"/>
      <c r="E718" s="77"/>
      <c r="F718" s="74">
        <v>0</v>
      </c>
      <c r="G718" s="74">
        <v>10</v>
      </c>
      <c r="H718" s="74">
        <v>10</v>
      </c>
      <c r="I718" s="4">
        <v>81277</v>
      </c>
      <c r="J718" s="74">
        <v>0</v>
      </c>
      <c r="K718" s="74">
        <v>0</v>
      </c>
      <c r="L718" s="74">
        <f t="shared" si="102"/>
        <v>85476</v>
      </c>
      <c r="M718" s="74">
        <f t="shared" si="103"/>
        <v>133</v>
      </c>
    </row>
    <row r="719" spans="1:13">
      <c r="A719" s="27">
        <v>46194</v>
      </c>
      <c r="B719" s="76" t="s">
        <v>49</v>
      </c>
      <c r="C719" s="76"/>
      <c r="D719" s="76"/>
      <c r="E719" s="77"/>
      <c r="F719" s="74">
        <v>0</v>
      </c>
      <c r="G719" s="74">
        <v>1</v>
      </c>
      <c r="H719" s="74">
        <v>1</v>
      </c>
      <c r="I719" s="4">
        <v>81278</v>
      </c>
      <c r="J719" s="74">
        <v>0</v>
      </c>
      <c r="K719" s="74">
        <v>0</v>
      </c>
      <c r="L719" s="74">
        <f t="shared" si="102"/>
        <v>85476</v>
      </c>
      <c r="M719" s="74">
        <f t="shared" si="103"/>
        <v>133</v>
      </c>
    </row>
    <row r="720" spans="1:13">
      <c r="A720" s="27">
        <v>46194</v>
      </c>
      <c r="B720" s="76" t="s">
        <v>129</v>
      </c>
      <c r="C720" s="76"/>
      <c r="D720" s="76"/>
      <c r="E720" s="77"/>
      <c r="F720" s="74">
        <v>0</v>
      </c>
      <c r="G720" s="74">
        <v>233</v>
      </c>
      <c r="H720" s="74">
        <v>233</v>
      </c>
      <c r="I720" s="4">
        <v>81511</v>
      </c>
      <c r="J720" s="74">
        <v>0</v>
      </c>
      <c r="K720" s="74">
        <v>0</v>
      </c>
      <c r="L720" s="74">
        <f t="shared" si="102"/>
        <v>85476</v>
      </c>
      <c r="M720" s="74">
        <f t="shared" si="103"/>
        <v>133</v>
      </c>
    </row>
    <row r="721" spans="1:13">
      <c r="A721" s="27">
        <v>46194</v>
      </c>
      <c r="B721" s="76" t="s">
        <v>33</v>
      </c>
      <c r="C721" s="76"/>
      <c r="D721" s="76"/>
      <c r="E721" s="77"/>
      <c r="F721" s="74">
        <v>0</v>
      </c>
      <c r="G721" s="74">
        <v>24</v>
      </c>
      <c r="H721" s="74">
        <v>24</v>
      </c>
      <c r="I721" s="4">
        <v>81535</v>
      </c>
      <c r="J721" s="74">
        <v>0</v>
      </c>
      <c r="K721" s="74">
        <v>0</v>
      </c>
      <c r="L721" s="74">
        <f t="shared" si="102"/>
        <v>85476</v>
      </c>
      <c r="M721" s="74">
        <f t="shared" si="103"/>
        <v>133</v>
      </c>
    </row>
    <row r="722" spans="1:13">
      <c r="A722" s="27">
        <v>46194</v>
      </c>
      <c r="B722" s="76" t="s">
        <v>49</v>
      </c>
      <c r="C722" s="76"/>
      <c r="D722" s="76"/>
      <c r="E722" s="77"/>
      <c r="F722" s="74">
        <v>0</v>
      </c>
      <c r="G722" s="74">
        <v>1</v>
      </c>
      <c r="H722" s="74">
        <v>1</v>
      </c>
      <c r="I722" s="4">
        <v>81536</v>
      </c>
      <c r="J722" s="74">
        <v>0</v>
      </c>
      <c r="K722" s="74">
        <v>0</v>
      </c>
      <c r="L722" s="74">
        <f t="shared" si="102"/>
        <v>85476</v>
      </c>
      <c r="M722" s="74">
        <f t="shared" si="103"/>
        <v>133</v>
      </c>
    </row>
    <row r="723" spans="1:13">
      <c r="A723" s="27">
        <v>46194</v>
      </c>
      <c r="B723" s="76" t="s">
        <v>49</v>
      </c>
      <c r="C723" s="76"/>
      <c r="D723" s="76"/>
      <c r="E723" s="77"/>
      <c r="F723" s="74">
        <v>0</v>
      </c>
      <c r="G723" s="74">
        <v>1</v>
      </c>
      <c r="H723" s="74">
        <v>1</v>
      </c>
      <c r="I723" s="4">
        <v>81537</v>
      </c>
      <c r="J723" s="74">
        <v>0</v>
      </c>
      <c r="K723" s="74">
        <v>0</v>
      </c>
      <c r="L723" s="74">
        <f t="shared" si="102"/>
        <v>85476</v>
      </c>
      <c r="M723" s="74">
        <f t="shared" si="103"/>
        <v>133</v>
      </c>
    </row>
    <row r="724" spans="1:13">
      <c r="A724" s="27">
        <v>46194</v>
      </c>
      <c r="B724" s="76" t="s">
        <v>49</v>
      </c>
      <c r="C724" s="76"/>
      <c r="D724" s="76"/>
      <c r="E724" s="77"/>
      <c r="F724" s="74">
        <v>0</v>
      </c>
      <c r="G724" s="74">
        <v>1</v>
      </c>
      <c r="H724" s="74">
        <v>1</v>
      </c>
      <c r="I724" s="4">
        <v>81538</v>
      </c>
      <c r="J724" s="74">
        <v>0</v>
      </c>
      <c r="K724" s="74">
        <v>0</v>
      </c>
      <c r="L724" s="74">
        <f t="shared" si="102"/>
        <v>85476</v>
      </c>
      <c r="M724" s="74">
        <f t="shared" si="103"/>
        <v>133</v>
      </c>
    </row>
    <row r="725" spans="1:13">
      <c r="A725" s="27">
        <v>46195</v>
      </c>
      <c r="B725" s="76" t="s">
        <v>33</v>
      </c>
      <c r="C725" s="76"/>
      <c r="D725" s="76"/>
      <c r="E725" s="77"/>
      <c r="F725" s="74">
        <v>0</v>
      </c>
      <c r="G725" s="74">
        <v>18</v>
      </c>
      <c r="H725" s="74">
        <v>18</v>
      </c>
      <c r="I725" s="4">
        <v>81556</v>
      </c>
      <c r="J725" s="74">
        <v>0</v>
      </c>
      <c r="K725" s="74">
        <v>0</v>
      </c>
      <c r="L725" s="74">
        <f t="shared" si="102"/>
        <v>85476</v>
      </c>
      <c r="M725" s="74">
        <f t="shared" si="103"/>
        <v>133</v>
      </c>
    </row>
    <row r="726" spans="1:13">
      <c r="A726" s="27">
        <v>46196</v>
      </c>
      <c r="B726" s="76" t="s">
        <v>33</v>
      </c>
      <c r="C726" s="76"/>
      <c r="D726" s="76"/>
      <c r="E726" s="77"/>
      <c r="F726" s="74">
        <v>0</v>
      </c>
      <c r="G726" s="74">
        <v>8</v>
      </c>
      <c r="H726" s="74">
        <v>8</v>
      </c>
      <c r="I726" s="4">
        <v>81564</v>
      </c>
      <c r="J726" s="74">
        <v>0</v>
      </c>
      <c r="K726" s="74">
        <v>0</v>
      </c>
      <c r="L726" s="74">
        <f t="shared" si="102"/>
        <v>85476</v>
      </c>
      <c r="M726" s="74">
        <f t="shared" si="103"/>
        <v>133</v>
      </c>
    </row>
    <row r="727" spans="1:13">
      <c r="A727" s="27">
        <v>46197</v>
      </c>
      <c r="B727" s="76" t="s">
        <v>33</v>
      </c>
      <c r="C727" s="76"/>
      <c r="D727" s="76"/>
      <c r="E727" s="77"/>
      <c r="F727" s="74">
        <v>0</v>
      </c>
      <c r="G727" s="74">
        <v>12</v>
      </c>
      <c r="H727" s="74">
        <v>12</v>
      </c>
      <c r="I727" s="4">
        <v>81576</v>
      </c>
      <c r="J727" s="74">
        <v>0</v>
      </c>
      <c r="K727" s="74">
        <v>0</v>
      </c>
      <c r="L727" s="74">
        <f t="shared" ref="L727:L733" si="104">J727+L726</f>
        <v>85476</v>
      </c>
      <c r="M727" s="74">
        <f t="shared" ref="M727:M733" si="105">K727+M726</f>
        <v>133</v>
      </c>
    </row>
    <row r="728" spans="1:13">
      <c r="A728" s="27">
        <v>46198</v>
      </c>
      <c r="B728" s="76" t="s">
        <v>33</v>
      </c>
      <c r="C728" s="76"/>
      <c r="D728" s="76"/>
      <c r="E728" s="77"/>
      <c r="F728" s="74">
        <v>0</v>
      </c>
      <c r="G728" s="74">
        <v>10</v>
      </c>
      <c r="H728" s="74">
        <v>10</v>
      </c>
      <c r="I728" s="4">
        <v>81586</v>
      </c>
      <c r="J728" s="74">
        <v>0</v>
      </c>
      <c r="K728" s="74">
        <v>0</v>
      </c>
      <c r="L728" s="74">
        <f t="shared" si="104"/>
        <v>85476</v>
      </c>
      <c r="M728" s="74">
        <f t="shared" si="105"/>
        <v>133</v>
      </c>
    </row>
    <row r="729" spans="1:13">
      <c r="A729" s="27">
        <v>46199</v>
      </c>
      <c r="B729" s="1" t="s">
        <v>236</v>
      </c>
      <c r="C729" s="1" t="s">
        <v>63</v>
      </c>
      <c r="D729" s="1" t="s">
        <v>42</v>
      </c>
      <c r="E729" s="1" t="s">
        <v>50</v>
      </c>
      <c r="F729" s="74">
        <v>354</v>
      </c>
      <c r="G729" s="28">
        <v>510</v>
      </c>
      <c r="H729" s="74">
        <v>864</v>
      </c>
      <c r="I729" s="4">
        <v>82450</v>
      </c>
      <c r="J729" s="4">
        <v>1108</v>
      </c>
      <c r="K729" s="74">
        <v>1</v>
      </c>
      <c r="L729" s="74">
        <f t="shared" si="104"/>
        <v>86584</v>
      </c>
      <c r="M729" s="74">
        <f t="shared" si="105"/>
        <v>134</v>
      </c>
    </row>
    <row r="730" spans="1:13">
      <c r="A730" s="27">
        <v>46199</v>
      </c>
      <c r="B730" s="76" t="s">
        <v>49</v>
      </c>
      <c r="C730" s="76"/>
      <c r="D730" s="76"/>
      <c r="E730" s="77"/>
      <c r="F730" s="74">
        <v>0</v>
      </c>
      <c r="G730" s="74">
        <v>1</v>
      </c>
      <c r="H730" s="74">
        <v>1</v>
      </c>
      <c r="I730" s="4">
        <v>82451</v>
      </c>
      <c r="J730" s="74">
        <v>0</v>
      </c>
      <c r="K730" s="74">
        <v>0</v>
      </c>
      <c r="L730" s="74">
        <f t="shared" si="104"/>
        <v>86584</v>
      </c>
      <c r="M730" s="74">
        <f t="shared" si="105"/>
        <v>134</v>
      </c>
    </row>
    <row r="731" spans="1:13">
      <c r="A731" s="27">
        <v>46199</v>
      </c>
      <c r="B731" s="76" t="s">
        <v>33</v>
      </c>
      <c r="C731" s="76"/>
      <c r="D731" s="76"/>
      <c r="E731" s="77"/>
      <c r="F731" s="74">
        <v>0</v>
      </c>
      <c r="G731" s="74">
        <v>11</v>
      </c>
      <c r="H731" s="74">
        <v>11</v>
      </c>
      <c r="I731" s="4">
        <v>82462</v>
      </c>
      <c r="J731" s="74">
        <v>0</v>
      </c>
      <c r="K731" s="74">
        <v>0</v>
      </c>
      <c r="L731" s="74">
        <f t="shared" si="104"/>
        <v>86584</v>
      </c>
      <c r="M731" s="74">
        <f t="shared" si="105"/>
        <v>134</v>
      </c>
    </row>
    <row r="732" spans="1:13">
      <c r="A732" s="27">
        <v>46199</v>
      </c>
      <c r="B732" s="76" t="s">
        <v>49</v>
      </c>
      <c r="C732" s="76"/>
      <c r="D732" s="76"/>
      <c r="E732" s="77"/>
      <c r="F732" s="74">
        <v>0</v>
      </c>
      <c r="G732" s="74">
        <v>1</v>
      </c>
      <c r="H732" s="74">
        <v>1</v>
      </c>
      <c r="I732" s="4">
        <v>82463</v>
      </c>
      <c r="J732" s="74">
        <v>0</v>
      </c>
      <c r="K732" s="74">
        <v>0</v>
      </c>
      <c r="L732" s="74">
        <f t="shared" si="104"/>
        <v>86584</v>
      </c>
      <c r="M732" s="74">
        <f t="shared" si="105"/>
        <v>134</v>
      </c>
    </row>
    <row r="733" spans="1:13">
      <c r="A733" s="27">
        <v>46199</v>
      </c>
      <c r="B733" s="76" t="s">
        <v>49</v>
      </c>
      <c r="C733" s="76"/>
      <c r="D733" s="76"/>
      <c r="E733" s="77"/>
      <c r="F733" s="74">
        <v>0</v>
      </c>
      <c r="G733" s="74">
        <v>1</v>
      </c>
      <c r="H733" s="74">
        <v>1</v>
      </c>
      <c r="I733" s="4">
        <v>82464</v>
      </c>
      <c r="J733" s="74">
        <v>0</v>
      </c>
      <c r="K733" s="74">
        <v>0</v>
      </c>
      <c r="L733" s="74">
        <f t="shared" si="104"/>
        <v>86584</v>
      </c>
      <c r="M733" s="74">
        <f t="shared" si="105"/>
        <v>134</v>
      </c>
    </row>
    <row r="734" spans="1:13">
      <c r="A734" s="27">
        <v>46200</v>
      </c>
      <c r="B734" s="76" t="s">
        <v>33</v>
      </c>
      <c r="C734" s="76"/>
      <c r="D734" s="76"/>
      <c r="E734" s="77"/>
      <c r="F734" s="74">
        <v>0</v>
      </c>
      <c r="G734" s="74">
        <v>9</v>
      </c>
      <c r="H734" s="74">
        <v>9</v>
      </c>
      <c r="I734" s="4">
        <v>82473</v>
      </c>
      <c r="J734" s="74">
        <v>0</v>
      </c>
      <c r="K734" s="74">
        <v>0</v>
      </c>
      <c r="L734" s="74">
        <f t="shared" ref="L734:L735" si="106">J734+L733</f>
        <v>86584</v>
      </c>
      <c r="M734" s="74">
        <f t="shared" ref="M734:M735" si="107">K734+M733</f>
        <v>134</v>
      </c>
    </row>
    <row r="735" spans="1:13">
      <c r="A735" s="27">
        <v>46201</v>
      </c>
      <c r="B735" s="76" t="s">
        <v>33</v>
      </c>
      <c r="C735" s="76"/>
      <c r="D735" s="76"/>
      <c r="E735" s="77"/>
      <c r="F735" s="74">
        <v>0</v>
      </c>
      <c r="G735" s="74">
        <v>30</v>
      </c>
      <c r="H735" s="74">
        <v>30</v>
      </c>
      <c r="I735" s="4">
        <v>82503</v>
      </c>
      <c r="J735" s="74">
        <v>0</v>
      </c>
      <c r="K735" s="74">
        <v>0</v>
      </c>
      <c r="L735" s="74">
        <f t="shared" si="106"/>
        <v>86584</v>
      </c>
      <c r="M735" s="74">
        <f t="shared" si="107"/>
        <v>134</v>
      </c>
    </row>
    <row r="736" spans="1:13">
      <c r="A736" s="27">
        <v>46202</v>
      </c>
      <c r="B736" s="76" t="s">
        <v>33</v>
      </c>
      <c r="C736" s="76"/>
      <c r="D736" s="76"/>
      <c r="E736" s="77"/>
      <c r="F736" s="74">
        <v>0</v>
      </c>
      <c r="G736" s="74">
        <v>11</v>
      </c>
      <c r="H736" s="74">
        <v>11</v>
      </c>
      <c r="I736" s="4">
        <v>82514</v>
      </c>
      <c r="J736" s="74">
        <v>0</v>
      </c>
      <c r="K736" s="74">
        <v>0</v>
      </c>
      <c r="L736" s="74">
        <f t="shared" ref="L736:L748" si="108">J736+L735</f>
        <v>86584</v>
      </c>
      <c r="M736" s="74">
        <f t="shared" ref="M736:M748" si="109">K736+M735</f>
        <v>134</v>
      </c>
    </row>
    <row r="737" spans="1:13">
      <c r="A737" s="27">
        <v>46203</v>
      </c>
      <c r="B737" s="76" t="s">
        <v>33</v>
      </c>
      <c r="C737" s="76"/>
      <c r="D737" s="76"/>
      <c r="E737" s="77"/>
      <c r="F737" s="74">
        <v>0</v>
      </c>
      <c r="G737" s="74">
        <v>13</v>
      </c>
      <c r="H737" s="74">
        <v>13</v>
      </c>
      <c r="I737" s="4">
        <v>82527</v>
      </c>
      <c r="J737" s="74">
        <v>0</v>
      </c>
      <c r="K737" s="74">
        <v>0</v>
      </c>
      <c r="L737" s="74">
        <f t="shared" si="108"/>
        <v>86584</v>
      </c>
      <c r="M737" s="74">
        <f t="shared" si="109"/>
        <v>134</v>
      </c>
    </row>
    <row r="738" spans="1:13">
      <c r="A738" s="27">
        <v>46204</v>
      </c>
      <c r="B738" s="1" t="s">
        <v>258</v>
      </c>
      <c r="C738" s="3" t="s">
        <v>259</v>
      </c>
      <c r="D738" s="3" t="s">
        <v>20</v>
      </c>
      <c r="E738" s="1" t="s">
        <v>20</v>
      </c>
      <c r="F738" s="74">
        <v>0</v>
      </c>
      <c r="G738" s="74">
        <v>0</v>
      </c>
      <c r="H738" s="74">
        <v>0</v>
      </c>
      <c r="I738" s="4">
        <v>82527</v>
      </c>
      <c r="J738" s="74">
        <v>0</v>
      </c>
      <c r="K738" s="74">
        <v>0</v>
      </c>
      <c r="L738" s="74">
        <f t="shared" si="108"/>
        <v>86584</v>
      </c>
      <c r="M738" s="74">
        <f t="shared" si="109"/>
        <v>134</v>
      </c>
    </row>
    <row r="739" spans="1:13">
      <c r="A739" s="27">
        <v>46204</v>
      </c>
      <c r="B739" s="1" t="s">
        <v>260</v>
      </c>
      <c r="C739" s="3" t="s">
        <v>261</v>
      </c>
      <c r="D739" s="3" t="s">
        <v>20</v>
      </c>
      <c r="E739" s="1" t="s">
        <v>20</v>
      </c>
      <c r="F739" s="74">
        <v>0</v>
      </c>
      <c r="G739" s="74">
        <v>0</v>
      </c>
      <c r="H739" s="74">
        <v>0</v>
      </c>
      <c r="I739" s="4">
        <v>82527</v>
      </c>
      <c r="J739" s="74">
        <v>0</v>
      </c>
      <c r="K739" s="74">
        <v>0</v>
      </c>
      <c r="L739" s="74">
        <f t="shared" si="108"/>
        <v>86584</v>
      </c>
      <c r="M739" s="74">
        <f t="shared" si="109"/>
        <v>134</v>
      </c>
    </row>
    <row r="740" spans="1:13">
      <c r="A740" s="27">
        <v>46204</v>
      </c>
      <c r="B740" s="76" t="s">
        <v>49</v>
      </c>
      <c r="C740" s="76"/>
      <c r="D740" s="76"/>
      <c r="E740" s="77"/>
      <c r="F740" s="74">
        <v>0</v>
      </c>
      <c r="G740" s="74">
        <v>1</v>
      </c>
      <c r="H740" s="74">
        <v>1</v>
      </c>
      <c r="I740" s="4">
        <v>82528</v>
      </c>
      <c r="J740" s="74">
        <v>0</v>
      </c>
      <c r="K740" s="74">
        <v>0</v>
      </c>
      <c r="L740" s="74">
        <f t="shared" si="108"/>
        <v>86584</v>
      </c>
      <c r="M740" s="74">
        <f t="shared" si="109"/>
        <v>134</v>
      </c>
    </row>
    <row r="741" spans="1:13">
      <c r="A741" s="27">
        <v>46204</v>
      </c>
      <c r="B741" s="76" t="s">
        <v>33</v>
      </c>
      <c r="C741" s="76"/>
      <c r="D741" s="76"/>
      <c r="E741" s="77"/>
      <c r="F741" s="74">
        <v>0</v>
      </c>
      <c r="G741" s="74">
        <v>25</v>
      </c>
      <c r="H741" s="74">
        <v>25</v>
      </c>
      <c r="I741" s="4">
        <v>82553</v>
      </c>
      <c r="J741" s="74">
        <v>0</v>
      </c>
      <c r="K741" s="74">
        <v>0</v>
      </c>
      <c r="L741" s="74">
        <f t="shared" si="108"/>
        <v>86584</v>
      </c>
      <c r="M741" s="74">
        <f t="shared" si="109"/>
        <v>134</v>
      </c>
    </row>
    <row r="742" spans="1:13">
      <c r="A742" s="27">
        <v>46204</v>
      </c>
      <c r="B742" s="76" t="s">
        <v>49</v>
      </c>
      <c r="C742" s="76"/>
      <c r="D742" s="76"/>
      <c r="E742" s="77"/>
      <c r="F742" s="74">
        <v>0</v>
      </c>
      <c r="G742" s="74">
        <v>1</v>
      </c>
      <c r="H742" s="74">
        <v>1</v>
      </c>
      <c r="I742" s="4">
        <v>82554</v>
      </c>
      <c r="J742" s="74">
        <v>0</v>
      </c>
      <c r="K742" s="74">
        <v>0</v>
      </c>
      <c r="L742" s="74">
        <f t="shared" si="108"/>
        <v>86584</v>
      </c>
      <c r="M742" s="74">
        <f t="shared" si="109"/>
        <v>134</v>
      </c>
    </row>
    <row r="743" spans="1:13">
      <c r="A743" s="27">
        <v>46205</v>
      </c>
      <c r="B743" s="76" t="s">
        <v>33</v>
      </c>
      <c r="C743" s="76"/>
      <c r="D743" s="76"/>
      <c r="E743" s="77"/>
      <c r="F743" s="74">
        <v>0</v>
      </c>
      <c r="G743" s="74">
        <v>123</v>
      </c>
      <c r="H743" s="74">
        <v>123</v>
      </c>
      <c r="I743" s="4">
        <v>82677</v>
      </c>
      <c r="J743" s="74">
        <v>0</v>
      </c>
      <c r="K743" s="74">
        <v>0</v>
      </c>
      <c r="L743" s="74">
        <f t="shared" si="108"/>
        <v>86584</v>
      </c>
      <c r="M743" s="74">
        <f t="shared" si="109"/>
        <v>134</v>
      </c>
    </row>
    <row r="744" spans="1:13">
      <c r="A744" s="27">
        <v>46206</v>
      </c>
      <c r="B744" s="76" t="s">
        <v>33</v>
      </c>
      <c r="C744" s="76"/>
      <c r="D744" s="76"/>
      <c r="E744" s="77"/>
      <c r="F744" s="74">
        <v>0</v>
      </c>
      <c r="G744" s="74">
        <v>9</v>
      </c>
      <c r="H744" s="74">
        <v>9</v>
      </c>
      <c r="I744" s="4">
        <v>82686</v>
      </c>
      <c r="J744" s="74">
        <v>0</v>
      </c>
      <c r="K744" s="74">
        <v>0</v>
      </c>
      <c r="L744" s="74">
        <f t="shared" si="108"/>
        <v>86584</v>
      </c>
      <c r="M744" s="74">
        <f t="shared" si="109"/>
        <v>134</v>
      </c>
    </row>
    <row r="745" spans="1:13">
      <c r="A745" s="27">
        <v>46207</v>
      </c>
      <c r="B745" s="76" t="s">
        <v>33</v>
      </c>
      <c r="C745" s="76"/>
      <c r="D745" s="76"/>
      <c r="E745" s="77"/>
      <c r="F745" s="74">
        <v>0</v>
      </c>
      <c r="G745" s="74">
        <v>9</v>
      </c>
      <c r="H745" s="74">
        <v>9</v>
      </c>
      <c r="I745" s="4">
        <v>82695</v>
      </c>
      <c r="J745" s="74">
        <v>0</v>
      </c>
      <c r="K745" s="74">
        <v>0</v>
      </c>
      <c r="L745" s="74">
        <f t="shared" si="108"/>
        <v>86584</v>
      </c>
      <c r="M745" s="74">
        <f t="shared" si="109"/>
        <v>134</v>
      </c>
    </row>
    <row r="746" spans="1:13">
      <c r="A746" s="27">
        <v>46208</v>
      </c>
      <c r="B746" s="76" t="s">
        <v>49</v>
      </c>
      <c r="C746" s="76"/>
      <c r="D746" s="76"/>
      <c r="E746" s="77"/>
      <c r="F746" s="74">
        <v>0</v>
      </c>
      <c r="G746" s="74">
        <v>1</v>
      </c>
      <c r="H746" s="74">
        <v>1</v>
      </c>
      <c r="I746" s="4">
        <v>82696</v>
      </c>
      <c r="J746" s="74">
        <v>0</v>
      </c>
      <c r="K746" s="74">
        <v>0</v>
      </c>
      <c r="L746" s="74">
        <f t="shared" si="108"/>
        <v>86584</v>
      </c>
      <c r="M746" s="74">
        <f t="shared" si="109"/>
        <v>134</v>
      </c>
    </row>
    <row r="747" spans="1:13">
      <c r="A747" s="27">
        <v>46208</v>
      </c>
      <c r="B747" s="76" t="s">
        <v>33</v>
      </c>
      <c r="C747" s="76"/>
      <c r="D747" s="76"/>
      <c r="E747" s="77"/>
      <c r="F747" s="74">
        <v>0</v>
      </c>
      <c r="G747" s="74">
        <v>28</v>
      </c>
      <c r="H747" s="74">
        <v>28</v>
      </c>
      <c r="I747" s="4">
        <v>82724</v>
      </c>
      <c r="J747" s="74">
        <v>0</v>
      </c>
      <c r="K747" s="74">
        <v>0</v>
      </c>
      <c r="L747" s="74">
        <f t="shared" si="108"/>
        <v>86584</v>
      </c>
      <c r="M747" s="74">
        <f t="shared" si="109"/>
        <v>134</v>
      </c>
    </row>
    <row r="748" spans="1:13">
      <c r="A748" s="29">
        <v>46208</v>
      </c>
      <c r="B748" s="78" t="s">
        <v>49</v>
      </c>
      <c r="C748" s="78"/>
      <c r="D748" s="78"/>
      <c r="E748" s="79"/>
      <c r="F748" s="75">
        <v>0</v>
      </c>
      <c r="G748" s="75">
        <v>1</v>
      </c>
      <c r="H748" s="75">
        <v>1</v>
      </c>
      <c r="I748" s="4">
        <v>82752</v>
      </c>
      <c r="J748" s="74">
        <v>0</v>
      </c>
      <c r="K748" s="74">
        <v>0</v>
      </c>
      <c r="L748" s="74">
        <f t="shared" ref="L748:L757" si="110">J748+L747</f>
        <v>86584</v>
      </c>
      <c r="M748" s="74">
        <f t="shared" ref="M748:M757" si="111">K748+M747</f>
        <v>134</v>
      </c>
    </row>
    <row r="749" spans="1:13">
      <c r="A749" s="27">
        <v>46209</v>
      </c>
      <c r="B749" s="76" t="s">
        <v>33</v>
      </c>
      <c r="C749" s="76"/>
      <c r="D749" s="76"/>
      <c r="E749" s="77"/>
      <c r="F749" s="74">
        <v>0</v>
      </c>
      <c r="G749" s="74">
        <v>17</v>
      </c>
      <c r="H749" s="74">
        <v>17</v>
      </c>
      <c r="I749" s="4">
        <v>82742</v>
      </c>
      <c r="J749" s="74">
        <v>0</v>
      </c>
      <c r="K749" s="74">
        <v>0</v>
      </c>
      <c r="L749" s="74">
        <f t="shared" si="110"/>
        <v>86584</v>
      </c>
      <c r="M749" s="74">
        <f t="shared" si="111"/>
        <v>134</v>
      </c>
    </row>
    <row r="750" spans="1:13">
      <c r="A750" s="27">
        <v>46210</v>
      </c>
      <c r="B750" s="76" t="s">
        <v>33</v>
      </c>
      <c r="C750" s="76"/>
      <c r="D750" s="76"/>
      <c r="E750" s="77"/>
      <c r="F750" s="74">
        <v>0</v>
      </c>
      <c r="G750" s="74">
        <v>4</v>
      </c>
      <c r="H750" s="74">
        <v>4</v>
      </c>
      <c r="I750" s="4">
        <v>82746</v>
      </c>
      <c r="J750" s="74">
        <v>0</v>
      </c>
      <c r="K750" s="74">
        <v>0</v>
      </c>
      <c r="L750" s="74">
        <f t="shared" si="110"/>
        <v>86584</v>
      </c>
      <c r="M750" s="74">
        <f t="shared" si="111"/>
        <v>134</v>
      </c>
    </row>
    <row r="751" spans="1:13">
      <c r="A751" s="27">
        <v>46211</v>
      </c>
      <c r="B751" s="76" t="s">
        <v>33</v>
      </c>
      <c r="C751" s="76"/>
      <c r="D751" s="76"/>
      <c r="E751" s="77"/>
      <c r="F751" s="74">
        <v>0</v>
      </c>
      <c r="G751" s="74">
        <v>16</v>
      </c>
      <c r="H751" s="74">
        <v>16</v>
      </c>
      <c r="I751" s="4">
        <v>82762</v>
      </c>
      <c r="J751" s="74">
        <v>0</v>
      </c>
      <c r="K751" s="74">
        <v>0</v>
      </c>
      <c r="L751" s="74">
        <f t="shared" si="110"/>
        <v>86584</v>
      </c>
      <c r="M751" s="74">
        <f t="shared" si="111"/>
        <v>134</v>
      </c>
    </row>
    <row r="752" spans="1:13">
      <c r="A752" s="27">
        <v>46212</v>
      </c>
      <c r="B752" s="76" t="s">
        <v>33</v>
      </c>
      <c r="C752" s="76"/>
      <c r="D752" s="76"/>
      <c r="E752" s="77"/>
      <c r="F752" s="74">
        <v>0</v>
      </c>
      <c r="G752" s="74">
        <v>8</v>
      </c>
      <c r="H752" s="74">
        <v>8</v>
      </c>
      <c r="I752" s="4">
        <v>82770</v>
      </c>
      <c r="J752" s="74">
        <v>0</v>
      </c>
      <c r="K752" s="74">
        <v>0</v>
      </c>
      <c r="L752" s="74">
        <f t="shared" si="110"/>
        <v>86584</v>
      </c>
      <c r="M752" s="74">
        <f t="shared" si="111"/>
        <v>134</v>
      </c>
    </row>
    <row r="753" spans="1:13">
      <c r="A753" s="27">
        <v>46213</v>
      </c>
      <c r="B753" s="76" t="s">
        <v>49</v>
      </c>
      <c r="C753" s="76"/>
      <c r="D753" s="76"/>
      <c r="E753" s="77"/>
      <c r="F753" s="74">
        <v>0</v>
      </c>
      <c r="G753" s="74">
        <v>1</v>
      </c>
      <c r="H753" s="74">
        <v>1</v>
      </c>
      <c r="I753" s="4">
        <v>82771</v>
      </c>
      <c r="J753" s="74">
        <v>0</v>
      </c>
      <c r="K753" s="74">
        <v>0</v>
      </c>
      <c r="L753" s="74">
        <f t="shared" si="110"/>
        <v>86584</v>
      </c>
      <c r="M753" s="74">
        <f t="shared" si="111"/>
        <v>134</v>
      </c>
    </row>
    <row r="754" spans="1:13">
      <c r="A754" s="27">
        <v>46213</v>
      </c>
      <c r="B754" s="76" t="s">
        <v>33</v>
      </c>
      <c r="C754" s="76"/>
      <c r="D754" s="76"/>
      <c r="E754" s="77"/>
      <c r="F754" s="74">
        <v>0</v>
      </c>
      <c r="G754" s="74">
        <v>8</v>
      </c>
      <c r="H754" s="74">
        <v>8</v>
      </c>
      <c r="I754" s="4">
        <v>82779</v>
      </c>
      <c r="J754" s="74">
        <v>0</v>
      </c>
      <c r="K754" s="74">
        <v>0</v>
      </c>
      <c r="L754" s="74">
        <f t="shared" si="110"/>
        <v>86584</v>
      </c>
      <c r="M754" s="74">
        <f t="shared" si="111"/>
        <v>134</v>
      </c>
    </row>
    <row r="755" spans="1:13">
      <c r="A755" s="27">
        <v>46213</v>
      </c>
      <c r="B755" s="76" t="s">
        <v>49</v>
      </c>
      <c r="C755" s="76"/>
      <c r="D755" s="76"/>
      <c r="E755" s="77"/>
      <c r="F755" s="74">
        <v>0</v>
      </c>
      <c r="G755" s="74">
        <v>1</v>
      </c>
      <c r="H755" s="74">
        <v>1</v>
      </c>
      <c r="I755" s="4">
        <v>82780</v>
      </c>
      <c r="J755" s="74">
        <v>0</v>
      </c>
      <c r="K755" s="74">
        <v>0</v>
      </c>
      <c r="L755" s="74">
        <f t="shared" si="110"/>
        <v>86584</v>
      </c>
      <c r="M755" s="74">
        <f t="shared" si="111"/>
        <v>134</v>
      </c>
    </row>
    <row r="756" spans="1:13">
      <c r="A756" s="27">
        <v>46213</v>
      </c>
      <c r="B756" s="76" t="s">
        <v>49</v>
      </c>
      <c r="C756" s="76"/>
      <c r="D756" s="76"/>
      <c r="E756" s="77"/>
      <c r="F756" s="74">
        <v>0</v>
      </c>
      <c r="G756" s="74">
        <v>1</v>
      </c>
      <c r="H756" s="74">
        <v>1</v>
      </c>
      <c r="I756" s="4">
        <v>82781</v>
      </c>
      <c r="J756" s="74">
        <v>0</v>
      </c>
      <c r="K756" s="74">
        <v>0</v>
      </c>
      <c r="L756" s="74">
        <f t="shared" si="110"/>
        <v>86584</v>
      </c>
      <c r="M756" s="74">
        <f t="shared" si="111"/>
        <v>134</v>
      </c>
    </row>
    <row r="757" spans="1:13">
      <c r="A757" s="27">
        <v>46214</v>
      </c>
      <c r="B757" s="76" t="s">
        <v>33</v>
      </c>
      <c r="C757" s="76"/>
      <c r="D757" s="76"/>
      <c r="E757" s="77"/>
      <c r="F757" s="74">
        <v>0</v>
      </c>
      <c r="G757" s="74">
        <v>3</v>
      </c>
      <c r="H757" s="74">
        <v>3</v>
      </c>
      <c r="I757" s="4">
        <v>85379</v>
      </c>
      <c r="J757" s="74">
        <v>0</v>
      </c>
      <c r="K757" s="74">
        <v>0</v>
      </c>
      <c r="L757" s="74">
        <f t="shared" si="110"/>
        <v>86584</v>
      </c>
      <c r="M757" s="74">
        <f t="shared" si="111"/>
        <v>134</v>
      </c>
    </row>
    <row r="758" spans="1:13">
      <c r="A758" s="27">
        <v>46215</v>
      </c>
      <c r="B758" s="1" t="s">
        <v>96</v>
      </c>
      <c r="C758" s="1" t="s">
        <v>61</v>
      </c>
      <c r="D758" s="1" t="s">
        <v>42</v>
      </c>
      <c r="E758" s="1" t="s">
        <v>43</v>
      </c>
      <c r="F758" s="74">
        <v>389</v>
      </c>
      <c r="G758" s="28">
        <v>556</v>
      </c>
      <c r="H758" s="74">
        <v>945</v>
      </c>
      <c r="I758" s="4">
        <v>86324</v>
      </c>
      <c r="J758" s="4">
        <v>1178</v>
      </c>
      <c r="K758" s="74">
        <v>1</v>
      </c>
      <c r="L758" s="74">
        <f t="shared" ref="L758:L768" si="112">J758+L757</f>
        <v>87762</v>
      </c>
      <c r="M758" s="74">
        <f t="shared" ref="M758:M768" si="113">K758+M757</f>
        <v>135</v>
      </c>
    </row>
    <row r="759" spans="1:13">
      <c r="A759" s="27">
        <v>46215</v>
      </c>
      <c r="B759" s="76" t="s">
        <v>33</v>
      </c>
      <c r="C759" s="76"/>
      <c r="D759" s="76"/>
      <c r="E759" s="77"/>
      <c r="F759" s="74">
        <v>0</v>
      </c>
      <c r="G759" s="74">
        <v>20</v>
      </c>
      <c r="H759" s="74">
        <v>20</v>
      </c>
      <c r="I759" s="4">
        <v>86344</v>
      </c>
      <c r="J759" s="74">
        <v>0</v>
      </c>
      <c r="K759" s="74">
        <v>0</v>
      </c>
      <c r="L759" s="74">
        <f t="shared" si="112"/>
        <v>87762</v>
      </c>
      <c r="M759" s="74">
        <f t="shared" si="113"/>
        <v>135</v>
      </c>
    </row>
    <row r="760" spans="1:13">
      <c r="A760" s="27">
        <v>46216</v>
      </c>
      <c r="B760" s="76" t="s">
        <v>33</v>
      </c>
      <c r="C760" s="76"/>
      <c r="D760" s="76"/>
      <c r="E760" s="77"/>
      <c r="F760" s="74">
        <v>0</v>
      </c>
      <c r="G760" s="74">
        <v>16</v>
      </c>
      <c r="H760" s="74">
        <v>16</v>
      </c>
      <c r="I760" s="4">
        <v>86360</v>
      </c>
      <c r="J760" s="74">
        <v>0</v>
      </c>
      <c r="K760" s="74">
        <v>0</v>
      </c>
      <c r="L760" s="74">
        <f t="shared" si="112"/>
        <v>87762</v>
      </c>
      <c r="M760" s="74">
        <f t="shared" si="113"/>
        <v>135</v>
      </c>
    </row>
    <row r="761" spans="1:13">
      <c r="A761" s="27">
        <v>46217</v>
      </c>
      <c r="B761" s="76" t="s">
        <v>49</v>
      </c>
      <c r="C761" s="76"/>
      <c r="D761" s="76"/>
      <c r="E761" s="77"/>
      <c r="F761" s="74">
        <v>0</v>
      </c>
      <c r="G761" s="74">
        <v>1</v>
      </c>
      <c r="H761" s="74">
        <v>1</v>
      </c>
      <c r="I761" s="4">
        <v>86361</v>
      </c>
      <c r="J761" s="74">
        <v>0</v>
      </c>
      <c r="K761" s="74">
        <v>0</v>
      </c>
      <c r="L761" s="74">
        <f t="shared" si="112"/>
        <v>87762</v>
      </c>
      <c r="M761" s="74">
        <f t="shared" si="113"/>
        <v>135</v>
      </c>
    </row>
    <row r="762" spans="1:13">
      <c r="A762" s="27">
        <v>46217</v>
      </c>
      <c r="B762" s="76" t="s">
        <v>33</v>
      </c>
      <c r="C762" s="76"/>
      <c r="D762" s="76"/>
      <c r="E762" s="77"/>
      <c r="F762" s="74">
        <v>0</v>
      </c>
      <c r="G762" s="74">
        <v>17</v>
      </c>
      <c r="H762" s="74">
        <v>17</v>
      </c>
      <c r="I762" s="4">
        <v>86378</v>
      </c>
      <c r="J762" s="74">
        <v>0</v>
      </c>
      <c r="K762" s="74">
        <v>0</v>
      </c>
      <c r="L762" s="74">
        <f t="shared" si="112"/>
        <v>87762</v>
      </c>
      <c r="M762" s="74">
        <f t="shared" si="113"/>
        <v>135</v>
      </c>
    </row>
    <row r="763" spans="1:13">
      <c r="A763" s="27">
        <v>46217</v>
      </c>
      <c r="B763" s="76" t="s">
        <v>49</v>
      </c>
      <c r="C763" s="76"/>
      <c r="D763" s="76"/>
      <c r="E763" s="77"/>
      <c r="F763" s="74">
        <v>0</v>
      </c>
      <c r="G763" s="74">
        <v>1</v>
      </c>
      <c r="H763" s="74">
        <v>1</v>
      </c>
      <c r="I763" s="4">
        <v>86379</v>
      </c>
      <c r="J763" s="74">
        <v>0</v>
      </c>
      <c r="K763" s="74">
        <v>0</v>
      </c>
      <c r="L763" s="74">
        <f t="shared" si="112"/>
        <v>87762</v>
      </c>
      <c r="M763" s="74">
        <f t="shared" si="113"/>
        <v>135</v>
      </c>
    </row>
    <row r="764" spans="1:13">
      <c r="A764" s="27">
        <v>46218</v>
      </c>
      <c r="B764" s="1" t="s">
        <v>262</v>
      </c>
      <c r="C764" s="1" t="s">
        <v>35</v>
      </c>
      <c r="D764" s="1" t="s">
        <v>42</v>
      </c>
      <c r="E764" s="1" t="s">
        <v>43</v>
      </c>
      <c r="F764" s="74">
        <v>482</v>
      </c>
      <c r="G764" s="28">
        <v>677</v>
      </c>
      <c r="H764" s="4">
        <v>1159</v>
      </c>
      <c r="I764" s="4">
        <v>87538</v>
      </c>
      <c r="J764" s="4">
        <v>1364</v>
      </c>
      <c r="K764" s="74">
        <v>1</v>
      </c>
      <c r="L764" s="74">
        <f t="shared" si="112"/>
        <v>89126</v>
      </c>
      <c r="M764" s="74">
        <f t="shared" si="113"/>
        <v>136</v>
      </c>
    </row>
    <row r="765" spans="1:13">
      <c r="A765" s="27">
        <v>46218</v>
      </c>
      <c r="B765" s="76" t="s">
        <v>33</v>
      </c>
      <c r="C765" s="76"/>
      <c r="D765" s="76"/>
      <c r="E765" s="77"/>
      <c r="F765" s="74">
        <v>0</v>
      </c>
      <c r="G765" s="74">
        <v>8</v>
      </c>
      <c r="H765" s="74">
        <v>8</v>
      </c>
      <c r="I765" s="4">
        <v>87546</v>
      </c>
      <c r="J765" s="74">
        <v>0</v>
      </c>
      <c r="K765" s="74">
        <v>0</v>
      </c>
      <c r="L765" s="74">
        <f t="shared" si="112"/>
        <v>89126</v>
      </c>
      <c r="M765" s="74">
        <f t="shared" si="113"/>
        <v>136</v>
      </c>
    </row>
    <row r="766" spans="1:13">
      <c r="A766" s="27">
        <v>46219</v>
      </c>
      <c r="B766" s="76" t="s">
        <v>33</v>
      </c>
      <c r="C766" s="76"/>
      <c r="D766" s="76"/>
      <c r="E766" s="77"/>
      <c r="F766" s="74">
        <v>0</v>
      </c>
      <c r="G766" s="74">
        <v>16</v>
      </c>
      <c r="H766" s="74">
        <v>16</v>
      </c>
      <c r="I766" s="4">
        <v>87562</v>
      </c>
      <c r="J766" s="74">
        <v>0</v>
      </c>
      <c r="K766" s="74">
        <v>0</v>
      </c>
      <c r="L766" s="74">
        <f t="shared" si="112"/>
        <v>89126</v>
      </c>
      <c r="M766" s="74">
        <f t="shared" si="113"/>
        <v>136</v>
      </c>
    </row>
    <row r="767" spans="1:13">
      <c r="A767" s="27">
        <v>46220</v>
      </c>
      <c r="B767" s="76" t="s">
        <v>33</v>
      </c>
      <c r="C767" s="76"/>
      <c r="D767" s="76"/>
      <c r="E767" s="77"/>
      <c r="F767" s="74">
        <v>0</v>
      </c>
      <c r="G767" s="74">
        <v>10</v>
      </c>
      <c r="H767" s="74">
        <v>10</v>
      </c>
      <c r="I767" s="4">
        <v>87572</v>
      </c>
      <c r="J767" s="74">
        <v>0</v>
      </c>
      <c r="K767" s="74">
        <v>0</v>
      </c>
      <c r="L767" s="74">
        <f t="shared" si="112"/>
        <v>89126</v>
      </c>
      <c r="M767" s="74">
        <f t="shared" si="113"/>
        <v>136</v>
      </c>
    </row>
    <row r="768" spans="1:13">
      <c r="A768" s="27">
        <v>46221</v>
      </c>
      <c r="B768" s="76" t="s">
        <v>33</v>
      </c>
      <c r="C768" s="76"/>
      <c r="D768" s="76"/>
      <c r="E768" s="77"/>
      <c r="F768" s="74">
        <v>0</v>
      </c>
      <c r="G768" s="74">
        <v>9</v>
      </c>
      <c r="H768" s="74">
        <v>9</v>
      </c>
      <c r="I768" s="4">
        <v>87623</v>
      </c>
      <c r="J768" s="74">
        <v>0</v>
      </c>
      <c r="K768" s="74">
        <v>0</v>
      </c>
      <c r="L768" s="74">
        <f t="shared" si="112"/>
        <v>89126</v>
      </c>
      <c r="M768" s="74">
        <f t="shared" si="113"/>
        <v>136</v>
      </c>
    </row>
    <row r="769" spans="1:13">
      <c r="A769" s="27">
        <v>46222</v>
      </c>
      <c r="B769" s="76" t="s">
        <v>49</v>
      </c>
      <c r="C769" s="76"/>
      <c r="D769" s="76"/>
      <c r="E769" s="77"/>
      <c r="F769" s="74">
        <v>0</v>
      </c>
      <c r="G769" s="74">
        <v>1</v>
      </c>
      <c r="H769" s="74">
        <v>1</v>
      </c>
      <c r="I769" s="4">
        <v>87624</v>
      </c>
      <c r="J769" s="74">
        <v>0</v>
      </c>
      <c r="K769" s="74">
        <v>0</v>
      </c>
      <c r="L769" s="74">
        <f t="shared" ref="L769:L789" si="114">J769+L768</f>
        <v>89126</v>
      </c>
      <c r="M769" s="74">
        <f t="shared" ref="M769:M789" si="115">K769+M768</f>
        <v>136</v>
      </c>
    </row>
    <row r="770" spans="1:13">
      <c r="A770" s="27">
        <v>46222</v>
      </c>
      <c r="B770" s="76" t="s">
        <v>129</v>
      </c>
      <c r="C770" s="76"/>
      <c r="D770" s="76"/>
      <c r="E770" s="77"/>
      <c r="F770" s="74">
        <v>0</v>
      </c>
      <c r="G770" s="74">
        <v>75</v>
      </c>
      <c r="H770" s="74">
        <v>75</v>
      </c>
      <c r="I770" s="4">
        <v>87699</v>
      </c>
      <c r="J770" s="74">
        <v>0</v>
      </c>
      <c r="K770" s="74">
        <v>0</v>
      </c>
      <c r="L770" s="74">
        <f t="shared" si="114"/>
        <v>89126</v>
      </c>
      <c r="M770" s="74">
        <f t="shared" si="115"/>
        <v>136</v>
      </c>
    </row>
    <row r="771" spans="1:13">
      <c r="A771" s="27">
        <v>46222</v>
      </c>
      <c r="B771" s="76" t="s">
        <v>33</v>
      </c>
      <c r="C771" s="76"/>
      <c r="D771" s="76"/>
      <c r="E771" s="77"/>
      <c r="F771" s="74">
        <v>0</v>
      </c>
      <c r="G771" s="74">
        <v>36</v>
      </c>
      <c r="H771" s="74">
        <v>36</v>
      </c>
      <c r="I771" s="4">
        <v>87735</v>
      </c>
      <c r="J771" s="74">
        <v>0</v>
      </c>
      <c r="K771" s="74">
        <v>0</v>
      </c>
      <c r="L771" s="74">
        <f t="shared" si="114"/>
        <v>89126</v>
      </c>
      <c r="M771" s="74">
        <f t="shared" si="115"/>
        <v>136</v>
      </c>
    </row>
    <row r="772" spans="1:13">
      <c r="A772" s="27">
        <v>46223</v>
      </c>
      <c r="B772" s="1" t="s">
        <v>12</v>
      </c>
      <c r="C772" s="1" t="s">
        <v>13</v>
      </c>
      <c r="D772" s="1" t="s">
        <v>42</v>
      </c>
      <c r="E772" s="1" t="s">
        <v>50</v>
      </c>
      <c r="F772" s="74">
        <v>284</v>
      </c>
      <c r="G772" s="28">
        <v>369</v>
      </c>
      <c r="H772" s="74">
        <v>653</v>
      </c>
      <c r="I772" s="4">
        <v>88388</v>
      </c>
      <c r="J772" s="74">
        <v>568</v>
      </c>
      <c r="K772" s="74">
        <v>1</v>
      </c>
      <c r="L772" s="74">
        <f t="shared" si="114"/>
        <v>89694</v>
      </c>
      <c r="M772" s="74">
        <f t="shared" si="115"/>
        <v>137</v>
      </c>
    </row>
    <row r="773" spans="1:13">
      <c r="A773" s="27">
        <v>46223</v>
      </c>
      <c r="B773" s="76" t="s">
        <v>33</v>
      </c>
      <c r="C773" s="76"/>
      <c r="D773" s="76"/>
      <c r="E773" s="77"/>
      <c r="F773" s="74">
        <v>0</v>
      </c>
      <c r="G773" s="74">
        <v>12</v>
      </c>
      <c r="H773" s="74">
        <v>12</v>
      </c>
      <c r="I773" s="4">
        <v>88400</v>
      </c>
      <c r="J773" s="74">
        <v>0</v>
      </c>
      <c r="K773" s="74">
        <v>0</v>
      </c>
      <c r="L773" s="74">
        <f t="shared" si="114"/>
        <v>89694</v>
      </c>
      <c r="M773" s="74">
        <f t="shared" si="115"/>
        <v>137</v>
      </c>
    </row>
    <row r="774" spans="1:13">
      <c r="A774" s="27">
        <v>46224</v>
      </c>
      <c r="B774" s="76" t="s">
        <v>33</v>
      </c>
      <c r="C774" s="76"/>
      <c r="D774" s="76"/>
      <c r="E774" s="77"/>
      <c r="F774" s="74">
        <v>0</v>
      </c>
      <c r="G774" s="74">
        <v>14</v>
      </c>
      <c r="H774" s="74">
        <v>14</v>
      </c>
      <c r="I774" s="4">
        <v>88414</v>
      </c>
      <c r="J774" s="74">
        <v>0</v>
      </c>
      <c r="K774" s="74">
        <v>0</v>
      </c>
      <c r="L774" s="74">
        <f t="shared" si="114"/>
        <v>89694</v>
      </c>
      <c r="M774" s="74">
        <f t="shared" si="115"/>
        <v>137</v>
      </c>
    </row>
    <row r="775" spans="1:13">
      <c r="A775" s="27">
        <v>46225</v>
      </c>
      <c r="B775" s="76" t="s">
        <v>33</v>
      </c>
      <c r="C775" s="76"/>
      <c r="D775" s="76"/>
      <c r="E775" s="77"/>
      <c r="F775" s="74">
        <v>0</v>
      </c>
      <c r="G775" s="74">
        <v>9</v>
      </c>
      <c r="H775" s="74">
        <v>9</v>
      </c>
      <c r="I775" s="4">
        <v>88423</v>
      </c>
      <c r="J775" s="74">
        <v>0</v>
      </c>
      <c r="K775" s="74">
        <v>0</v>
      </c>
      <c r="L775" s="74">
        <f t="shared" si="114"/>
        <v>89694</v>
      </c>
      <c r="M775" s="74">
        <f t="shared" si="115"/>
        <v>137</v>
      </c>
    </row>
    <row r="776" spans="1:13">
      <c r="A776" s="27">
        <v>46226</v>
      </c>
      <c r="B776" s="76" t="s">
        <v>33</v>
      </c>
      <c r="C776" s="76"/>
      <c r="D776" s="76"/>
      <c r="E776" s="77"/>
      <c r="F776" s="74">
        <v>0</v>
      </c>
      <c r="G776" s="74">
        <v>13</v>
      </c>
      <c r="H776" s="74">
        <v>13</v>
      </c>
      <c r="I776" s="4">
        <v>88436</v>
      </c>
      <c r="J776" s="74">
        <v>0</v>
      </c>
      <c r="K776" s="74">
        <v>0</v>
      </c>
      <c r="L776" s="74">
        <f t="shared" si="114"/>
        <v>89694</v>
      </c>
      <c r="M776" s="74">
        <f t="shared" si="115"/>
        <v>137</v>
      </c>
    </row>
    <row r="777" spans="1:13">
      <c r="A777" s="27">
        <v>46227</v>
      </c>
      <c r="B777" s="76" t="s">
        <v>49</v>
      </c>
      <c r="C777" s="76"/>
      <c r="D777" s="76"/>
      <c r="E777" s="77"/>
      <c r="F777" s="74">
        <v>0</v>
      </c>
      <c r="G777" s="74">
        <v>1</v>
      </c>
      <c r="H777" s="74">
        <v>1</v>
      </c>
      <c r="I777" s="4">
        <v>88437</v>
      </c>
      <c r="J777" s="74">
        <v>0</v>
      </c>
      <c r="K777" s="74">
        <v>0</v>
      </c>
      <c r="L777" s="74">
        <f t="shared" si="114"/>
        <v>89694</v>
      </c>
      <c r="M777" s="74">
        <f t="shared" si="115"/>
        <v>137</v>
      </c>
    </row>
    <row r="778" spans="1:13">
      <c r="A778" s="27">
        <v>46227</v>
      </c>
      <c r="B778" s="76" t="s">
        <v>33</v>
      </c>
      <c r="C778" s="76"/>
      <c r="D778" s="76"/>
      <c r="E778" s="77"/>
      <c r="F778" s="74">
        <v>0</v>
      </c>
      <c r="G778" s="74">
        <v>18</v>
      </c>
      <c r="H778" s="74">
        <v>18</v>
      </c>
      <c r="I778" s="4">
        <v>88455</v>
      </c>
      <c r="J778" s="74">
        <v>0</v>
      </c>
      <c r="K778" s="74">
        <v>0</v>
      </c>
      <c r="L778" s="74">
        <f t="shared" si="114"/>
        <v>89694</v>
      </c>
      <c r="M778" s="74">
        <f t="shared" si="115"/>
        <v>137</v>
      </c>
    </row>
    <row r="779" spans="1:13">
      <c r="A779" s="27">
        <v>46227</v>
      </c>
      <c r="B779" s="76" t="s">
        <v>49</v>
      </c>
      <c r="C779" s="76"/>
      <c r="D779" s="76"/>
      <c r="E779" s="77"/>
      <c r="F779" s="74">
        <v>0</v>
      </c>
      <c r="G779" s="74">
        <v>1</v>
      </c>
      <c r="H779" s="74">
        <v>1</v>
      </c>
      <c r="I779" s="4">
        <v>88456</v>
      </c>
      <c r="J779" s="74">
        <v>0</v>
      </c>
      <c r="K779" s="74">
        <v>0</v>
      </c>
      <c r="L779" s="74">
        <f t="shared" si="114"/>
        <v>89694</v>
      </c>
      <c r="M779" s="74">
        <f t="shared" si="115"/>
        <v>137</v>
      </c>
    </row>
    <row r="780" spans="1:13">
      <c r="A780" s="27">
        <v>46227</v>
      </c>
      <c r="B780" s="76" t="s">
        <v>49</v>
      </c>
      <c r="C780" s="76"/>
      <c r="D780" s="76"/>
      <c r="E780" s="77"/>
      <c r="F780" s="74">
        <v>0</v>
      </c>
      <c r="G780" s="74">
        <v>1</v>
      </c>
      <c r="H780" s="74">
        <v>1</v>
      </c>
      <c r="I780" s="4">
        <v>88457</v>
      </c>
      <c r="J780" s="74">
        <v>0</v>
      </c>
      <c r="K780" s="74">
        <v>0</v>
      </c>
      <c r="L780" s="74">
        <f t="shared" si="114"/>
        <v>89694</v>
      </c>
      <c r="M780" s="74">
        <f t="shared" si="115"/>
        <v>137</v>
      </c>
    </row>
    <row r="781" spans="1:13">
      <c r="A781" s="27">
        <v>46227</v>
      </c>
      <c r="B781" s="76" t="s">
        <v>49</v>
      </c>
      <c r="C781" s="76"/>
      <c r="D781" s="76"/>
      <c r="E781" s="77"/>
      <c r="F781" s="74">
        <v>0</v>
      </c>
      <c r="G781" s="74">
        <v>1</v>
      </c>
      <c r="H781" s="74">
        <v>1</v>
      </c>
      <c r="I781" s="4">
        <v>88458</v>
      </c>
      <c r="J781" s="74">
        <v>0</v>
      </c>
      <c r="K781" s="74">
        <v>0</v>
      </c>
      <c r="L781" s="74">
        <f t="shared" si="114"/>
        <v>89694</v>
      </c>
      <c r="M781" s="74">
        <f t="shared" si="115"/>
        <v>137</v>
      </c>
    </row>
    <row r="782" spans="1:13">
      <c r="A782" s="27">
        <v>46227</v>
      </c>
      <c r="B782" s="76" t="s">
        <v>49</v>
      </c>
      <c r="C782" s="76"/>
      <c r="D782" s="76"/>
      <c r="E782" s="77"/>
      <c r="F782" s="74">
        <v>0</v>
      </c>
      <c r="G782" s="74">
        <v>1</v>
      </c>
      <c r="H782" s="74">
        <v>1</v>
      </c>
      <c r="I782" s="4">
        <v>88459</v>
      </c>
      <c r="J782" s="74">
        <v>0</v>
      </c>
      <c r="K782" s="74">
        <v>0</v>
      </c>
      <c r="L782" s="74">
        <f t="shared" si="114"/>
        <v>89694</v>
      </c>
      <c r="M782" s="74">
        <f t="shared" si="115"/>
        <v>137</v>
      </c>
    </row>
    <row r="783" spans="1:13">
      <c r="A783" s="27">
        <v>46227</v>
      </c>
      <c r="B783" s="76" t="s">
        <v>49</v>
      </c>
      <c r="C783" s="76"/>
      <c r="D783" s="76"/>
      <c r="E783" s="77"/>
      <c r="F783" s="74">
        <v>0</v>
      </c>
      <c r="G783" s="74">
        <v>1</v>
      </c>
      <c r="H783" s="74">
        <v>1</v>
      </c>
      <c r="I783" s="4">
        <v>88460</v>
      </c>
      <c r="J783" s="74">
        <v>0</v>
      </c>
      <c r="K783" s="74">
        <v>0</v>
      </c>
      <c r="L783" s="74">
        <f t="shared" si="114"/>
        <v>89694</v>
      </c>
      <c r="M783" s="74">
        <f t="shared" si="115"/>
        <v>137</v>
      </c>
    </row>
    <row r="784" spans="1:13">
      <c r="A784" s="27">
        <v>46228</v>
      </c>
      <c r="B784" s="76" t="s">
        <v>33</v>
      </c>
      <c r="C784" s="76"/>
      <c r="D784" s="76"/>
      <c r="E784" s="77"/>
      <c r="F784" s="74">
        <v>0</v>
      </c>
      <c r="G784" s="74">
        <v>7</v>
      </c>
      <c r="H784" s="74">
        <v>7</v>
      </c>
      <c r="I784" s="4">
        <v>88467</v>
      </c>
      <c r="J784" s="74">
        <v>0</v>
      </c>
      <c r="K784" s="74">
        <v>0</v>
      </c>
      <c r="L784" s="74">
        <f t="shared" si="114"/>
        <v>89694</v>
      </c>
      <c r="M784" s="74">
        <f t="shared" si="115"/>
        <v>137</v>
      </c>
    </row>
    <row r="785" spans="1:13">
      <c r="A785" s="27">
        <v>46229</v>
      </c>
      <c r="B785" s="1" t="s">
        <v>263</v>
      </c>
      <c r="C785" s="1" t="s">
        <v>24</v>
      </c>
      <c r="D785" s="1" t="s">
        <v>42</v>
      </c>
      <c r="E785" s="1" t="s">
        <v>50</v>
      </c>
      <c r="F785" s="74">
        <v>284</v>
      </c>
      <c r="G785" s="28">
        <v>369</v>
      </c>
      <c r="H785" s="74">
        <v>653</v>
      </c>
      <c r="I785" s="4">
        <v>89120</v>
      </c>
      <c r="J785" s="74">
        <v>568</v>
      </c>
      <c r="K785" s="74">
        <v>1</v>
      </c>
      <c r="L785" s="74">
        <f t="shared" si="114"/>
        <v>90262</v>
      </c>
      <c r="M785" s="74">
        <f t="shared" si="115"/>
        <v>138</v>
      </c>
    </row>
    <row r="786" spans="1:13">
      <c r="A786" s="27">
        <v>46229</v>
      </c>
      <c r="B786" s="76" t="s">
        <v>33</v>
      </c>
      <c r="C786" s="76"/>
      <c r="D786" s="76"/>
      <c r="E786" s="77"/>
      <c r="F786" s="74">
        <v>0</v>
      </c>
      <c r="G786" s="74">
        <v>24</v>
      </c>
      <c r="H786" s="74">
        <v>24</v>
      </c>
      <c r="I786" s="4">
        <v>89144</v>
      </c>
      <c r="J786" s="74">
        <v>0</v>
      </c>
      <c r="K786" s="74">
        <v>0</v>
      </c>
      <c r="L786" s="74">
        <f t="shared" si="114"/>
        <v>90262</v>
      </c>
      <c r="M786" s="74">
        <f t="shared" si="115"/>
        <v>138</v>
      </c>
    </row>
    <row r="787" spans="1:13">
      <c r="A787" s="27">
        <v>46230</v>
      </c>
      <c r="B787" s="76" t="s">
        <v>33</v>
      </c>
      <c r="C787" s="76"/>
      <c r="D787" s="76"/>
      <c r="E787" s="77"/>
      <c r="F787" s="74">
        <v>0</v>
      </c>
      <c r="G787" s="74">
        <v>10</v>
      </c>
      <c r="H787" s="74">
        <v>10</v>
      </c>
      <c r="I787" s="4">
        <v>89154</v>
      </c>
      <c r="J787" s="74">
        <v>0</v>
      </c>
      <c r="K787" s="74">
        <v>0</v>
      </c>
      <c r="L787" s="74">
        <f t="shared" si="114"/>
        <v>90262</v>
      </c>
      <c r="M787" s="74">
        <f t="shared" si="115"/>
        <v>138</v>
      </c>
    </row>
    <row r="788" spans="1:13">
      <c r="A788" s="27">
        <v>46231</v>
      </c>
      <c r="B788" s="76" t="s">
        <v>33</v>
      </c>
      <c r="C788" s="76"/>
      <c r="D788" s="76"/>
      <c r="E788" s="77"/>
      <c r="F788" s="74">
        <v>0</v>
      </c>
      <c r="G788" s="74">
        <v>10</v>
      </c>
      <c r="H788" s="74">
        <v>10</v>
      </c>
      <c r="I788" s="4">
        <v>89164</v>
      </c>
      <c r="J788" s="74">
        <v>0</v>
      </c>
      <c r="K788" s="74">
        <v>0</v>
      </c>
      <c r="L788" s="74">
        <f t="shared" si="114"/>
        <v>90262</v>
      </c>
      <c r="M788" s="74">
        <f t="shared" si="115"/>
        <v>138</v>
      </c>
    </row>
    <row r="789" spans="1:13">
      <c r="A789" s="29">
        <v>46232</v>
      </c>
      <c r="B789" s="78" t="s">
        <v>33</v>
      </c>
      <c r="C789" s="78"/>
      <c r="D789" s="78"/>
      <c r="E789" s="79"/>
      <c r="F789" s="75">
        <v>0</v>
      </c>
      <c r="G789" s="75">
        <v>6</v>
      </c>
      <c r="H789" s="75">
        <v>6</v>
      </c>
      <c r="I789" s="30">
        <v>89170</v>
      </c>
      <c r="J789" s="75">
        <v>0</v>
      </c>
      <c r="K789" s="75">
        <v>0</v>
      </c>
      <c r="L789" s="74">
        <f t="shared" si="114"/>
        <v>90262</v>
      </c>
      <c r="M789" s="74">
        <f t="shared" si="115"/>
        <v>138</v>
      </c>
    </row>
    <row r="790" spans="1:13">
      <c r="A790" s="27">
        <v>46233</v>
      </c>
      <c r="B790" s="76" t="s">
        <v>49</v>
      </c>
      <c r="C790" s="76"/>
      <c r="D790" s="76"/>
      <c r="E790" s="77"/>
      <c r="F790" s="74">
        <v>0</v>
      </c>
      <c r="G790" s="74">
        <v>1</v>
      </c>
      <c r="H790" s="74">
        <v>1</v>
      </c>
      <c r="I790" s="4">
        <v>89171</v>
      </c>
      <c r="J790" s="74">
        <v>0</v>
      </c>
      <c r="K790" s="74">
        <v>0</v>
      </c>
      <c r="L790" s="74">
        <f t="shared" ref="L790:L793" si="116">J790+L789</f>
        <v>90262</v>
      </c>
      <c r="M790" s="74">
        <f t="shared" ref="M790:M793" si="117">K790+M789</f>
        <v>138</v>
      </c>
    </row>
    <row r="791" spans="1:13">
      <c r="A791" s="27">
        <v>46233</v>
      </c>
      <c r="B791" s="76" t="s">
        <v>33</v>
      </c>
      <c r="C791" s="76"/>
      <c r="D791" s="76"/>
      <c r="E791" s="77"/>
      <c r="F791" s="74">
        <v>0</v>
      </c>
      <c r="G791" s="74">
        <v>10</v>
      </c>
      <c r="H791" s="74">
        <v>10</v>
      </c>
      <c r="I791" s="4">
        <v>89181</v>
      </c>
      <c r="J791" s="74">
        <v>0</v>
      </c>
      <c r="K791" s="74">
        <v>0</v>
      </c>
      <c r="L791" s="74">
        <f t="shared" si="116"/>
        <v>90262</v>
      </c>
      <c r="M791" s="74">
        <f t="shared" si="117"/>
        <v>138</v>
      </c>
    </row>
    <row r="792" spans="1:13">
      <c r="A792" s="27">
        <v>46233</v>
      </c>
      <c r="B792" s="76" t="s">
        <v>49</v>
      </c>
      <c r="C792" s="76"/>
      <c r="D792" s="76"/>
      <c r="E792" s="77"/>
      <c r="F792" s="74">
        <v>0</v>
      </c>
      <c r="G792" s="74">
        <v>1</v>
      </c>
      <c r="H792" s="74">
        <v>1</v>
      </c>
      <c r="I792" s="4">
        <v>89182</v>
      </c>
      <c r="J792" s="74">
        <v>0</v>
      </c>
      <c r="K792" s="74">
        <v>0</v>
      </c>
      <c r="L792" s="74">
        <f t="shared" si="116"/>
        <v>90262</v>
      </c>
      <c r="M792" s="74">
        <f t="shared" si="117"/>
        <v>138</v>
      </c>
    </row>
    <row r="793" spans="1:13">
      <c r="A793" s="29">
        <v>46234</v>
      </c>
      <c r="B793" s="78" t="s">
        <v>33</v>
      </c>
      <c r="C793" s="78"/>
      <c r="D793" s="78"/>
      <c r="E793" s="79"/>
      <c r="F793" s="75">
        <v>0</v>
      </c>
      <c r="G793" s="75">
        <v>17</v>
      </c>
      <c r="H793" s="75">
        <v>17</v>
      </c>
      <c r="I793" s="30">
        <v>89199</v>
      </c>
      <c r="J793" s="75">
        <v>0</v>
      </c>
      <c r="K793" s="75">
        <v>0</v>
      </c>
      <c r="L793" s="74">
        <f t="shared" si="116"/>
        <v>90262</v>
      </c>
      <c r="M793" s="74">
        <f t="shared" si="117"/>
        <v>138</v>
      </c>
    </row>
    <row r="794" spans="1:13">
      <c r="A794" s="27">
        <v>46235</v>
      </c>
      <c r="B794" s="76" t="s">
        <v>33</v>
      </c>
      <c r="C794" s="76"/>
      <c r="D794" s="76"/>
      <c r="E794" s="77"/>
      <c r="F794" s="74">
        <v>0</v>
      </c>
      <c r="G794" s="74">
        <v>23</v>
      </c>
      <c r="H794" s="74">
        <v>23</v>
      </c>
      <c r="I794" s="4">
        <v>89222</v>
      </c>
      <c r="J794" s="74">
        <v>0</v>
      </c>
      <c r="K794" s="74">
        <v>0</v>
      </c>
      <c r="L794" s="74">
        <f t="shared" ref="L794:L810" si="118">J794+L793</f>
        <v>90262</v>
      </c>
      <c r="M794" s="74">
        <f t="shared" ref="M794:M810" si="119">K794+M793</f>
        <v>138</v>
      </c>
    </row>
    <row r="795" spans="1:13">
      <c r="A795" s="27">
        <v>46236</v>
      </c>
      <c r="B795" s="76" t="s">
        <v>33</v>
      </c>
      <c r="C795" s="76"/>
      <c r="D795" s="76"/>
      <c r="E795" s="77"/>
      <c r="F795" s="74">
        <v>0</v>
      </c>
      <c r="G795" s="74">
        <v>70</v>
      </c>
      <c r="H795" s="74">
        <v>70</v>
      </c>
      <c r="I795" s="4">
        <v>89292</v>
      </c>
      <c r="J795" s="74">
        <v>0</v>
      </c>
      <c r="K795" s="74">
        <v>0</v>
      </c>
      <c r="L795" s="74">
        <f t="shared" si="118"/>
        <v>90262</v>
      </c>
      <c r="M795" s="74">
        <f t="shared" si="119"/>
        <v>138</v>
      </c>
    </row>
    <row r="796" spans="1:13">
      <c r="A796" s="27">
        <v>46237</v>
      </c>
      <c r="B796" s="76" t="s">
        <v>33</v>
      </c>
      <c r="C796" s="76"/>
      <c r="D796" s="76"/>
      <c r="E796" s="77"/>
      <c r="F796" s="74">
        <v>0</v>
      </c>
      <c r="G796" s="74">
        <v>17</v>
      </c>
      <c r="H796" s="74">
        <v>17</v>
      </c>
      <c r="I796" s="4">
        <v>89309</v>
      </c>
      <c r="J796" s="74">
        <v>0</v>
      </c>
      <c r="K796" s="74">
        <v>0</v>
      </c>
      <c r="L796" s="74">
        <f t="shared" si="118"/>
        <v>90262</v>
      </c>
      <c r="M796" s="74">
        <f t="shared" si="119"/>
        <v>138</v>
      </c>
    </row>
    <row r="797" spans="1:13">
      <c r="A797" s="27">
        <v>46238</v>
      </c>
      <c r="B797" s="76" t="s">
        <v>33</v>
      </c>
      <c r="C797" s="76"/>
      <c r="D797" s="76"/>
      <c r="E797" s="77"/>
      <c r="F797" s="74">
        <v>0</v>
      </c>
      <c r="G797" s="74">
        <v>20</v>
      </c>
      <c r="H797" s="74">
        <v>20</v>
      </c>
      <c r="I797" s="4">
        <v>89329</v>
      </c>
      <c r="J797" s="74">
        <v>0</v>
      </c>
      <c r="K797" s="74">
        <v>0</v>
      </c>
      <c r="L797" s="74">
        <f t="shared" si="118"/>
        <v>90262</v>
      </c>
      <c r="M797" s="74">
        <f t="shared" si="119"/>
        <v>138</v>
      </c>
    </row>
    <row r="798" spans="1:13">
      <c r="A798" s="27">
        <v>46239</v>
      </c>
      <c r="B798" s="76" t="s">
        <v>33</v>
      </c>
      <c r="C798" s="76"/>
      <c r="D798" s="76"/>
      <c r="E798" s="77"/>
      <c r="F798" s="74">
        <v>0</v>
      </c>
      <c r="G798" s="74">
        <v>8</v>
      </c>
      <c r="H798" s="74">
        <v>8</v>
      </c>
      <c r="I798" s="4">
        <v>89337</v>
      </c>
      <c r="J798" s="74">
        <v>0</v>
      </c>
      <c r="K798" s="74">
        <v>0</v>
      </c>
      <c r="L798" s="74">
        <f t="shared" si="118"/>
        <v>90262</v>
      </c>
      <c r="M798" s="74">
        <f t="shared" si="119"/>
        <v>138</v>
      </c>
    </row>
    <row r="799" spans="1:13">
      <c r="A799" s="27">
        <v>46240</v>
      </c>
      <c r="B799" s="76" t="s">
        <v>33</v>
      </c>
      <c r="C799" s="76"/>
      <c r="D799" s="76"/>
      <c r="E799" s="77"/>
      <c r="F799" s="74">
        <v>0</v>
      </c>
      <c r="G799" s="74">
        <v>12</v>
      </c>
      <c r="H799" s="74">
        <v>12</v>
      </c>
      <c r="I799" s="4">
        <v>89349</v>
      </c>
      <c r="J799" s="74">
        <v>0</v>
      </c>
      <c r="K799" s="74">
        <v>0</v>
      </c>
      <c r="L799" s="74">
        <f t="shared" si="118"/>
        <v>90262</v>
      </c>
      <c r="M799" s="74">
        <f t="shared" si="119"/>
        <v>138</v>
      </c>
    </row>
    <row r="800" spans="1:13">
      <c r="A800" s="27">
        <v>46241</v>
      </c>
      <c r="B800" s="76" t="s">
        <v>33</v>
      </c>
      <c r="C800" s="76"/>
      <c r="D800" s="76"/>
      <c r="E800" s="77"/>
      <c r="F800" s="74">
        <v>0</v>
      </c>
      <c r="G800" s="74">
        <v>8</v>
      </c>
      <c r="H800" s="74">
        <v>8</v>
      </c>
      <c r="I800" s="4">
        <v>89357</v>
      </c>
      <c r="J800" s="74">
        <v>0</v>
      </c>
      <c r="K800" s="74">
        <v>0</v>
      </c>
      <c r="L800" s="74">
        <f t="shared" si="118"/>
        <v>90262</v>
      </c>
      <c r="M800" s="74">
        <f t="shared" si="119"/>
        <v>138</v>
      </c>
    </row>
    <row r="801" spans="1:13">
      <c r="A801" s="27">
        <v>46242</v>
      </c>
      <c r="B801" s="76" t="s">
        <v>33</v>
      </c>
      <c r="C801" s="76"/>
      <c r="D801" s="76"/>
      <c r="E801" s="77"/>
      <c r="F801" s="74">
        <v>0</v>
      </c>
      <c r="G801" s="74">
        <v>11</v>
      </c>
      <c r="H801" s="74">
        <v>11</v>
      </c>
      <c r="I801" s="4">
        <v>89368</v>
      </c>
      <c r="J801" s="74">
        <v>0</v>
      </c>
      <c r="K801" s="74">
        <v>0</v>
      </c>
      <c r="L801" s="74">
        <f t="shared" si="118"/>
        <v>90262</v>
      </c>
      <c r="M801" s="74">
        <f t="shared" si="119"/>
        <v>138</v>
      </c>
    </row>
    <row r="802" spans="1:13">
      <c r="A802" s="27">
        <v>46243</v>
      </c>
      <c r="B802" s="76" t="s">
        <v>49</v>
      </c>
      <c r="C802" s="76"/>
      <c r="D802" s="76"/>
      <c r="E802" s="77"/>
      <c r="F802" s="74">
        <v>0</v>
      </c>
      <c r="G802" s="74">
        <v>1</v>
      </c>
      <c r="H802" s="74">
        <v>1</v>
      </c>
      <c r="I802" s="4">
        <v>89369</v>
      </c>
      <c r="J802" s="74">
        <v>0</v>
      </c>
      <c r="K802" s="74">
        <v>0</v>
      </c>
      <c r="L802" s="74">
        <f t="shared" si="118"/>
        <v>90262</v>
      </c>
      <c r="M802" s="74">
        <f t="shared" si="119"/>
        <v>138</v>
      </c>
    </row>
    <row r="803" spans="1:13">
      <c r="A803" s="27">
        <v>46243</v>
      </c>
      <c r="B803" s="76" t="s">
        <v>33</v>
      </c>
      <c r="C803" s="76"/>
      <c r="D803" s="76"/>
      <c r="E803" s="77"/>
      <c r="F803" s="74">
        <v>0</v>
      </c>
      <c r="G803" s="74">
        <v>23</v>
      </c>
      <c r="H803" s="74">
        <v>23</v>
      </c>
      <c r="I803" s="4">
        <v>89392</v>
      </c>
      <c r="J803" s="74">
        <v>0</v>
      </c>
      <c r="K803" s="74">
        <v>0</v>
      </c>
      <c r="L803" s="74">
        <f t="shared" si="118"/>
        <v>90262</v>
      </c>
      <c r="M803" s="74">
        <f t="shared" si="119"/>
        <v>138</v>
      </c>
    </row>
    <row r="804" spans="1:13">
      <c r="A804" s="27">
        <v>46244</v>
      </c>
      <c r="B804" s="76" t="s">
        <v>65</v>
      </c>
      <c r="C804" s="76"/>
      <c r="D804" s="76"/>
      <c r="E804" s="77"/>
      <c r="F804" s="4">
        <v>3843</v>
      </c>
      <c r="G804" s="74">
        <v>0</v>
      </c>
      <c r="H804" s="4">
        <v>3843</v>
      </c>
      <c r="I804" s="4">
        <v>93235</v>
      </c>
      <c r="J804" s="74">
        <v>0</v>
      </c>
      <c r="K804" s="74">
        <v>0</v>
      </c>
      <c r="L804" s="74">
        <f t="shared" si="118"/>
        <v>90262</v>
      </c>
      <c r="M804" s="74">
        <f t="shared" si="119"/>
        <v>138</v>
      </c>
    </row>
    <row r="805" spans="1:13">
      <c r="A805" s="27">
        <v>46244</v>
      </c>
      <c r="B805" s="76" t="s">
        <v>33</v>
      </c>
      <c r="C805" s="76"/>
      <c r="D805" s="76"/>
      <c r="E805" s="77"/>
      <c r="F805" s="74">
        <v>0</v>
      </c>
      <c r="G805" s="74">
        <v>9</v>
      </c>
      <c r="H805" s="74">
        <v>9</v>
      </c>
      <c r="I805" s="4">
        <v>93244</v>
      </c>
      <c r="J805" s="74">
        <v>0</v>
      </c>
      <c r="K805" s="74">
        <v>0</v>
      </c>
      <c r="L805" s="74">
        <f t="shared" si="118"/>
        <v>90262</v>
      </c>
      <c r="M805" s="74">
        <f t="shared" si="119"/>
        <v>138</v>
      </c>
    </row>
    <row r="806" spans="1:13">
      <c r="A806" s="27">
        <v>46245</v>
      </c>
      <c r="B806" s="76" t="s">
        <v>33</v>
      </c>
      <c r="C806" s="76"/>
      <c r="D806" s="76"/>
      <c r="E806" s="77"/>
      <c r="F806" s="74">
        <v>0</v>
      </c>
      <c r="G806" s="74">
        <v>57</v>
      </c>
      <c r="H806" s="74">
        <v>57</v>
      </c>
      <c r="I806" s="4">
        <v>93301</v>
      </c>
      <c r="J806" s="74">
        <v>0</v>
      </c>
      <c r="K806" s="74">
        <v>0</v>
      </c>
      <c r="L806" s="74">
        <f t="shared" si="118"/>
        <v>90262</v>
      </c>
      <c r="M806" s="74">
        <f t="shared" si="119"/>
        <v>138</v>
      </c>
    </row>
    <row r="807" spans="1:13">
      <c r="A807" s="27">
        <v>46246</v>
      </c>
      <c r="B807" s="76" t="s">
        <v>33</v>
      </c>
      <c r="C807" s="76"/>
      <c r="D807" s="76"/>
      <c r="E807" s="77"/>
      <c r="F807" s="74">
        <v>0</v>
      </c>
      <c r="G807" s="74">
        <v>4</v>
      </c>
      <c r="H807" s="74">
        <v>4</v>
      </c>
      <c r="I807" s="4">
        <v>93305</v>
      </c>
      <c r="J807" s="74">
        <v>0</v>
      </c>
      <c r="K807" s="74">
        <v>0</v>
      </c>
      <c r="L807" s="74">
        <f t="shared" si="118"/>
        <v>90262</v>
      </c>
      <c r="M807" s="74">
        <f t="shared" si="119"/>
        <v>138</v>
      </c>
    </row>
    <row r="808" spans="1:13">
      <c r="A808" s="27">
        <v>46247</v>
      </c>
      <c r="B808" s="76" t="s">
        <v>49</v>
      </c>
      <c r="C808" s="76"/>
      <c r="D808" s="76"/>
      <c r="E808" s="77"/>
      <c r="F808" s="74">
        <v>0</v>
      </c>
      <c r="G808" s="74">
        <v>1</v>
      </c>
      <c r="H808" s="74">
        <v>1</v>
      </c>
      <c r="I808" s="4">
        <v>93439</v>
      </c>
      <c r="J808" s="74">
        <v>0</v>
      </c>
      <c r="K808" s="74">
        <v>0</v>
      </c>
      <c r="L808" s="74">
        <f t="shared" si="118"/>
        <v>90262</v>
      </c>
      <c r="M808" s="74">
        <f t="shared" si="119"/>
        <v>138</v>
      </c>
    </row>
    <row r="809" spans="1:13">
      <c r="A809" s="27">
        <v>46247</v>
      </c>
      <c r="B809" s="76" t="s">
        <v>33</v>
      </c>
      <c r="C809" s="76"/>
      <c r="D809" s="76"/>
      <c r="E809" s="77"/>
      <c r="F809" s="74">
        <v>0</v>
      </c>
      <c r="G809" s="74">
        <v>10</v>
      </c>
      <c r="H809" s="74">
        <v>10</v>
      </c>
      <c r="I809" s="4">
        <v>93449</v>
      </c>
      <c r="J809" s="74">
        <v>0</v>
      </c>
      <c r="K809" s="74">
        <v>0</v>
      </c>
      <c r="L809" s="74">
        <f t="shared" si="118"/>
        <v>90262</v>
      </c>
      <c r="M809" s="74">
        <f t="shared" si="119"/>
        <v>138</v>
      </c>
    </row>
    <row r="810" spans="1:13">
      <c r="A810" s="27">
        <v>46247</v>
      </c>
      <c r="B810" s="76" t="s">
        <v>49</v>
      </c>
      <c r="C810" s="76"/>
      <c r="D810" s="76"/>
      <c r="E810" s="77"/>
      <c r="F810" s="74">
        <v>0</v>
      </c>
      <c r="G810" s="74">
        <v>1</v>
      </c>
      <c r="H810" s="74">
        <v>1</v>
      </c>
      <c r="I810" s="4">
        <v>93450</v>
      </c>
      <c r="J810" s="74">
        <v>0</v>
      </c>
      <c r="K810" s="74">
        <v>0</v>
      </c>
      <c r="L810" s="74">
        <f t="shared" si="118"/>
        <v>90262</v>
      </c>
      <c r="M810" s="74">
        <f t="shared" si="119"/>
        <v>138</v>
      </c>
    </row>
    <row r="811" spans="1:13">
      <c r="A811" s="27">
        <v>46248</v>
      </c>
      <c r="B811" s="76" t="s">
        <v>49</v>
      </c>
      <c r="C811" s="76"/>
      <c r="D811" s="76"/>
      <c r="E811" s="77"/>
      <c r="F811" s="74">
        <v>0</v>
      </c>
      <c r="G811" s="74">
        <v>1</v>
      </c>
      <c r="H811" s="74">
        <v>1</v>
      </c>
      <c r="I811" s="4">
        <v>93451</v>
      </c>
      <c r="J811" s="74">
        <v>0</v>
      </c>
      <c r="K811" s="74">
        <v>0</v>
      </c>
      <c r="L811" s="74">
        <f t="shared" ref="L811:L847" si="120">J811+L810</f>
        <v>90262</v>
      </c>
      <c r="M811" s="74">
        <f t="shared" ref="M811:M847" si="121">K811+M810</f>
        <v>138</v>
      </c>
    </row>
    <row r="812" spans="1:13">
      <c r="A812" s="27">
        <v>46248</v>
      </c>
      <c r="B812" s="76" t="s">
        <v>33</v>
      </c>
      <c r="C812" s="76"/>
      <c r="D812" s="76"/>
      <c r="E812" s="77"/>
      <c r="F812" s="74">
        <v>0</v>
      </c>
      <c r="G812" s="74">
        <v>11</v>
      </c>
      <c r="H812" s="74">
        <v>11</v>
      </c>
      <c r="I812" s="4">
        <v>93462</v>
      </c>
      <c r="J812" s="74">
        <v>0</v>
      </c>
      <c r="K812" s="74">
        <v>0</v>
      </c>
      <c r="L812" s="74">
        <f t="shared" si="120"/>
        <v>90262</v>
      </c>
      <c r="M812" s="74">
        <f t="shared" si="121"/>
        <v>138</v>
      </c>
    </row>
    <row r="813" spans="1:13">
      <c r="A813" s="27">
        <v>46250</v>
      </c>
      <c r="B813" s="76" t="s">
        <v>129</v>
      </c>
      <c r="C813" s="76"/>
      <c r="D813" s="76"/>
      <c r="E813" s="77"/>
      <c r="F813" s="74">
        <v>0</v>
      </c>
      <c r="G813" s="74">
        <v>106</v>
      </c>
      <c r="H813" s="74">
        <v>106</v>
      </c>
      <c r="I813" s="4">
        <v>93568</v>
      </c>
      <c r="J813" s="74">
        <v>0</v>
      </c>
      <c r="K813" s="74">
        <v>0</v>
      </c>
      <c r="L813" s="74">
        <f t="shared" si="120"/>
        <v>90262</v>
      </c>
      <c r="M813" s="74">
        <f t="shared" si="121"/>
        <v>138</v>
      </c>
    </row>
    <row r="814" spans="1:13">
      <c r="A814" s="27">
        <v>46250</v>
      </c>
      <c r="B814" s="76" t="s">
        <v>33</v>
      </c>
      <c r="C814" s="76"/>
      <c r="D814" s="76"/>
      <c r="E814" s="77"/>
      <c r="F814" s="74">
        <v>0</v>
      </c>
      <c r="G814" s="74">
        <v>27</v>
      </c>
      <c r="H814" s="74">
        <v>27</v>
      </c>
      <c r="I814" s="4">
        <v>93595</v>
      </c>
      <c r="J814" s="74">
        <v>0</v>
      </c>
      <c r="K814" s="74">
        <v>0</v>
      </c>
      <c r="L814" s="74">
        <f t="shared" si="120"/>
        <v>90262</v>
      </c>
      <c r="M814" s="74">
        <f t="shared" si="121"/>
        <v>138</v>
      </c>
    </row>
    <row r="815" spans="1:13">
      <c r="A815" s="27">
        <v>46251</v>
      </c>
      <c r="B815" s="76" t="s">
        <v>33</v>
      </c>
      <c r="C815" s="76"/>
      <c r="D815" s="76"/>
      <c r="E815" s="77"/>
      <c r="F815" s="74">
        <v>0</v>
      </c>
      <c r="G815" s="74">
        <v>6</v>
      </c>
      <c r="H815" s="74">
        <v>6</v>
      </c>
      <c r="I815" s="4">
        <v>93601</v>
      </c>
      <c r="J815" s="74">
        <v>0</v>
      </c>
      <c r="K815" s="74">
        <v>0</v>
      </c>
      <c r="L815" s="74">
        <f t="shared" si="120"/>
        <v>90262</v>
      </c>
      <c r="M815" s="74">
        <f t="shared" si="121"/>
        <v>138</v>
      </c>
    </row>
    <row r="816" spans="1:13">
      <c r="A816" s="27">
        <v>46252</v>
      </c>
      <c r="B816" s="76" t="s">
        <v>49</v>
      </c>
      <c r="C816" s="76"/>
      <c r="D816" s="76"/>
      <c r="E816" s="77"/>
      <c r="F816" s="74">
        <v>0</v>
      </c>
      <c r="G816" s="74">
        <v>1</v>
      </c>
      <c r="H816" s="74">
        <v>1</v>
      </c>
      <c r="I816" s="4">
        <v>93602</v>
      </c>
      <c r="J816" s="74">
        <v>0</v>
      </c>
      <c r="K816" s="74">
        <v>0</v>
      </c>
      <c r="L816" s="74">
        <f t="shared" si="120"/>
        <v>90262</v>
      </c>
      <c r="M816" s="74">
        <f t="shared" si="121"/>
        <v>138</v>
      </c>
    </row>
    <row r="817" spans="1:13">
      <c r="A817" s="27">
        <v>46252</v>
      </c>
      <c r="B817" s="76" t="s">
        <v>33</v>
      </c>
      <c r="C817" s="76"/>
      <c r="D817" s="76"/>
      <c r="E817" s="77"/>
      <c r="F817" s="74">
        <v>0</v>
      </c>
      <c r="G817" s="74">
        <v>9</v>
      </c>
      <c r="H817" s="74">
        <v>9</v>
      </c>
      <c r="I817" s="4">
        <v>93611</v>
      </c>
      <c r="J817" s="74">
        <v>0</v>
      </c>
      <c r="K817" s="74">
        <v>0</v>
      </c>
      <c r="L817" s="74">
        <f t="shared" si="120"/>
        <v>90262</v>
      </c>
      <c r="M817" s="74">
        <f t="shared" si="121"/>
        <v>138</v>
      </c>
    </row>
    <row r="818" spans="1:13">
      <c r="A818" s="27">
        <v>46252</v>
      </c>
      <c r="B818" s="76" t="s">
        <v>49</v>
      </c>
      <c r="C818" s="76"/>
      <c r="D818" s="76"/>
      <c r="E818" s="77"/>
      <c r="F818" s="74">
        <v>0</v>
      </c>
      <c r="G818" s="74">
        <v>1</v>
      </c>
      <c r="H818" s="74">
        <v>1</v>
      </c>
      <c r="I818" s="4">
        <v>93612</v>
      </c>
      <c r="J818" s="74">
        <v>0</v>
      </c>
      <c r="K818" s="74">
        <v>0</v>
      </c>
      <c r="L818" s="74">
        <f t="shared" si="120"/>
        <v>90262</v>
      </c>
      <c r="M818" s="74">
        <f t="shared" si="121"/>
        <v>138</v>
      </c>
    </row>
    <row r="819" spans="1:13">
      <c r="A819" s="27">
        <v>46253</v>
      </c>
      <c r="B819" s="76" t="s">
        <v>33</v>
      </c>
      <c r="C819" s="76"/>
      <c r="D819" s="76"/>
      <c r="E819" s="77"/>
      <c r="F819" s="74">
        <v>0</v>
      </c>
      <c r="G819" s="74">
        <v>15</v>
      </c>
      <c r="H819" s="74">
        <v>15</v>
      </c>
      <c r="I819" s="4">
        <v>93627</v>
      </c>
      <c r="J819" s="74">
        <v>0</v>
      </c>
      <c r="K819" s="74">
        <v>0</v>
      </c>
      <c r="L819" s="74">
        <f t="shared" si="120"/>
        <v>90262</v>
      </c>
      <c r="M819" s="74">
        <f t="shared" si="121"/>
        <v>138</v>
      </c>
    </row>
    <row r="820" spans="1:13">
      <c r="A820" s="27">
        <v>46254</v>
      </c>
      <c r="B820" s="76" t="s">
        <v>33</v>
      </c>
      <c r="C820" s="76"/>
      <c r="D820" s="76"/>
      <c r="E820" s="77"/>
      <c r="F820" s="74">
        <v>0</v>
      </c>
      <c r="G820" s="74">
        <v>17</v>
      </c>
      <c r="H820" s="74">
        <v>17</v>
      </c>
      <c r="I820" s="4">
        <v>93644</v>
      </c>
      <c r="J820" s="74">
        <v>0</v>
      </c>
      <c r="K820" s="74">
        <v>0</v>
      </c>
      <c r="L820" s="74">
        <f t="shared" si="120"/>
        <v>90262</v>
      </c>
      <c r="M820" s="74">
        <f t="shared" si="121"/>
        <v>138</v>
      </c>
    </row>
    <row r="821" spans="1:13">
      <c r="A821" s="27">
        <v>46255</v>
      </c>
      <c r="B821" s="76" t="s">
        <v>33</v>
      </c>
      <c r="C821" s="76"/>
      <c r="D821" s="76"/>
      <c r="E821" s="77"/>
      <c r="F821" s="74">
        <v>0</v>
      </c>
      <c r="G821" s="74">
        <v>9</v>
      </c>
      <c r="H821" s="74">
        <v>9</v>
      </c>
      <c r="I821" s="4">
        <v>93653</v>
      </c>
      <c r="J821" s="74">
        <v>0</v>
      </c>
      <c r="K821" s="74">
        <v>0</v>
      </c>
      <c r="L821" s="74">
        <f t="shared" si="120"/>
        <v>90262</v>
      </c>
      <c r="M821" s="74">
        <f t="shared" si="121"/>
        <v>138</v>
      </c>
    </row>
    <row r="822" spans="1:13">
      <c r="A822" s="27">
        <v>46256</v>
      </c>
      <c r="B822" s="76" t="s">
        <v>33</v>
      </c>
      <c r="C822" s="76"/>
      <c r="D822" s="76"/>
      <c r="E822" s="77"/>
      <c r="F822" s="74">
        <v>0</v>
      </c>
      <c r="G822" s="74">
        <v>16</v>
      </c>
      <c r="H822" s="74">
        <v>16</v>
      </c>
      <c r="I822" s="4">
        <v>93669</v>
      </c>
      <c r="J822" s="74">
        <v>0</v>
      </c>
      <c r="K822" s="74">
        <v>0</v>
      </c>
      <c r="L822" s="74">
        <f t="shared" si="120"/>
        <v>90262</v>
      </c>
      <c r="M822" s="74">
        <f t="shared" si="121"/>
        <v>138</v>
      </c>
    </row>
    <row r="823" spans="1:13">
      <c r="A823" s="27">
        <v>46257</v>
      </c>
      <c r="B823" s="76" t="s">
        <v>49</v>
      </c>
      <c r="C823" s="76"/>
      <c r="D823" s="76"/>
      <c r="E823" s="77"/>
      <c r="F823" s="74">
        <v>0</v>
      </c>
      <c r="G823" s="74">
        <v>1</v>
      </c>
      <c r="H823" s="74">
        <v>1</v>
      </c>
      <c r="I823" s="4">
        <v>93670</v>
      </c>
      <c r="J823" s="74">
        <v>0</v>
      </c>
      <c r="K823" s="74">
        <v>0</v>
      </c>
      <c r="L823" s="74">
        <f t="shared" si="120"/>
        <v>90262</v>
      </c>
      <c r="M823" s="74">
        <f t="shared" si="121"/>
        <v>138</v>
      </c>
    </row>
    <row r="824" spans="1:13">
      <c r="A824" s="27">
        <v>46257</v>
      </c>
      <c r="B824" s="76" t="s">
        <v>33</v>
      </c>
      <c r="C824" s="76"/>
      <c r="D824" s="76"/>
      <c r="E824" s="77"/>
      <c r="F824" s="74">
        <v>0</v>
      </c>
      <c r="G824" s="74">
        <v>29</v>
      </c>
      <c r="H824" s="74">
        <v>29</v>
      </c>
      <c r="I824" s="4">
        <v>93699</v>
      </c>
      <c r="J824" s="74">
        <v>0</v>
      </c>
      <c r="K824" s="74">
        <v>0</v>
      </c>
      <c r="L824" s="74">
        <f t="shared" si="120"/>
        <v>90262</v>
      </c>
      <c r="M824" s="74">
        <f t="shared" si="121"/>
        <v>138</v>
      </c>
    </row>
    <row r="825" spans="1:13">
      <c r="A825" s="27">
        <v>46257</v>
      </c>
      <c r="B825" s="76" t="s">
        <v>49</v>
      </c>
      <c r="C825" s="76"/>
      <c r="D825" s="76"/>
      <c r="E825" s="77"/>
      <c r="F825" s="74">
        <v>0</v>
      </c>
      <c r="G825" s="74">
        <v>1</v>
      </c>
      <c r="H825" s="74">
        <v>1</v>
      </c>
      <c r="I825" s="4">
        <v>93700</v>
      </c>
      <c r="J825" s="74">
        <v>0</v>
      </c>
      <c r="K825" s="74">
        <v>0</v>
      </c>
      <c r="L825" s="74">
        <f t="shared" si="120"/>
        <v>90262</v>
      </c>
      <c r="M825" s="74">
        <f t="shared" si="121"/>
        <v>138</v>
      </c>
    </row>
    <row r="826" spans="1:13">
      <c r="A826" s="27">
        <v>46258</v>
      </c>
      <c r="B826" s="76" t="s">
        <v>33</v>
      </c>
      <c r="C826" s="76"/>
      <c r="D826" s="76"/>
      <c r="E826" s="77"/>
      <c r="F826" s="74">
        <v>0</v>
      </c>
      <c r="G826" s="74">
        <v>10</v>
      </c>
      <c r="H826" s="74">
        <v>10</v>
      </c>
      <c r="I826" s="4">
        <v>93710</v>
      </c>
      <c r="J826" s="74">
        <v>0</v>
      </c>
      <c r="K826" s="74">
        <v>0</v>
      </c>
      <c r="L826" s="74">
        <f t="shared" si="120"/>
        <v>90262</v>
      </c>
      <c r="M826" s="74">
        <f t="shared" si="121"/>
        <v>138</v>
      </c>
    </row>
    <row r="827" spans="1:13">
      <c r="A827" s="27">
        <v>46259</v>
      </c>
      <c r="B827" s="76" t="s">
        <v>33</v>
      </c>
      <c r="C827" s="76"/>
      <c r="D827" s="76"/>
      <c r="E827" s="77"/>
      <c r="F827" s="74">
        <v>0</v>
      </c>
      <c r="G827" s="74">
        <v>8</v>
      </c>
      <c r="H827" s="74">
        <v>8</v>
      </c>
      <c r="I827" s="4">
        <v>93718</v>
      </c>
      <c r="J827" s="74">
        <v>0</v>
      </c>
      <c r="K827" s="74">
        <v>0</v>
      </c>
      <c r="L827" s="74">
        <f t="shared" si="120"/>
        <v>90262</v>
      </c>
      <c r="M827" s="74">
        <f t="shared" si="121"/>
        <v>138</v>
      </c>
    </row>
    <row r="828" spans="1:13">
      <c r="A828" s="27">
        <v>46260</v>
      </c>
      <c r="B828" s="76" t="s">
        <v>33</v>
      </c>
      <c r="C828" s="76"/>
      <c r="D828" s="76"/>
      <c r="E828" s="77"/>
      <c r="F828" s="74">
        <v>0</v>
      </c>
      <c r="G828" s="74">
        <v>16</v>
      </c>
      <c r="H828" s="74">
        <v>16</v>
      </c>
      <c r="I828" s="4">
        <v>93734</v>
      </c>
      <c r="J828" s="74">
        <v>0</v>
      </c>
      <c r="K828" s="74">
        <v>0</v>
      </c>
      <c r="L828" s="74">
        <f t="shared" si="120"/>
        <v>90262</v>
      </c>
      <c r="M828" s="74">
        <f t="shared" si="121"/>
        <v>138</v>
      </c>
    </row>
    <row r="829" spans="1:13">
      <c r="A829" s="27">
        <v>46261</v>
      </c>
      <c r="B829" s="76" t="s">
        <v>33</v>
      </c>
      <c r="C829" s="76"/>
      <c r="D829" s="76"/>
      <c r="E829" s="77"/>
      <c r="F829" s="74">
        <v>0</v>
      </c>
      <c r="G829" s="74">
        <v>9</v>
      </c>
      <c r="H829" s="74">
        <v>9</v>
      </c>
      <c r="I829" s="4">
        <v>93743</v>
      </c>
      <c r="J829" s="74">
        <v>0</v>
      </c>
      <c r="K829" s="74">
        <v>0</v>
      </c>
      <c r="L829" s="74">
        <f t="shared" si="120"/>
        <v>90262</v>
      </c>
      <c r="M829" s="74">
        <f t="shared" si="121"/>
        <v>138</v>
      </c>
    </row>
    <row r="830" spans="1:13">
      <c r="A830" s="27">
        <v>46262</v>
      </c>
      <c r="B830" s="76" t="s">
        <v>33</v>
      </c>
      <c r="C830" s="76"/>
      <c r="D830" s="76"/>
      <c r="E830" s="77"/>
      <c r="F830" s="74">
        <v>0</v>
      </c>
      <c r="G830" s="74">
        <v>12</v>
      </c>
      <c r="H830" s="74">
        <v>12</v>
      </c>
      <c r="I830" s="4">
        <v>93755</v>
      </c>
      <c r="J830" s="74">
        <v>0</v>
      </c>
      <c r="K830" s="74">
        <v>0</v>
      </c>
      <c r="L830" s="74">
        <f t="shared" si="120"/>
        <v>90262</v>
      </c>
      <c r="M830" s="74">
        <f t="shared" si="121"/>
        <v>138</v>
      </c>
    </row>
    <row r="831" spans="1:13">
      <c r="A831" s="27">
        <v>46263</v>
      </c>
      <c r="B831" s="76" t="s">
        <v>49</v>
      </c>
      <c r="C831" s="76"/>
      <c r="D831" s="76"/>
      <c r="E831" s="77"/>
      <c r="F831" s="74">
        <v>0</v>
      </c>
      <c r="G831" s="74">
        <v>1</v>
      </c>
      <c r="H831" s="74">
        <v>1</v>
      </c>
      <c r="I831" s="4">
        <v>93756</v>
      </c>
      <c r="J831" s="74">
        <v>0</v>
      </c>
      <c r="K831" s="74">
        <v>0</v>
      </c>
      <c r="L831" s="74">
        <f t="shared" si="120"/>
        <v>90262</v>
      </c>
      <c r="M831" s="74">
        <f t="shared" si="121"/>
        <v>138</v>
      </c>
    </row>
    <row r="832" spans="1:13">
      <c r="A832" s="27">
        <v>46263</v>
      </c>
      <c r="B832" s="76" t="s">
        <v>33</v>
      </c>
      <c r="C832" s="76"/>
      <c r="D832" s="76"/>
      <c r="E832" s="77"/>
      <c r="F832" s="74">
        <v>0</v>
      </c>
      <c r="G832" s="74">
        <v>9</v>
      </c>
      <c r="H832" s="74">
        <v>9</v>
      </c>
      <c r="I832" s="4">
        <v>93765</v>
      </c>
      <c r="J832" s="74">
        <v>0</v>
      </c>
      <c r="K832" s="74">
        <v>0</v>
      </c>
      <c r="L832" s="74">
        <f t="shared" si="120"/>
        <v>90262</v>
      </c>
      <c r="M832" s="74">
        <f t="shared" si="121"/>
        <v>138</v>
      </c>
    </row>
    <row r="833" spans="1:13">
      <c r="A833" s="27">
        <v>46263</v>
      </c>
      <c r="B833" s="76" t="s">
        <v>49</v>
      </c>
      <c r="C833" s="76"/>
      <c r="D833" s="76"/>
      <c r="E833" s="77"/>
      <c r="F833" s="74">
        <v>0</v>
      </c>
      <c r="G833" s="74">
        <v>1</v>
      </c>
      <c r="H833" s="74">
        <v>1</v>
      </c>
      <c r="I833" s="4">
        <v>93766</v>
      </c>
      <c r="J833" s="74">
        <v>0</v>
      </c>
      <c r="K833" s="74">
        <v>0</v>
      </c>
      <c r="L833" s="74">
        <f t="shared" si="120"/>
        <v>90262</v>
      </c>
      <c r="M833" s="74">
        <f t="shared" si="121"/>
        <v>138</v>
      </c>
    </row>
    <row r="834" spans="1:13">
      <c r="A834" s="27">
        <v>46263</v>
      </c>
      <c r="B834" s="76" t="s">
        <v>49</v>
      </c>
      <c r="C834" s="76"/>
      <c r="D834" s="76"/>
      <c r="E834" s="77"/>
      <c r="F834" s="74">
        <v>0</v>
      </c>
      <c r="G834" s="74">
        <v>1</v>
      </c>
      <c r="H834" s="74">
        <v>1</v>
      </c>
      <c r="I834" s="4">
        <v>93767</v>
      </c>
      <c r="J834" s="74">
        <v>0</v>
      </c>
      <c r="K834" s="74">
        <v>0</v>
      </c>
      <c r="L834" s="74">
        <f t="shared" si="120"/>
        <v>90262</v>
      </c>
      <c r="M834" s="74">
        <f t="shared" si="121"/>
        <v>138</v>
      </c>
    </row>
    <row r="835" spans="1:13">
      <c r="A835" s="27">
        <v>46263</v>
      </c>
      <c r="B835" s="76" t="s">
        <v>49</v>
      </c>
      <c r="C835" s="76"/>
      <c r="D835" s="76"/>
      <c r="E835" s="77"/>
      <c r="F835" s="74">
        <v>0</v>
      </c>
      <c r="G835" s="74">
        <v>1</v>
      </c>
      <c r="H835" s="74">
        <v>1</v>
      </c>
      <c r="I835" s="4">
        <v>93768</v>
      </c>
      <c r="J835" s="74">
        <v>0</v>
      </c>
      <c r="K835" s="74">
        <v>0</v>
      </c>
      <c r="L835" s="74">
        <f t="shared" si="120"/>
        <v>90262</v>
      </c>
      <c r="M835" s="74">
        <f t="shared" si="121"/>
        <v>138</v>
      </c>
    </row>
    <row r="836" spans="1:13">
      <c r="A836" s="27">
        <v>46263</v>
      </c>
      <c r="B836" s="76" t="s">
        <v>49</v>
      </c>
      <c r="C836" s="76"/>
      <c r="D836" s="76"/>
      <c r="E836" s="77"/>
      <c r="F836" s="74">
        <v>0</v>
      </c>
      <c r="G836" s="74">
        <v>1</v>
      </c>
      <c r="H836" s="74">
        <v>1</v>
      </c>
      <c r="I836" s="4">
        <v>93769</v>
      </c>
      <c r="J836" s="74">
        <v>0</v>
      </c>
      <c r="K836" s="74">
        <v>0</v>
      </c>
      <c r="L836" s="74">
        <f t="shared" si="120"/>
        <v>90262</v>
      </c>
      <c r="M836" s="74">
        <f t="shared" si="121"/>
        <v>138</v>
      </c>
    </row>
    <row r="837" spans="1:13">
      <c r="A837" s="27">
        <v>46263</v>
      </c>
      <c r="B837" s="76" t="s">
        <v>49</v>
      </c>
      <c r="C837" s="76"/>
      <c r="D837" s="76"/>
      <c r="E837" s="77"/>
      <c r="F837" s="74">
        <v>0</v>
      </c>
      <c r="G837" s="74">
        <v>1</v>
      </c>
      <c r="H837" s="74">
        <v>1</v>
      </c>
      <c r="I837" s="4">
        <v>93770</v>
      </c>
      <c r="J837" s="74">
        <v>0</v>
      </c>
      <c r="K837" s="74">
        <v>0</v>
      </c>
      <c r="L837" s="74">
        <f t="shared" si="120"/>
        <v>90262</v>
      </c>
      <c r="M837" s="74">
        <f t="shared" si="121"/>
        <v>138</v>
      </c>
    </row>
    <row r="838" spans="1:13">
      <c r="A838" s="27">
        <v>46264</v>
      </c>
      <c r="B838" s="1" t="s">
        <v>264</v>
      </c>
      <c r="C838" s="1" t="s">
        <v>131</v>
      </c>
      <c r="D838" s="1" t="s">
        <v>42</v>
      </c>
      <c r="E838" s="1" t="s">
        <v>43</v>
      </c>
      <c r="F838" s="74">
        <v>392</v>
      </c>
      <c r="G838" s="28">
        <v>560</v>
      </c>
      <c r="H838" s="74">
        <v>952</v>
      </c>
      <c r="I838" s="4">
        <v>94722</v>
      </c>
      <c r="J838" s="4">
        <v>1184</v>
      </c>
      <c r="K838" s="74">
        <v>1</v>
      </c>
      <c r="L838" s="74">
        <f t="shared" si="120"/>
        <v>91446</v>
      </c>
      <c r="M838" s="74">
        <f t="shared" si="121"/>
        <v>139</v>
      </c>
    </row>
    <row r="839" spans="1:13">
      <c r="A839" s="27">
        <v>46264</v>
      </c>
      <c r="B839" s="76" t="s">
        <v>33</v>
      </c>
      <c r="C839" s="76"/>
      <c r="D839" s="76"/>
      <c r="E839" s="77"/>
      <c r="F839" s="74">
        <v>0</v>
      </c>
      <c r="G839" s="74">
        <v>23</v>
      </c>
      <c r="H839" s="74">
        <v>23</v>
      </c>
      <c r="I839" s="4">
        <v>94745</v>
      </c>
      <c r="J839" s="74">
        <v>0</v>
      </c>
      <c r="K839" s="74">
        <v>0</v>
      </c>
      <c r="L839" s="74">
        <f t="shared" si="120"/>
        <v>91446</v>
      </c>
      <c r="M839" s="74">
        <f t="shared" si="121"/>
        <v>139</v>
      </c>
    </row>
    <row r="840" spans="1:13">
      <c r="A840" s="27">
        <v>46265</v>
      </c>
      <c r="B840" s="76" t="s">
        <v>33</v>
      </c>
      <c r="C840" s="76"/>
      <c r="D840" s="76"/>
      <c r="E840" s="77"/>
      <c r="F840" s="74">
        <v>0</v>
      </c>
      <c r="G840" s="74">
        <v>14</v>
      </c>
      <c r="H840" s="74">
        <v>14</v>
      </c>
      <c r="I840" s="4">
        <v>94759</v>
      </c>
      <c r="J840" s="74">
        <v>0</v>
      </c>
      <c r="K840" s="74">
        <v>0</v>
      </c>
      <c r="L840" s="74">
        <f t="shared" si="120"/>
        <v>91446</v>
      </c>
      <c r="M840" s="74">
        <f t="shared" si="121"/>
        <v>139</v>
      </c>
    </row>
    <row r="841" spans="1:13">
      <c r="A841" s="27">
        <v>46266</v>
      </c>
      <c r="B841" s="1" t="s">
        <v>257</v>
      </c>
      <c r="C841" s="1" t="s">
        <v>134</v>
      </c>
      <c r="D841" s="1" t="s">
        <v>42</v>
      </c>
      <c r="E841" s="1" t="s">
        <v>43</v>
      </c>
      <c r="F841" s="74">
        <v>392</v>
      </c>
      <c r="G841" s="28">
        <v>560</v>
      </c>
      <c r="H841" s="74">
        <v>952</v>
      </c>
      <c r="I841" s="4">
        <v>95711</v>
      </c>
      <c r="J841" s="4">
        <v>1184</v>
      </c>
      <c r="K841" s="74">
        <v>1</v>
      </c>
      <c r="L841" s="74">
        <f t="shared" si="120"/>
        <v>92630</v>
      </c>
      <c r="M841" s="74">
        <f t="shared" si="121"/>
        <v>140</v>
      </c>
    </row>
    <row r="842" spans="1:13">
      <c r="A842" s="27">
        <v>46266</v>
      </c>
      <c r="B842" s="76" t="s">
        <v>33</v>
      </c>
      <c r="C842" s="76"/>
      <c r="D842" s="76"/>
      <c r="E842" s="77"/>
      <c r="F842" s="74">
        <v>0</v>
      </c>
      <c r="G842" s="74">
        <v>28</v>
      </c>
      <c r="H842" s="74">
        <v>28</v>
      </c>
      <c r="I842" s="4">
        <v>95739</v>
      </c>
      <c r="J842" s="74">
        <v>0</v>
      </c>
      <c r="K842" s="74">
        <v>0</v>
      </c>
      <c r="L842" s="74">
        <f t="shared" si="120"/>
        <v>92630</v>
      </c>
      <c r="M842" s="74">
        <f t="shared" si="121"/>
        <v>140</v>
      </c>
    </row>
    <row r="843" spans="1:13">
      <c r="A843" s="27">
        <v>46267</v>
      </c>
      <c r="B843" s="76" t="s">
        <v>33</v>
      </c>
      <c r="C843" s="76"/>
      <c r="D843" s="76"/>
      <c r="E843" s="77"/>
      <c r="F843" s="74">
        <v>0</v>
      </c>
      <c r="G843" s="74">
        <v>20</v>
      </c>
      <c r="H843" s="74">
        <v>20</v>
      </c>
      <c r="I843" s="4">
        <v>95759</v>
      </c>
      <c r="J843" s="74">
        <v>0</v>
      </c>
      <c r="K843" s="74">
        <v>0</v>
      </c>
      <c r="L843" s="74">
        <f t="shared" si="120"/>
        <v>92630</v>
      </c>
      <c r="M843" s="74">
        <f t="shared" si="121"/>
        <v>140</v>
      </c>
    </row>
    <row r="844" spans="1:13">
      <c r="A844" s="27">
        <v>46268</v>
      </c>
      <c r="B844" s="76" t="s">
        <v>49</v>
      </c>
      <c r="C844" s="76"/>
      <c r="D844" s="76"/>
      <c r="E844" s="77"/>
      <c r="F844" s="74">
        <v>0</v>
      </c>
      <c r="G844" s="74">
        <v>1</v>
      </c>
      <c r="H844" s="74">
        <v>1</v>
      </c>
      <c r="I844" s="4">
        <v>95760</v>
      </c>
      <c r="J844" s="74">
        <v>0</v>
      </c>
      <c r="K844" s="74">
        <v>0</v>
      </c>
      <c r="L844" s="74">
        <f t="shared" si="120"/>
        <v>92630</v>
      </c>
      <c r="M844" s="74">
        <f t="shared" si="121"/>
        <v>140</v>
      </c>
    </row>
    <row r="845" spans="1:13">
      <c r="A845" s="27">
        <v>46268</v>
      </c>
      <c r="B845" s="76" t="s">
        <v>49</v>
      </c>
      <c r="C845" s="76"/>
      <c r="D845" s="76"/>
      <c r="E845" s="77"/>
      <c r="F845" s="74">
        <v>0</v>
      </c>
      <c r="G845" s="74">
        <v>1</v>
      </c>
      <c r="H845" s="74">
        <v>1</v>
      </c>
      <c r="I845" s="4">
        <v>95761</v>
      </c>
      <c r="J845" s="74">
        <v>0</v>
      </c>
      <c r="K845" s="74">
        <v>0</v>
      </c>
      <c r="L845" s="74">
        <f t="shared" si="120"/>
        <v>92630</v>
      </c>
      <c r="M845" s="74">
        <f t="shared" si="121"/>
        <v>140</v>
      </c>
    </row>
    <row r="846" spans="1:13">
      <c r="A846" s="27">
        <v>46269</v>
      </c>
      <c r="B846" s="76" t="s">
        <v>33</v>
      </c>
      <c r="C846" s="76"/>
      <c r="D846" s="76"/>
      <c r="E846" s="77"/>
      <c r="F846" s="74">
        <v>0</v>
      </c>
      <c r="G846" s="74">
        <v>16</v>
      </c>
      <c r="H846" s="74">
        <v>16</v>
      </c>
      <c r="I846" s="4">
        <v>95777</v>
      </c>
      <c r="J846" s="74">
        <v>0</v>
      </c>
      <c r="K846" s="74">
        <v>0</v>
      </c>
      <c r="L846" s="74">
        <f t="shared" si="120"/>
        <v>92630</v>
      </c>
      <c r="M846" s="74">
        <f t="shared" si="121"/>
        <v>140</v>
      </c>
    </row>
    <row r="847" spans="1:13">
      <c r="A847" s="29">
        <v>46270</v>
      </c>
      <c r="B847" s="78" t="s">
        <v>33</v>
      </c>
      <c r="C847" s="78"/>
      <c r="D847" s="78"/>
      <c r="E847" s="79"/>
      <c r="F847" s="75">
        <v>0</v>
      </c>
      <c r="G847" s="75">
        <v>10</v>
      </c>
      <c r="H847" s="75">
        <v>10</v>
      </c>
      <c r="I847" s="30">
        <v>95787</v>
      </c>
      <c r="J847" s="75">
        <v>0</v>
      </c>
      <c r="K847" s="75">
        <v>0</v>
      </c>
      <c r="L847" s="74">
        <f t="shared" si="120"/>
        <v>92630</v>
      </c>
      <c r="M847" s="74">
        <f t="shared" si="121"/>
        <v>140</v>
      </c>
    </row>
    <row r="848" spans="1:13">
      <c r="A848" s="27">
        <v>46271</v>
      </c>
      <c r="B848" s="76" t="s">
        <v>33</v>
      </c>
      <c r="C848" s="76"/>
      <c r="D848" s="76"/>
      <c r="E848" s="77"/>
      <c r="F848" s="74">
        <v>0</v>
      </c>
      <c r="G848" s="74">
        <v>33</v>
      </c>
      <c r="H848" s="74">
        <v>33</v>
      </c>
      <c r="I848" s="4">
        <v>95829</v>
      </c>
      <c r="J848" s="74">
        <v>0</v>
      </c>
      <c r="K848" s="74">
        <v>0</v>
      </c>
      <c r="L848" s="74">
        <f t="shared" ref="L848:L860" si="122">J848+L847</f>
        <v>92630</v>
      </c>
      <c r="M848" s="74">
        <f t="shared" ref="M848:M860" si="123">K848+M847</f>
        <v>140</v>
      </c>
    </row>
    <row r="849" spans="1:13">
      <c r="A849" s="27">
        <v>46272</v>
      </c>
      <c r="B849" s="76" t="s">
        <v>33</v>
      </c>
      <c r="C849" s="76"/>
      <c r="D849" s="76"/>
      <c r="E849" s="77"/>
      <c r="F849" s="74">
        <v>0</v>
      </c>
      <c r="G849" s="74">
        <v>16</v>
      </c>
      <c r="H849" s="74">
        <v>16</v>
      </c>
      <c r="I849" s="4">
        <v>95845</v>
      </c>
      <c r="J849" s="74">
        <v>0</v>
      </c>
      <c r="K849" s="74">
        <v>0</v>
      </c>
      <c r="L849" s="74">
        <f t="shared" si="122"/>
        <v>92630</v>
      </c>
      <c r="M849" s="74">
        <f t="shared" si="123"/>
        <v>140</v>
      </c>
    </row>
    <row r="850" spans="1:13">
      <c r="A850" s="27">
        <v>46273</v>
      </c>
      <c r="B850" s="76" t="s">
        <v>33</v>
      </c>
      <c r="C850" s="76"/>
      <c r="D850" s="76"/>
      <c r="E850" s="77"/>
      <c r="F850" s="74">
        <v>0</v>
      </c>
      <c r="G850" s="74">
        <v>6</v>
      </c>
      <c r="H850" s="74">
        <v>6</v>
      </c>
      <c r="I850" s="4">
        <v>95851</v>
      </c>
      <c r="J850" s="74">
        <v>0</v>
      </c>
      <c r="K850" s="74">
        <v>0</v>
      </c>
      <c r="L850" s="74">
        <f t="shared" si="122"/>
        <v>92630</v>
      </c>
      <c r="M850" s="74">
        <f t="shared" si="123"/>
        <v>140</v>
      </c>
    </row>
    <row r="851" spans="1:13">
      <c r="A851" s="27">
        <v>46274</v>
      </c>
      <c r="B851" s="76" t="s">
        <v>49</v>
      </c>
      <c r="C851" s="76"/>
      <c r="D851" s="76"/>
      <c r="E851" s="77"/>
      <c r="F851" s="74">
        <v>0</v>
      </c>
      <c r="G851" s="74">
        <v>1</v>
      </c>
      <c r="H851" s="74">
        <v>1</v>
      </c>
      <c r="I851" s="4">
        <v>95852</v>
      </c>
      <c r="J851" s="74">
        <v>0</v>
      </c>
      <c r="K851" s="74">
        <v>0</v>
      </c>
      <c r="L851" s="74">
        <f t="shared" si="122"/>
        <v>92630</v>
      </c>
      <c r="M851" s="74">
        <f t="shared" si="123"/>
        <v>140</v>
      </c>
    </row>
    <row r="852" spans="1:13">
      <c r="A852" s="27">
        <v>46274</v>
      </c>
      <c r="B852" s="76" t="s">
        <v>33</v>
      </c>
      <c r="C852" s="76"/>
      <c r="D852" s="76"/>
      <c r="E852" s="77"/>
      <c r="F852" s="74">
        <v>0</v>
      </c>
      <c r="G852" s="74">
        <v>10</v>
      </c>
      <c r="H852" s="74">
        <v>10</v>
      </c>
      <c r="I852" s="4">
        <v>95862</v>
      </c>
      <c r="J852" s="74">
        <v>0</v>
      </c>
      <c r="K852" s="74">
        <v>0</v>
      </c>
      <c r="L852" s="74">
        <f t="shared" si="122"/>
        <v>92630</v>
      </c>
      <c r="M852" s="74">
        <f t="shared" si="123"/>
        <v>140</v>
      </c>
    </row>
    <row r="853" spans="1:13">
      <c r="A853" s="27">
        <v>46274</v>
      </c>
      <c r="B853" s="76" t="s">
        <v>49</v>
      </c>
      <c r="C853" s="76"/>
      <c r="D853" s="76"/>
      <c r="E853" s="77"/>
      <c r="F853" s="74">
        <v>0</v>
      </c>
      <c r="G853" s="74">
        <v>1</v>
      </c>
      <c r="H853" s="74">
        <v>1</v>
      </c>
      <c r="I853" s="4">
        <v>95863</v>
      </c>
      <c r="J853" s="74">
        <v>0</v>
      </c>
      <c r="K853" s="74">
        <v>0</v>
      </c>
      <c r="L853" s="74">
        <f t="shared" si="122"/>
        <v>92630</v>
      </c>
      <c r="M853" s="74">
        <f t="shared" si="123"/>
        <v>140</v>
      </c>
    </row>
    <row r="854" spans="1:13">
      <c r="A854" s="27">
        <v>46274</v>
      </c>
      <c r="B854" s="76" t="s">
        <v>49</v>
      </c>
      <c r="C854" s="76"/>
      <c r="D854" s="76"/>
      <c r="E854" s="77"/>
      <c r="F854" s="74">
        <v>0</v>
      </c>
      <c r="G854" s="74">
        <v>1</v>
      </c>
      <c r="H854" s="74">
        <v>1</v>
      </c>
      <c r="I854" s="4">
        <v>95864</v>
      </c>
      <c r="J854" s="74">
        <v>0</v>
      </c>
      <c r="K854" s="74">
        <v>0</v>
      </c>
      <c r="L854" s="74">
        <f t="shared" si="122"/>
        <v>92630</v>
      </c>
      <c r="M854" s="74">
        <f t="shared" si="123"/>
        <v>140</v>
      </c>
    </row>
    <row r="855" spans="1:13">
      <c r="A855" s="27">
        <v>46274</v>
      </c>
      <c r="B855" s="76" t="s">
        <v>49</v>
      </c>
      <c r="C855" s="76"/>
      <c r="D855" s="76"/>
      <c r="E855" s="77"/>
      <c r="F855" s="74">
        <v>0</v>
      </c>
      <c r="G855" s="74">
        <v>1</v>
      </c>
      <c r="H855" s="74">
        <v>1</v>
      </c>
      <c r="I855" s="4">
        <v>95865</v>
      </c>
      <c r="J855" s="74">
        <v>0</v>
      </c>
      <c r="K855" s="74">
        <v>0</v>
      </c>
      <c r="L855" s="74">
        <f t="shared" si="122"/>
        <v>92630</v>
      </c>
      <c r="M855" s="74">
        <f t="shared" si="123"/>
        <v>140</v>
      </c>
    </row>
    <row r="856" spans="1:13">
      <c r="A856" s="27">
        <v>46274</v>
      </c>
      <c r="B856" s="76" t="s">
        <v>49</v>
      </c>
      <c r="C856" s="76"/>
      <c r="D856" s="76"/>
      <c r="E856" s="77"/>
      <c r="F856" s="74">
        <v>0</v>
      </c>
      <c r="G856" s="74">
        <v>1</v>
      </c>
      <c r="H856" s="74">
        <v>1</v>
      </c>
      <c r="I856" s="4">
        <v>95866</v>
      </c>
      <c r="J856" s="74">
        <v>0</v>
      </c>
      <c r="K856" s="74">
        <v>0</v>
      </c>
      <c r="L856" s="74">
        <f t="shared" si="122"/>
        <v>92630</v>
      </c>
      <c r="M856" s="74">
        <f t="shared" si="123"/>
        <v>140</v>
      </c>
    </row>
    <row r="857" spans="1:13">
      <c r="A857" s="27">
        <v>46275</v>
      </c>
      <c r="B857" s="76" t="s">
        <v>65</v>
      </c>
      <c r="C857" s="76"/>
      <c r="D857" s="76"/>
      <c r="E857" s="77"/>
      <c r="F857" s="4">
        <v>3327</v>
      </c>
      <c r="G857" s="74">
        <v>0</v>
      </c>
      <c r="H857" s="4">
        <v>3327</v>
      </c>
      <c r="I857" s="4">
        <v>99193</v>
      </c>
      <c r="J857" s="74">
        <v>0</v>
      </c>
      <c r="K857" s="74">
        <v>0</v>
      </c>
      <c r="L857" s="74">
        <f t="shared" si="122"/>
        <v>92630</v>
      </c>
      <c r="M857" s="74">
        <f t="shared" si="123"/>
        <v>140</v>
      </c>
    </row>
    <row r="858" spans="1:13">
      <c r="A858" s="27">
        <v>46275</v>
      </c>
      <c r="B858" s="76" t="s">
        <v>33</v>
      </c>
      <c r="C858" s="76"/>
      <c r="D858" s="76"/>
      <c r="E858" s="77"/>
      <c r="F858" s="74">
        <v>0</v>
      </c>
      <c r="G858" s="74">
        <v>16</v>
      </c>
      <c r="H858" s="74">
        <v>16</v>
      </c>
      <c r="I858" s="4">
        <v>99209</v>
      </c>
      <c r="J858" s="74">
        <v>0</v>
      </c>
      <c r="K858" s="74">
        <v>0</v>
      </c>
      <c r="L858" s="74">
        <f t="shared" si="122"/>
        <v>92630</v>
      </c>
      <c r="M858" s="74">
        <f t="shared" si="123"/>
        <v>140</v>
      </c>
    </row>
    <row r="859" spans="1:13">
      <c r="A859" s="27">
        <v>46276</v>
      </c>
      <c r="B859" s="76" t="s">
        <v>33</v>
      </c>
      <c r="C859" s="76"/>
      <c r="D859" s="76"/>
      <c r="E859" s="77"/>
      <c r="F859" s="74">
        <v>0</v>
      </c>
      <c r="G859" s="74">
        <v>8</v>
      </c>
      <c r="H859" s="74">
        <v>8</v>
      </c>
      <c r="I859" s="4">
        <v>99217</v>
      </c>
      <c r="J859" s="74">
        <v>0</v>
      </c>
      <c r="K859" s="74">
        <v>0</v>
      </c>
      <c r="L859" s="74">
        <f t="shared" si="122"/>
        <v>92630</v>
      </c>
      <c r="M859" s="74">
        <f t="shared" si="123"/>
        <v>140</v>
      </c>
    </row>
    <row r="860" spans="1:13">
      <c r="A860" s="29">
        <v>46277</v>
      </c>
      <c r="B860" s="78" t="s">
        <v>33</v>
      </c>
      <c r="C860" s="78"/>
      <c r="D860" s="78"/>
      <c r="E860" s="79"/>
      <c r="F860" s="75">
        <v>0</v>
      </c>
      <c r="G860" s="75">
        <v>17</v>
      </c>
      <c r="H860" s="75">
        <v>17</v>
      </c>
      <c r="I860" s="30">
        <v>99234</v>
      </c>
      <c r="J860" s="75">
        <v>0</v>
      </c>
      <c r="K860" s="75">
        <v>0</v>
      </c>
      <c r="L860" s="74">
        <f t="shared" si="122"/>
        <v>92630</v>
      </c>
      <c r="M860" s="74">
        <f t="shared" si="123"/>
        <v>140</v>
      </c>
    </row>
    <row r="861" spans="1:13">
      <c r="A861" s="27">
        <v>46279</v>
      </c>
      <c r="B861" s="76" t="s">
        <v>49</v>
      </c>
      <c r="C861" s="76"/>
      <c r="D861" s="76"/>
      <c r="E861" s="77"/>
      <c r="F861" s="74">
        <v>0</v>
      </c>
      <c r="G861" s="74">
        <v>1</v>
      </c>
      <c r="H861" s="74">
        <v>1</v>
      </c>
      <c r="I861" s="4">
        <v>99240</v>
      </c>
      <c r="J861" s="74">
        <v>0</v>
      </c>
      <c r="K861" s="74">
        <v>0</v>
      </c>
      <c r="L861" s="74">
        <f t="shared" ref="L861:L871" si="124">J861+L860</f>
        <v>92630</v>
      </c>
      <c r="M861" s="74">
        <f t="shared" ref="M861:M871" si="125">K861+M860</f>
        <v>140</v>
      </c>
    </row>
    <row r="862" spans="1:13">
      <c r="A862" s="27">
        <v>46279</v>
      </c>
      <c r="B862" s="76" t="s">
        <v>33</v>
      </c>
      <c r="C862" s="76"/>
      <c r="D862" s="76"/>
      <c r="E862" s="77"/>
      <c r="F862" s="74">
        <v>0</v>
      </c>
      <c r="G862" s="74">
        <v>33</v>
      </c>
      <c r="H862" s="74">
        <v>33</v>
      </c>
      <c r="I862" s="4">
        <v>99273</v>
      </c>
      <c r="J862" s="74">
        <v>0</v>
      </c>
      <c r="K862" s="74">
        <v>0</v>
      </c>
      <c r="L862" s="74">
        <f t="shared" si="124"/>
        <v>92630</v>
      </c>
      <c r="M862" s="74">
        <f t="shared" si="125"/>
        <v>140</v>
      </c>
    </row>
    <row r="863" spans="1:13">
      <c r="A863" s="27">
        <v>46280</v>
      </c>
      <c r="B863" s="1" t="s">
        <v>265</v>
      </c>
      <c r="C863" s="1" t="s">
        <v>131</v>
      </c>
      <c r="D863" s="1" t="s">
        <v>42</v>
      </c>
      <c r="E863" s="1" t="s">
        <v>43</v>
      </c>
      <c r="F863" s="74">
        <v>392</v>
      </c>
      <c r="G863" s="28">
        <v>560</v>
      </c>
      <c r="H863" s="74">
        <v>952</v>
      </c>
      <c r="I863" s="4">
        <v>100225</v>
      </c>
      <c r="J863" s="4">
        <v>1184</v>
      </c>
      <c r="K863" s="74">
        <v>1</v>
      </c>
      <c r="L863" s="74">
        <f t="shared" si="124"/>
        <v>93814</v>
      </c>
      <c r="M863" s="74">
        <f t="shared" si="125"/>
        <v>141</v>
      </c>
    </row>
    <row r="864" spans="1:13">
      <c r="A864" s="27">
        <v>46280</v>
      </c>
      <c r="B864" s="76" t="s">
        <v>33</v>
      </c>
      <c r="C864" s="76"/>
      <c r="D864" s="76"/>
      <c r="E864" s="77"/>
      <c r="F864" s="74">
        <v>0</v>
      </c>
      <c r="G864" s="74">
        <v>9</v>
      </c>
      <c r="H864" s="74">
        <v>9</v>
      </c>
      <c r="I864" s="4">
        <v>100234</v>
      </c>
      <c r="J864" s="74">
        <v>0</v>
      </c>
      <c r="K864" s="74">
        <v>0</v>
      </c>
      <c r="L864" s="74">
        <f t="shared" si="124"/>
        <v>93814</v>
      </c>
      <c r="M864" s="74">
        <f t="shared" si="125"/>
        <v>141</v>
      </c>
    </row>
    <row r="865" spans="1:13">
      <c r="A865" s="27">
        <v>46281</v>
      </c>
      <c r="B865" s="76" t="s">
        <v>33</v>
      </c>
      <c r="C865" s="76"/>
      <c r="D865" s="76"/>
      <c r="E865" s="77"/>
      <c r="F865" s="74">
        <v>0</v>
      </c>
      <c r="G865" s="74">
        <v>17</v>
      </c>
      <c r="H865" s="74">
        <v>17</v>
      </c>
      <c r="I865" s="4">
        <v>100251</v>
      </c>
      <c r="J865" s="74">
        <v>0</v>
      </c>
      <c r="K865" s="74">
        <v>0</v>
      </c>
      <c r="L865" s="74">
        <f t="shared" si="124"/>
        <v>93814</v>
      </c>
      <c r="M865" s="74">
        <f t="shared" si="125"/>
        <v>141</v>
      </c>
    </row>
    <row r="866" spans="1:13">
      <c r="A866" s="27">
        <v>46282</v>
      </c>
      <c r="B866" s="1" t="s">
        <v>257</v>
      </c>
      <c r="C866" s="1" t="s">
        <v>134</v>
      </c>
      <c r="D866" s="1" t="s">
        <v>42</v>
      </c>
      <c r="E866" s="1" t="s">
        <v>43</v>
      </c>
      <c r="F866" s="74">
        <v>392</v>
      </c>
      <c r="G866" s="28">
        <v>560</v>
      </c>
      <c r="H866" s="74">
        <v>952</v>
      </c>
      <c r="I866" s="4">
        <v>101203</v>
      </c>
      <c r="J866" s="4">
        <v>1184</v>
      </c>
      <c r="K866" s="74">
        <v>1</v>
      </c>
      <c r="L866" s="74">
        <f t="shared" si="124"/>
        <v>94998</v>
      </c>
      <c r="M866" s="74">
        <f t="shared" si="125"/>
        <v>142</v>
      </c>
    </row>
    <row r="867" spans="1:13">
      <c r="A867" s="27">
        <v>46282</v>
      </c>
      <c r="B867" s="76" t="s">
        <v>49</v>
      </c>
      <c r="C867" s="76"/>
      <c r="D867" s="76"/>
      <c r="E867" s="77"/>
      <c r="F867" s="74">
        <v>0</v>
      </c>
      <c r="G867" s="74">
        <v>1</v>
      </c>
      <c r="H867" s="74">
        <v>1</v>
      </c>
      <c r="I867" s="4">
        <v>101204</v>
      </c>
      <c r="J867" s="74">
        <v>0</v>
      </c>
      <c r="K867" s="74">
        <v>0</v>
      </c>
      <c r="L867" s="74">
        <f t="shared" si="124"/>
        <v>94998</v>
      </c>
      <c r="M867" s="74">
        <f t="shared" si="125"/>
        <v>142</v>
      </c>
    </row>
    <row r="868" spans="1:13">
      <c r="A868" s="27">
        <v>46282</v>
      </c>
      <c r="B868" s="76" t="s">
        <v>33</v>
      </c>
      <c r="C868" s="76"/>
      <c r="D868" s="76"/>
      <c r="E868" s="77"/>
      <c r="F868" s="74">
        <v>0</v>
      </c>
      <c r="G868" s="74">
        <v>8</v>
      </c>
      <c r="H868" s="74">
        <v>8</v>
      </c>
      <c r="I868" s="4">
        <v>101212</v>
      </c>
      <c r="J868" s="74">
        <v>0</v>
      </c>
      <c r="K868" s="74">
        <v>0</v>
      </c>
      <c r="L868" s="74">
        <f t="shared" si="124"/>
        <v>94998</v>
      </c>
      <c r="M868" s="74">
        <f t="shared" si="125"/>
        <v>142</v>
      </c>
    </row>
    <row r="869" spans="1:13">
      <c r="A869" s="27">
        <v>46283</v>
      </c>
      <c r="B869" s="76" t="s">
        <v>33</v>
      </c>
      <c r="C869" s="76"/>
      <c r="D869" s="76"/>
      <c r="E869" s="77"/>
      <c r="F869" s="74">
        <v>0</v>
      </c>
      <c r="G869" s="74">
        <v>7</v>
      </c>
      <c r="H869" s="74">
        <v>7</v>
      </c>
      <c r="I869" s="4">
        <v>101219</v>
      </c>
      <c r="J869" s="74">
        <v>0</v>
      </c>
      <c r="K869" s="74">
        <v>0</v>
      </c>
      <c r="L869" s="74">
        <f t="shared" si="124"/>
        <v>94998</v>
      </c>
      <c r="M869" s="74">
        <f t="shared" si="125"/>
        <v>142</v>
      </c>
    </row>
    <row r="870" spans="1:13">
      <c r="A870" s="27">
        <v>46284</v>
      </c>
      <c r="B870" s="76" t="s">
        <v>33</v>
      </c>
      <c r="C870" s="76"/>
      <c r="D870" s="76"/>
      <c r="E870" s="77"/>
      <c r="F870" s="74">
        <v>0</v>
      </c>
      <c r="G870" s="74">
        <v>10</v>
      </c>
      <c r="H870" s="74">
        <v>10</v>
      </c>
      <c r="I870" s="4">
        <v>101229</v>
      </c>
      <c r="J870" s="74">
        <v>0</v>
      </c>
      <c r="K870" s="74">
        <v>0</v>
      </c>
      <c r="L870" s="74">
        <f t="shared" si="124"/>
        <v>94998</v>
      </c>
      <c r="M870" s="74">
        <f t="shared" si="125"/>
        <v>142</v>
      </c>
    </row>
    <row r="871" spans="1:13">
      <c r="A871" s="29">
        <v>46285</v>
      </c>
      <c r="B871" s="78" t="s">
        <v>33</v>
      </c>
      <c r="C871" s="78"/>
      <c r="D871" s="78"/>
      <c r="E871" s="79"/>
      <c r="F871" s="75">
        <v>0</v>
      </c>
      <c r="G871" s="75">
        <v>30</v>
      </c>
      <c r="H871" s="75">
        <v>30</v>
      </c>
      <c r="I871" s="30">
        <v>101259</v>
      </c>
      <c r="J871" s="75">
        <v>0</v>
      </c>
      <c r="K871" s="75">
        <v>0</v>
      </c>
      <c r="L871" s="74">
        <f t="shared" si="124"/>
        <v>94998</v>
      </c>
      <c r="M871" s="74">
        <f t="shared" si="125"/>
        <v>142</v>
      </c>
    </row>
  </sheetData>
  <autoFilter ref="A1:O523" xr:uid="{2A57836D-5153-486D-8B76-48FAFDDE1EA1}"/>
  <mergeCells count="633">
    <mergeCell ref="B861:E861"/>
    <mergeCell ref="B862:E862"/>
    <mergeCell ref="B864:E864"/>
    <mergeCell ref="B865:E865"/>
    <mergeCell ref="B867:E867"/>
    <mergeCell ref="B868:E868"/>
    <mergeCell ref="B869:E869"/>
    <mergeCell ref="B870:E870"/>
    <mergeCell ref="B871:E871"/>
    <mergeCell ref="B837:E837"/>
    <mergeCell ref="B839:E839"/>
    <mergeCell ref="B840:E840"/>
    <mergeCell ref="B842:E842"/>
    <mergeCell ref="B843:E843"/>
    <mergeCell ref="B844:E844"/>
    <mergeCell ref="B845:E845"/>
    <mergeCell ref="B846:E846"/>
    <mergeCell ref="B847:E847"/>
    <mergeCell ref="B828:E828"/>
    <mergeCell ref="B829:E829"/>
    <mergeCell ref="B830:E830"/>
    <mergeCell ref="B831:E831"/>
    <mergeCell ref="B832:E832"/>
    <mergeCell ref="B833:E833"/>
    <mergeCell ref="B834:E834"/>
    <mergeCell ref="B835:E835"/>
    <mergeCell ref="B836:E836"/>
    <mergeCell ref="B819:E819"/>
    <mergeCell ref="B820:E820"/>
    <mergeCell ref="B821:E821"/>
    <mergeCell ref="B822:E822"/>
    <mergeCell ref="B823:E823"/>
    <mergeCell ref="B824:E824"/>
    <mergeCell ref="B825:E825"/>
    <mergeCell ref="B826:E826"/>
    <mergeCell ref="B827:E827"/>
    <mergeCell ref="B779:E779"/>
    <mergeCell ref="B811:E811"/>
    <mergeCell ref="B812:E812"/>
    <mergeCell ref="B813:E813"/>
    <mergeCell ref="B814:E814"/>
    <mergeCell ref="B815:E815"/>
    <mergeCell ref="B816:E816"/>
    <mergeCell ref="B817:E817"/>
    <mergeCell ref="B818:E818"/>
    <mergeCell ref="B780:E780"/>
    <mergeCell ref="B781:E781"/>
    <mergeCell ref="B782:E782"/>
    <mergeCell ref="B783:E783"/>
    <mergeCell ref="B784:E784"/>
    <mergeCell ref="B786:E786"/>
    <mergeCell ref="B787:E787"/>
    <mergeCell ref="B788:E788"/>
    <mergeCell ref="B794:E794"/>
    <mergeCell ref="B790:E790"/>
    <mergeCell ref="B791:E791"/>
    <mergeCell ref="B792:E792"/>
    <mergeCell ref="B793:E793"/>
    <mergeCell ref="B789:E789"/>
    <mergeCell ref="B804:E804"/>
    <mergeCell ref="B769:E769"/>
    <mergeCell ref="B770:E770"/>
    <mergeCell ref="B771:E771"/>
    <mergeCell ref="B773:E773"/>
    <mergeCell ref="B774:E774"/>
    <mergeCell ref="B775:E775"/>
    <mergeCell ref="B776:E776"/>
    <mergeCell ref="B777:E777"/>
    <mergeCell ref="B778:E778"/>
    <mergeCell ref="B759:E759"/>
    <mergeCell ref="B760:E760"/>
    <mergeCell ref="B761:E761"/>
    <mergeCell ref="B762:E762"/>
    <mergeCell ref="B763:E763"/>
    <mergeCell ref="B765:E765"/>
    <mergeCell ref="B766:E766"/>
    <mergeCell ref="B767:E767"/>
    <mergeCell ref="B768:E768"/>
    <mergeCell ref="B747:E747"/>
    <mergeCell ref="B748:E748"/>
    <mergeCell ref="B736:E736"/>
    <mergeCell ref="B737:E737"/>
    <mergeCell ref="B740:E740"/>
    <mergeCell ref="B741:E741"/>
    <mergeCell ref="B742:E742"/>
    <mergeCell ref="B743:E743"/>
    <mergeCell ref="B744:E744"/>
    <mergeCell ref="B745:E745"/>
    <mergeCell ref="B746:E746"/>
    <mergeCell ref="B651:E651"/>
    <mergeCell ref="B695:E695"/>
    <mergeCell ref="B696:E696"/>
    <mergeCell ref="B697:E697"/>
    <mergeCell ref="B698:E698"/>
    <mergeCell ref="B699:E699"/>
    <mergeCell ref="B701:E701"/>
    <mergeCell ref="B657:E657"/>
    <mergeCell ref="B658:E658"/>
    <mergeCell ref="B659:E659"/>
    <mergeCell ref="B660:E660"/>
    <mergeCell ref="B667:E667"/>
    <mergeCell ref="B668:E668"/>
    <mergeCell ref="B669:E669"/>
    <mergeCell ref="B670:E670"/>
    <mergeCell ref="B671:E671"/>
    <mergeCell ref="B672:E672"/>
    <mergeCell ref="B673:E673"/>
    <mergeCell ref="B674:E674"/>
    <mergeCell ref="B675:E675"/>
    <mergeCell ref="B687:E687"/>
    <mergeCell ref="B688:E688"/>
    <mergeCell ref="B691:E691"/>
    <mergeCell ref="B692:E692"/>
    <mergeCell ref="B601:E601"/>
    <mergeCell ref="B602:E602"/>
    <mergeCell ref="B603:E603"/>
    <mergeCell ref="B604:E604"/>
    <mergeCell ref="B620:E620"/>
    <mergeCell ref="B626:E626"/>
    <mergeCell ref="B653:E653"/>
    <mergeCell ref="B654:E654"/>
    <mergeCell ref="B655:E655"/>
    <mergeCell ref="B636:E636"/>
    <mergeCell ref="B637:E637"/>
    <mergeCell ref="B638:E638"/>
    <mergeCell ref="B639:E639"/>
    <mergeCell ref="B640:E640"/>
    <mergeCell ref="B641:E641"/>
    <mergeCell ref="B652:E652"/>
    <mergeCell ref="B642:E642"/>
    <mergeCell ref="B643:E643"/>
    <mergeCell ref="B644:E644"/>
    <mergeCell ref="B645:E645"/>
    <mergeCell ref="B646:E646"/>
    <mergeCell ref="B648:E648"/>
    <mergeCell ref="B649:E649"/>
    <mergeCell ref="B650:E650"/>
    <mergeCell ref="B551:E551"/>
    <mergeCell ref="B552:E552"/>
    <mergeCell ref="B553:E553"/>
    <mergeCell ref="B557:E557"/>
    <mergeCell ref="B561:E561"/>
    <mergeCell ref="B562:E562"/>
    <mergeCell ref="B563:E563"/>
    <mergeCell ref="B606:E606"/>
    <mergeCell ref="B599:E599"/>
    <mergeCell ref="B595:E595"/>
    <mergeCell ref="B596:E596"/>
    <mergeCell ref="B597:E597"/>
    <mergeCell ref="B598:E598"/>
    <mergeCell ref="B558:E558"/>
    <mergeCell ref="B559:E559"/>
    <mergeCell ref="B556:E556"/>
    <mergeCell ref="B605:E605"/>
    <mergeCell ref="B567:E567"/>
    <mergeCell ref="B564:E564"/>
    <mergeCell ref="B565:E565"/>
    <mergeCell ref="B566:E566"/>
    <mergeCell ref="B575:E575"/>
    <mergeCell ref="B577:E577"/>
    <mergeCell ref="B579:E579"/>
    <mergeCell ref="B528:E528"/>
    <mergeCell ref="B529:E529"/>
    <mergeCell ref="B530:E530"/>
    <mergeCell ref="B531:E531"/>
    <mergeCell ref="B532:E532"/>
    <mergeCell ref="B367:E367"/>
    <mergeCell ref="B370:E370"/>
    <mergeCell ref="B506:E506"/>
    <mergeCell ref="B507:E507"/>
    <mergeCell ref="B508:E508"/>
    <mergeCell ref="B509:E509"/>
    <mergeCell ref="B510:E510"/>
    <mergeCell ref="B371:E371"/>
    <mergeCell ref="B410:E410"/>
    <mergeCell ref="B408:E408"/>
    <mergeCell ref="B374:E374"/>
    <mergeCell ref="B436:E436"/>
    <mergeCell ref="B449:E449"/>
    <mergeCell ref="B459:E459"/>
    <mergeCell ref="B460:E460"/>
    <mergeCell ref="B461:E461"/>
    <mergeCell ref="B465:E465"/>
    <mergeCell ref="B478:E478"/>
    <mergeCell ref="B479:E479"/>
    <mergeCell ref="B375:E375"/>
    <mergeCell ref="B376:E376"/>
    <mergeCell ref="B319:E319"/>
    <mergeCell ref="B303:E303"/>
    <mergeCell ref="B304:E304"/>
    <mergeCell ref="B306:E306"/>
    <mergeCell ref="B307:E307"/>
    <mergeCell ref="B308:E308"/>
    <mergeCell ref="B309:E309"/>
    <mergeCell ref="B311:E311"/>
    <mergeCell ref="B312:E312"/>
    <mergeCell ref="B313:E313"/>
    <mergeCell ref="B314:E314"/>
    <mergeCell ref="B315:E315"/>
    <mergeCell ref="B316:E316"/>
    <mergeCell ref="B317:E317"/>
    <mergeCell ref="B318:E318"/>
    <mergeCell ref="B325:E325"/>
    <mergeCell ref="B329:E329"/>
    <mergeCell ref="B333:E333"/>
    <mergeCell ref="B342:E342"/>
    <mergeCell ref="B347:E347"/>
    <mergeCell ref="B361:E361"/>
    <mergeCell ref="B368:E368"/>
    <mergeCell ref="B369:E369"/>
    <mergeCell ref="B320:E320"/>
    <mergeCell ref="B321:E321"/>
    <mergeCell ref="B322:E322"/>
    <mergeCell ref="B323:E323"/>
    <mergeCell ref="B324:E324"/>
    <mergeCell ref="B360:E360"/>
    <mergeCell ref="B362:E362"/>
    <mergeCell ref="B364:E364"/>
    <mergeCell ref="B365:E365"/>
    <mergeCell ref="B327:E327"/>
    <mergeCell ref="B328:E328"/>
    <mergeCell ref="B332:E332"/>
    <mergeCell ref="B356:E356"/>
    <mergeCell ref="B357:E357"/>
    <mergeCell ref="B358:E358"/>
    <mergeCell ref="B359:E359"/>
    <mergeCell ref="B293:E293"/>
    <mergeCell ref="B294:E294"/>
    <mergeCell ref="B295:E295"/>
    <mergeCell ref="B296:E296"/>
    <mergeCell ref="B297:E297"/>
    <mergeCell ref="B299:E299"/>
    <mergeCell ref="B300:E300"/>
    <mergeCell ref="B301:E301"/>
    <mergeCell ref="B302:E302"/>
    <mergeCell ref="B172:E172"/>
    <mergeCell ref="B174:E174"/>
    <mergeCell ref="B175:E175"/>
    <mergeCell ref="B176:E176"/>
    <mergeCell ref="B178:E178"/>
    <mergeCell ref="B179:E179"/>
    <mergeCell ref="B187:E187"/>
    <mergeCell ref="B188:E188"/>
    <mergeCell ref="B217:E217"/>
    <mergeCell ref="B207:E207"/>
    <mergeCell ref="B209:E209"/>
    <mergeCell ref="B210:E210"/>
    <mergeCell ref="B212:E212"/>
    <mergeCell ref="B214:E214"/>
    <mergeCell ref="B215:E215"/>
    <mergeCell ref="B216:E216"/>
    <mergeCell ref="B189:E189"/>
    <mergeCell ref="B190:E190"/>
    <mergeCell ref="B191:E191"/>
    <mergeCell ref="B193:E193"/>
    <mergeCell ref="B194:E194"/>
    <mergeCell ref="B195:E195"/>
    <mergeCell ref="B196:E196"/>
    <mergeCell ref="B197:E197"/>
    <mergeCell ref="B147:E147"/>
    <mergeCell ref="B148:E148"/>
    <mergeCell ref="B149:E149"/>
    <mergeCell ref="B157:E157"/>
    <mergeCell ref="B167:E167"/>
    <mergeCell ref="B168:E168"/>
    <mergeCell ref="B169:E169"/>
    <mergeCell ref="B170:E170"/>
    <mergeCell ref="B171:E171"/>
    <mergeCell ref="B146:E146"/>
    <mergeCell ref="B112:E112"/>
    <mergeCell ref="B120:E120"/>
    <mergeCell ref="B121:E121"/>
    <mergeCell ref="B114:E114"/>
    <mergeCell ref="B115:E115"/>
    <mergeCell ref="B117:E117"/>
    <mergeCell ref="B118:E118"/>
    <mergeCell ref="B119:E119"/>
    <mergeCell ref="B127:E127"/>
    <mergeCell ref="B142:E142"/>
    <mergeCell ref="B143:E143"/>
    <mergeCell ref="B144:E144"/>
    <mergeCell ref="B137:E137"/>
    <mergeCell ref="B138:E138"/>
    <mergeCell ref="B139:E139"/>
    <mergeCell ref="B140:E140"/>
    <mergeCell ref="B141:E141"/>
    <mergeCell ref="B128:E128"/>
    <mergeCell ref="B129:E129"/>
    <mergeCell ref="B130:E130"/>
    <mergeCell ref="B131:E131"/>
    <mergeCell ref="B132:E132"/>
    <mergeCell ref="B134:E134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45:E145"/>
    <mergeCell ref="B135:E135"/>
    <mergeCell ref="B122:E122"/>
    <mergeCell ref="B123:E123"/>
    <mergeCell ref="B124:E124"/>
    <mergeCell ref="B125:E125"/>
    <mergeCell ref="B126:E126"/>
    <mergeCell ref="B72:E72"/>
    <mergeCell ref="B74:E74"/>
    <mergeCell ref="B76:E76"/>
    <mergeCell ref="B77:E77"/>
    <mergeCell ref="B66:E66"/>
    <mergeCell ref="B67:E67"/>
    <mergeCell ref="B68:E68"/>
    <mergeCell ref="B69:E69"/>
    <mergeCell ref="B70:E70"/>
    <mergeCell ref="B78:E78"/>
    <mergeCell ref="B40:E40"/>
    <mergeCell ref="B41:E41"/>
    <mergeCell ref="B42:E42"/>
    <mergeCell ref="B43:E43"/>
    <mergeCell ref="B44:E44"/>
    <mergeCell ref="B29:E29"/>
    <mergeCell ref="B30:E30"/>
    <mergeCell ref="B31:E31"/>
    <mergeCell ref="B32:E32"/>
    <mergeCell ref="B33:E33"/>
    <mergeCell ref="B34:E34"/>
    <mergeCell ref="B60:E60"/>
    <mergeCell ref="B38:E38"/>
    <mergeCell ref="B49:E49"/>
    <mergeCell ref="B50:E50"/>
    <mergeCell ref="B51:E51"/>
    <mergeCell ref="B52:E52"/>
    <mergeCell ref="B47:E47"/>
    <mergeCell ref="B48:E48"/>
    <mergeCell ref="B45:E45"/>
    <mergeCell ref="B46:E46"/>
    <mergeCell ref="B39:E39"/>
    <mergeCell ref="B71:E71"/>
    <mergeCell ref="B103:E103"/>
    <mergeCell ref="B84:E84"/>
    <mergeCell ref="B85:E85"/>
    <mergeCell ref="B86:E86"/>
    <mergeCell ref="B87:E87"/>
    <mergeCell ref="B88:E88"/>
    <mergeCell ref="B10:E10"/>
    <mergeCell ref="B35:E35"/>
    <mergeCell ref="B36:E36"/>
    <mergeCell ref="B37:E37"/>
    <mergeCell ref="B53:E53"/>
    <mergeCell ref="B61:E61"/>
    <mergeCell ref="B62:E62"/>
    <mergeCell ref="B63:E63"/>
    <mergeCell ref="B65:E65"/>
    <mergeCell ref="B54:E54"/>
    <mergeCell ref="B55:E55"/>
    <mergeCell ref="B57:E57"/>
    <mergeCell ref="B58:E58"/>
    <mergeCell ref="B59:E59"/>
    <mergeCell ref="B81:E81"/>
    <mergeCell ref="B82:E82"/>
    <mergeCell ref="B83:E83"/>
    <mergeCell ref="B101:E101"/>
    <mergeCell ref="B102:E102"/>
    <mergeCell ref="B94:E94"/>
    <mergeCell ref="B95:E95"/>
    <mergeCell ref="B96:E96"/>
    <mergeCell ref="B98:E98"/>
    <mergeCell ref="B100:E100"/>
    <mergeCell ref="B89:E89"/>
    <mergeCell ref="B90:E90"/>
    <mergeCell ref="B91:E91"/>
    <mergeCell ref="B92:E92"/>
    <mergeCell ref="B93:E93"/>
    <mergeCell ref="B198:E198"/>
    <mergeCell ref="B201:E201"/>
    <mergeCell ref="B202:E202"/>
    <mergeCell ref="B203:E203"/>
    <mergeCell ref="B204:E204"/>
    <mergeCell ref="B205:E205"/>
    <mergeCell ref="B206:E206"/>
    <mergeCell ref="B224:E224"/>
    <mergeCell ref="B225:E225"/>
    <mergeCell ref="B226:E226"/>
    <mergeCell ref="B227:E227"/>
    <mergeCell ref="B228:E228"/>
    <mergeCell ref="B218:E218"/>
    <mergeCell ref="B219:E219"/>
    <mergeCell ref="B220:E220"/>
    <mergeCell ref="B221:E221"/>
    <mergeCell ref="B222:E222"/>
    <mergeCell ref="B223:E223"/>
    <mergeCell ref="B260:E260"/>
    <mergeCell ref="B261:E261"/>
    <mergeCell ref="B241:E241"/>
    <mergeCell ref="B242:E242"/>
    <mergeCell ref="B245:E245"/>
    <mergeCell ref="B247:E247"/>
    <mergeCell ref="B248:E248"/>
    <mergeCell ref="B229:E229"/>
    <mergeCell ref="B230:E230"/>
    <mergeCell ref="B231:E231"/>
    <mergeCell ref="B232:E232"/>
    <mergeCell ref="B233:E233"/>
    <mergeCell ref="B234:E234"/>
    <mergeCell ref="B235:E235"/>
    <mergeCell ref="B236:E236"/>
    <mergeCell ref="B237:E237"/>
    <mergeCell ref="B238:E238"/>
    <mergeCell ref="B239:E239"/>
    <mergeCell ref="B240:E240"/>
    <mergeCell ref="B250:E250"/>
    <mergeCell ref="B251:E251"/>
    <mergeCell ref="B253:E253"/>
    <mergeCell ref="B255:E255"/>
    <mergeCell ref="B257:E257"/>
    <mergeCell ref="B259:E259"/>
    <mergeCell ref="B412:E412"/>
    <mergeCell ref="B419:E419"/>
    <mergeCell ref="B425:E425"/>
    <mergeCell ref="B452:E452"/>
    <mergeCell ref="B262:E262"/>
    <mergeCell ref="B264:E264"/>
    <mergeCell ref="B266:E266"/>
    <mergeCell ref="B276:E276"/>
    <mergeCell ref="B277:E277"/>
    <mergeCell ref="B278:E278"/>
    <mergeCell ref="B279:E279"/>
    <mergeCell ref="B280:E280"/>
    <mergeCell ref="B281:E281"/>
    <mergeCell ref="B282:E282"/>
    <mergeCell ref="B283:E283"/>
    <mergeCell ref="B284:E284"/>
    <mergeCell ref="B285:E285"/>
    <mergeCell ref="B286:E286"/>
    <mergeCell ref="B287:E287"/>
    <mergeCell ref="B288:E288"/>
    <mergeCell ref="B289:E289"/>
    <mergeCell ref="B290:E290"/>
    <mergeCell ref="B291:E291"/>
    <mergeCell ref="B292:E292"/>
    <mergeCell ref="B458:E458"/>
    <mergeCell ref="B466:E466"/>
    <mergeCell ref="B467:E467"/>
    <mergeCell ref="B468:E468"/>
    <mergeCell ref="B426:E426"/>
    <mergeCell ref="B438:E438"/>
    <mergeCell ref="B439:E439"/>
    <mergeCell ref="B453:E453"/>
    <mergeCell ref="B454:E454"/>
    <mergeCell ref="B455:E455"/>
    <mergeCell ref="B456:E456"/>
    <mergeCell ref="B457:E457"/>
    <mergeCell ref="B442:E442"/>
    <mergeCell ref="B450:E450"/>
    <mergeCell ref="B451:E451"/>
    <mergeCell ref="B387:E387"/>
    <mergeCell ref="B389:E389"/>
    <mergeCell ref="B390:E390"/>
    <mergeCell ref="B392:E392"/>
    <mergeCell ref="B403:E403"/>
    <mergeCell ref="B404:E404"/>
    <mergeCell ref="B406:E406"/>
    <mergeCell ref="B409:E409"/>
    <mergeCell ref="B377:E377"/>
    <mergeCell ref="B378:E378"/>
    <mergeCell ref="B379:E379"/>
    <mergeCell ref="B388:E388"/>
    <mergeCell ref="B395:E395"/>
    <mergeCell ref="B400:E400"/>
    <mergeCell ref="B402:E402"/>
    <mergeCell ref="B393:E393"/>
    <mergeCell ref="B396:E396"/>
    <mergeCell ref="B398:E398"/>
    <mergeCell ref="B399:E399"/>
    <mergeCell ref="B401:E401"/>
    <mergeCell ref="B386:E386"/>
    <mergeCell ref="B505:E505"/>
    <mergeCell ref="B480:E480"/>
    <mergeCell ref="B469:E469"/>
    <mergeCell ref="B481:E481"/>
    <mergeCell ref="B490:E490"/>
    <mergeCell ref="B491:E491"/>
    <mergeCell ref="B492:E492"/>
    <mergeCell ref="B493:E493"/>
    <mergeCell ref="B494:E494"/>
    <mergeCell ref="B498:E498"/>
    <mergeCell ref="B499:E499"/>
    <mergeCell ref="B500:E500"/>
    <mergeCell ref="B501:E501"/>
    <mergeCell ref="B502:E502"/>
    <mergeCell ref="B503:E503"/>
    <mergeCell ref="B504:E504"/>
    <mergeCell ref="B482:E482"/>
    <mergeCell ref="B495:E495"/>
    <mergeCell ref="B511:E511"/>
    <mergeCell ref="B512:E512"/>
    <mergeCell ref="B513:E513"/>
    <mergeCell ref="B514:E514"/>
    <mergeCell ref="B515:E515"/>
    <mergeCell ref="B535:E535"/>
    <mergeCell ref="B537:E537"/>
    <mergeCell ref="B555:E555"/>
    <mergeCell ref="B560:E560"/>
    <mergeCell ref="B548:E548"/>
    <mergeCell ref="B549:E549"/>
    <mergeCell ref="B546:E546"/>
    <mergeCell ref="B547:E547"/>
    <mergeCell ref="B533:E533"/>
    <mergeCell ref="B534:E534"/>
    <mergeCell ref="B536:E536"/>
    <mergeCell ref="B538:E538"/>
    <mergeCell ref="B539:E539"/>
    <mergeCell ref="B540:E540"/>
    <mergeCell ref="B541:E541"/>
    <mergeCell ref="B543:E543"/>
    <mergeCell ref="B544:E544"/>
    <mergeCell ref="B526:E526"/>
    <mergeCell ref="B527:E527"/>
    <mergeCell ref="B569:E569"/>
    <mergeCell ref="B570:E570"/>
    <mergeCell ref="B571:E571"/>
    <mergeCell ref="B572:E572"/>
    <mergeCell ref="B573:E573"/>
    <mergeCell ref="B576:E576"/>
    <mergeCell ref="B578:E578"/>
    <mergeCell ref="B591:E591"/>
    <mergeCell ref="B592:E592"/>
    <mergeCell ref="B580:E580"/>
    <mergeCell ref="B589:E589"/>
    <mergeCell ref="B594:E594"/>
    <mergeCell ref="B627:E627"/>
    <mergeCell ref="B647:E647"/>
    <mergeCell ref="B661:E661"/>
    <mergeCell ref="B662:E662"/>
    <mergeCell ref="B663:E663"/>
    <mergeCell ref="B664:E664"/>
    <mergeCell ref="B665:E665"/>
    <mergeCell ref="B666:E666"/>
    <mergeCell ref="B633:E633"/>
    <mergeCell ref="B634:E634"/>
    <mergeCell ref="B635:E635"/>
    <mergeCell ref="B611:E611"/>
    <mergeCell ref="B628:E628"/>
    <mergeCell ref="B629:E629"/>
    <mergeCell ref="B630:E630"/>
    <mergeCell ref="B631:E631"/>
    <mergeCell ref="B632:E632"/>
    <mergeCell ref="B621:E621"/>
    <mergeCell ref="B622:E622"/>
    <mergeCell ref="B623:E623"/>
    <mergeCell ref="B624:E624"/>
    <mergeCell ref="B625:E625"/>
    <mergeCell ref="B600:E600"/>
    <mergeCell ref="B677:E677"/>
    <mergeCell ref="B678:E678"/>
    <mergeCell ref="B680:E680"/>
    <mergeCell ref="B681:E681"/>
    <mergeCell ref="B682:E682"/>
    <mergeCell ref="B683:E683"/>
    <mergeCell ref="B684:E684"/>
    <mergeCell ref="B685:E685"/>
    <mergeCell ref="B686:E686"/>
    <mergeCell ref="B703:E703"/>
    <mergeCell ref="B706:E706"/>
    <mergeCell ref="B707:E707"/>
    <mergeCell ref="B708:E708"/>
    <mergeCell ref="B709:E709"/>
    <mergeCell ref="B710:E710"/>
    <mergeCell ref="B711:E711"/>
    <mergeCell ref="B712:E712"/>
    <mergeCell ref="B693:E693"/>
    <mergeCell ref="B704:E704"/>
    <mergeCell ref="B713:E713"/>
    <mergeCell ref="B714:E714"/>
    <mergeCell ref="B715:E715"/>
    <mergeCell ref="B716:E716"/>
    <mergeCell ref="B717:E717"/>
    <mergeCell ref="B718:E718"/>
    <mergeCell ref="B719:E719"/>
    <mergeCell ref="B720:E720"/>
    <mergeCell ref="B721:E721"/>
    <mergeCell ref="B734:E734"/>
    <mergeCell ref="B735:E735"/>
    <mergeCell ref="B727:E727"/>
    <mergeCell ref="B728:E728"/>
    <mergeCell ref="B730:E730"/>
    <mergeCell ref="B731:E731"/>
    <mergeCell ref="B732:E732"/>
    <mergeCell ref="B733:E733"/>
    <mergeCell ref="B722:E722"/>
    <mergeCell ref="B723:E723"/>
    <mergeCell ref="B724:E724"/>
    <mergeCell ref="B725:E725"/>
    <mergeCell ref="B726:E726"/>
    <mergeCell ref="B749:E749"/>
    <mergeCell ref="B750:E750"/>
    <mergeCell ref="B751:E751"/>
    <mergeCell ref="B752:E752"/>
    <mergeCell ref="B753:E753"/>
    <mergeCell ref="B754:E754"/>
    <mergeCell ref="B755:E755"/>
    <mergeCell ref="B756:E756"/>
    <mergeCell ref="B757:E757"/>
    <mergeCell ref="B805:E805"/>
    <mergeCell ref="B806:E806"/>
    <mergeCell ref="B807:E807"/>
    <mergeCell ref="B808:E808"/>
    <mergeCell ref="B809:E809"/>
    <mergeCell ref="B810:E810"/>
    <mergeCell ref="B795:E795"/>
    <mergeCell ref="B796:E796"/>
    <mergeCell ref="B797:E797"/>
    <mergeCell ref="B798:E798"/>
    <mergeCell ref="B799:E799"/>
    <mergeCell ref="B800:E800"/>
    <mergeCell ref="B801:E801"/>
    <mergeCell ref="B802:E802"/>
    <mergeCell ref="B803:E803"/>
    <mergeCell ref="B857:E857"/>
    <mergeCell ref="B858:E858"/>
    <mergeCell ref="B859:E859"/>
    <mergeCell ref="B860:E860"/>
    <mergeCell ref="B848:E848"/>
    <mergeCell ref="B849:E849"/>
    <mergeCell ref="B850:E850"/>
    <mergeCell ref="B851:E851"/>
    <mergeCell ref="B852:E852"/>
    <mergeCell ref="B853:E853"/>
    <mergeCell ref="B854:E854"/>
    <mergeCell ref="B855:E855"/>
    <mergeCell ref="B856:E856"/>
  </mergeCells>
  <hyperlinks>
    <hyperlink ref="G56" r:id="rId1" display="106" xr:uid="{91711D96-DEE6-4487-B096-595B3971FA7B}"/>
    <hyperlink ref="G64" r:id="rId2" display="106" xr:uid="{8CA565ED-0165-48C7-8BAE-3121CEB5A7F5}"/>
    <hyperlink ref="G73" r:id="rId3" display="40" xr:uid="{AECEEDB4-81AE-4ADA-81BA-00CA7581EB0D}"/>
    <hyperlink ref="G75" r:id="rId4" display="40" xr:uid="{19A80D7D-AE10-43E9-BDDD-5188668121C3}"/>
    <hyperlink ref="G79" r:id="rId5" display="77" xr:uid="{4A351DE3-C4CA-4AD9-A752-D39ADDBBC2F2}"/>
    <hyperlink ref="G80" r:id="rId6" display="77" xr:uid="{5DF3388F-CED7-4CA3-A15C-E54C6D65C046}"/>
    <hyperlink ref="G97" r:id="rId7" display="147" xr:uid="{B62C7FFB-ADCA-42C6-8629-D34744194B7C}"/>
    <hyperlink ref="G99" r:id="rId8" display="147" xr:uid="{2F86217E-A052-44CC-B504-E706D2FCA098}"/>
    <hyperlink ref="G113" r:id="rId9" display="206" xr:uid="{4C427091-B276-432D-B8A9-C411A7B7408F}"/>
    <hyperlink ref="G116" r:id="rId10" display="206" xr:uid="{3197CE0D-F3FE-4C17-889E-66CC4A0EFFC1}"/>
    <hyperlink ref="G133" r:id="rId11" display="206" xr:uid="{8E2FFB28-4372-4988-9BB4-6ED14EA26290}"/>
    <hyperlink ref="G136" r:id="rId12" display="206" xr:uid="{E2DDC3E7-3ACA-4D37-B93D-40EDE52ABB00}"/>
    <hyperlink ref="G150" r:id="rId13" display="151" xr:uid="{4FAE6D5F-10F7-43CA-ADB8-295607AA184A}"/>
    <hyperlink ref="G151" r:id="rId14" display="151" xr:uid="{9345CA52-7FFF-4C87-9AF3-48CE8BEAFE9F}"/>
    <hyperlink ref="G152" r:id="rId15" display="75" xr:uid="{778822BC-4363-45F6-ABB5-745B72E79E17}"/>
    <hyperlink ref="G153" r:id="rId16" display="75" xr:uid="{B380A19E-DA49-4B1D-9B0D-9672E167DF4E}"/>
    <hyperlink ref="G154" r:id="rId17" display="96" xr:uid="{BBA2E5DA-D3D5-4FE9-A8A4-FA086A02FC91}"/>
    <hyperlink ref="G155" r:id="rId18" display="96" xr:uid="{B140135B-01CA-414A-B749-EFB31E457C03}"/>
    <hyperlink ref="G156" r:id="rId19" display="156" xr:uid="{6835806D-5037-460B-A5A9-F1A1932304D3}"/>
    <hyperlink ref="G158" r:id="rId20" display="57" xr:uid="{E103B7B1-B8DA-4720-9C86-E989834BCE94}"/>
    <hyperlink ref="G159" r:id="rId21" display="57" xr:uid="{6DF4FDA7-D090-4A8B-8396-2ABDBC6F5A90}"/>
    <hyperlink ref="G160" r:id="rId22" display="64" xr:uid="{ECD95636-D13A-4F60-A420-0A87EEA93FBD}"/>
    <hyperlink ref="G161" r:id="rId23" display="65" xr:uid="{11B4BCF2-3873-439E-AA29-EBDCD5E32CEA}"/>
    <hyperlink ref="G162" r:id="rId24" display="65" xr:uid="{9F309762-3D3D-40BC-9B2E-4BFE73479742}"/>
    <hyperlink ref="G163" r:id="rId25" display="96" xr:uid="{6444E571-EA34-4409-BF1A-0619A15BD78A}"/>
    <hyperlink ref="G164" r:id="rId26" display="83" xr:uid="{7F18512C-C205-466C-AC76-D7A84D0AE93B}"/>
    <hyperlink ref="G165" r:id="rId27" display="151" xr:uid="{46DFA96C-83AE-411D-8BC9-330737121FF8}"/>
    <hyperlink ref="G166" r:id="rId28" display="151" xr:uid="{8232C7F6-CF7F-429F-9004-C2B66EA6552F}"/>
    <hyperlink ref="G173" r:id="rId29" display="264" xr:uid="{C8516692-06E0-4CFE-98D1-283E91BE32E4}"/>
    <hyperlink ref="G177" r:id="rId30" display="284" xr:uid="{0F16AB5C-158F-460E-B0DF-E0DA6075F322}"/>
    <hyperlink ref="G180" r:id="rId31" display="80" xr:uid="{4D9C7131-99CC-4394-9D71-AB1814B20E48}"/>
    <hyperlink ref="G181" r:id="rId32" display="83" xr:uid="{66A41897-4932-4E6C-B0BF-D75066401D29}"/>
    <hyperlink ref="G182" r:id="rId33" display="83" xr:uid="{97F15A5B-EC62-445C-BD2C-0BAE2E037557}"/>
    <hyperlink ref="G183" r:id="rId34" display="152" xr:uid="{EAEB4C72-13F1-4B90-8CC7-4EC1ACCEAB99}"/>
    <hyperlink ref="G184" r:id="rId35" display="123" xr:uid="{61AE1761-FD5C-4777-B75D-32EFFA8B5F5A}"/>
    <hyperlink ref="G185" r:id="rId36" display="272" xr:uid="{4717CB2F-E31C-48C7-8600-C8588E4D0222}"/>
    <hyperlink ref="G186" r:id="rId37" display="456" xr:uid="{02A5B28A-5FB2-4F8F-A53A-E5DB5CF9600F}"/>
    <hyperlink ref="G192" r:id="rId38" display="705" xr:uid="{FEBF7082-D92F-4349-B6EE-ED9B83BA2F0B}"/>
    <hyperlink ref="G208" r:id="rId39" display="373" xr:uid="{4D819A5F-5EB0-463A-BF72-242D70FE1D2E}"/>
    <hyperlink ref="G211" r:id="rId40" display="188" xr:uid="{0E7DD8CA-CC68-4E39-A028-BD307505BD49}"/>
    <hyperlink ref="G213" r:id="rId41" display="705" xr:uid="{A1A00FD2-02D2-47DC-8BFB-80A72099129E}"/>
    <hyperlink ref="G246" r:id="rId42" display="528" xr:uid="{EA8CA386-5D7A-4A49-8767-F139351B75CA}"/>
    <hyperlink ref="G249" r:id="rId43" display="528" xr:uid="{369416B9-B0EA-436E-A3C3-2E5C2407053C}"/>
    <hyperlink ref="G252" r:id="rId44" display="496" xr:uid="{EE96E9C8-1E5C-4ABB-B40C-FC9CFBD3BD23}"/>
    <hyperlink ref="G254" r:id="rId45" display="705" xr:uid="{70598C68-EB1D-4F8F-BDAF-7E7A6820BF7F}"/>
    <hyperlink ref="G256" r:id="rId46" display="294" xr:uid="{CDDFDA60-7962-4673-9FE1-51F396296C13}"/>
    <hyperlink ref="G258" r:id="rId47" display="294" xr:uid="{9A06B80B-898B-43C7-A16A-5ED9627DDA43}"/>
    <hyperlink ref="G263" r:id="rId48" display="496" xr:uid="{AC6BC4D2-41E3-4067-8923-87A526EF4328}"/>
    <hyperlink ref="G265" r:id="rId49" display="496" xr:uid="{5360CEB3-D648-4928-B61B-72692948EF8E}"/>
    <hyperlink ref="G267" r:id="rId50" display="21" xr:uid="{DF2FD9CD-4D1E-4039-8FEE-CF782B2BE101}"/>
    <hyperlink ref="G268" r:id="rId51" display="21" xr:uid="{1F9224C0-C5CB-445A-A1DF-FB66C8E4DFF6}"/>
    <hyperlink ref="G269" r:id="rId52" display="96" xr:uid="{D98C62A7-C627-489F-BEBF-95BF99EDED33}"/>
    <hyperlink ref="G270" r:id="rId53" display="32" xr:uid="{9CEAF3E6-54B0-4ED3-B31B-432ABCA970C4}"/>
    <hyperlink ref="G271" r:id="rId54" display="38" xr:uid="{6E2F5870-3BB0-4908-93E5-65CC2510CB40}"/>
    <hyperlink ref="G272" r:id="rId55" display="130" xr:uid="{60065F0A-ED39-424C-9885-56CDECCAF388}"/>
    <hyperlink ref="G273" r:id="rId56" display="93" xr:uid="{D68651ED-DEE1-4FB0-B90E-1B555289FE16}"/>
    <hyperlink ref="G274" r:id="rId57" display="517" xr:uid="{B14D4EE0-CD4D-448A-B24D-E9C4B05478D9}"/>
    <hyperlink ref="G275" r:id="rId58" display="517" xr:uid="{C54620FA-4D5F-4A6D-B5A7-A226D2CADD89}"/>
    <hyperlink ref="G298" r:id="rId59" display="825" xr:uid="{83506C4A-1CEC-4EE8-9A7A-A32424795B09}"/>
    <hyperlink ref="G305" r:id="rId60" display="496" xr:uid="{CE1EC726-F747-4176-9FAA-CCC924835C53}"/>
    <hyperlink ref="G310" r:id="rId61" display="496" xr:uid="{612BA483-DA23-4BD4-A82A-D474FD75E4A1}"/>
    <hyperlink ref="G326" r:id="rId62" display="462" xr:uid="{C4289669-1E43-494F-BF5A-62E9D2B603E5}"/>
    <hyperlink ref="G330" r:id="rId63" display="298" xr:uid="{C46070B0-88AE-4EFC-81C2-898C59E83272}"/>
    <hyperlink ref="G331" r:id="rId64" display="462" xr:uid="{D4C32E10-C9B0-4394-ABB3-FFA32694F65F}"/>
    <hyperlink ref="G334" r:id="rId65" display="130" xr:uid="{559FEB4F-F102-4A6D-B677-8C3860B7D34F}"/>
    <hyperlink ref="G335" r:id="rId66" display="130" xr:uid="{58E5F4D5-E952-4BA6-B2D0-C1B3BA2BEA26}"/>
    <hyperlink ref="G336" r:id="rId67" display="190" xr:uid="{A1A29D67-4DB6-4348-9902-66855B86A9E8}"/>
    <hyperlink ref="G337" r:id="rId68" display="93" xr:uid="{48FDF536-86D9-461F-BBDF-D7EE16262714}"/>
    <hyperlink ref="G338" r:id="rId69" display="32" xr:uid="{B7CE1A77-7E18-4F92-9A06-8A94AD718EAE}"/>
    <hyperlink ref="G339" r:id="rId70" display="32" xr:uid="{3861F53C-9389-4106-82F1-37968ED1C02F}"/>
    <hyperlink ref="G340" r:id="rId71" display="282" xr:uid="{D6F204B6-84CC-4C8D-A52F-807F5F896D5E}"/>
    <hyperlink ref="G341" r:id="rId72" display="826" xr:uid="{48BCBDBC-50BD-4A82-A3A0-DA120B7ED4AE}"/>
    <hyperlink ref="G343" r:id="rId73" display="66" xr:uid="{945584BD-5832-4705-A7E2-F835A3F9C204}"/>
    <hyperlink ref="G344" r:id="rId74" display="66" xr:uid="{477F692F-B6AA-49B3-A0AE-5990DB86B904}"/>
    <hyperlink ref="G345" r:id="rId75" display="153" xr:uid="{26ED98EB-2CB6-47F7-A4D3-6B31A256B4E5}"/>
    <hyperlink ref="G346" r:id="rId76" display="153" xr:uid="{6C55AD43-7C88-4A01-99BD-400493B3893A}"/>
    <hyperlink ref="G348" r:id="rId77" display="32" xr:uid="{D21B822A-147C-44E9-BE1B-58EA26AF4436}"/>
    <hyperlink ref="G349" r:id="rId78" display="96" xr:uid="{FAD729DC-6C7C-4A8B-9830-A275B42EC912}"/>
    <hyperlink ref="G350" r:id="rId79" display="39" xr:uid="{32A47E53-8EF6-4082-9680-FB9303FB1B40}"/>
    <hyperlink ref="G351" r:id="rId80" display="39" xr:uid="{D61CB7F7-8D85-41E3-8B24-83ECCC192690}"/>
    <hyperlink ref="G352" r:id="rId81" display="130" xr:uid="{9E985B64-F7B2-4FEE-A515-0AC3FF571BAE}"/>
    <hyperlink ref="G353" r:id="rId82" display="130" xr:uid="{F6BC97B1-B20A-4594-8F58-62C2EE217FA9}"/>
    <hyperlink ref="G354" r:id="rId83" display="282" xr:uid="{BE497ADF-FFE4-46EE-A213-F34C80B868FD}"/>
    <hyperlink ref="G355" r:id="rId84" display="517" xr:uid="{DB903A9C-04AF-4340-B10C-2737C6CEC4CC}"/>
    <hyperlink ref="G363" r:id="rId85" display="294" xr:uid="{4ED57A9F-1A75-48AE-A617-624B83A31088}"/>
    <hyperlink ref="G366" r:id="rId86" display="294" xr:uid="{A9D7F209-F736-4548-9E9F-A7E87C921830}"/>
    <hyperlink ref="G372" r:id="rId87" display="705" xr:uid="{DAE110E2-76DC-48AE-B81E-AEF31D6AB5BC}"/>
    <hyperlink ref="G373" r:id="rId88" display="705" xr:uid="{E072B857-94A6-4C5C-83F5-E43093E8B229}"/>
    <hyperlink ref="G380" r:id="rId89" display="119" xr:uid="{6CB366D9-D7E3-4F03-9549-50A468DCD83A}"/>
    <hyperlink ref="G381" r:id="rId90" display="119" xr:uid="{DC7435A1-CE91-47F2-B347-A454D8793D20}"/>
    <hyperlink ref="G382" r:id="rId91" display="93" xr:uid="{008E4553-C726-4917-981D-BFE3A637DF69}"/>
    <hyperlink ref="G383" r:id="rId92" display="93" xr:uid="{E6DED0EB-3882-477C-A04F-1FAC37E51827}"/>
    <hyperlink ref="G384" r:id="rId93" display="517" xr:uid="{D5CD5369-45D4-4A04-A1E6-8A0623F7A424}"/>
    <hyperlink ref="G385" r:id="rId94" display="517" xr:uid="{F69370EF-CF5A-4D05-A873-15EFEF2701AA}"/>
    <hyperlink ref="G391" r:id="rId95" display="1,186" xr:uid="{300F1521-8190-4139-9ECC-7E8B1082BEF3}"/>
    <hyperlink ref="G394" r:id="rId96" display="1,186" xr:uid="{94784E04-37CA-44EE-83A6-F12DD408B236}"/>
    <hyperlink ref="G397" r:id="rId97" display="825" xr:uid="{F25316B1-E9EB-41C1-A7B0-D27A15E4A43A}"/>
    <hyperlink ref="G405" r:id="rId98" display="825" xr:uid="{D6C1EC43-0B7F-424B-95BB-08B06AA00A68}"/>
    <hyperlink ref="G407" r:id="rId99" display="825" xr:uid="{CCF0975C-2555-46E1-BBAE-6B7A69D6458B}"/>
    <hyperlink ref="G411" r:id="rId100" display="1,186" xr:uid="{A5F4B481-7691-41C0-8070-D8A3DD65223A}"/>
    <hyperlink ref="G413" r:id="rId101" display="282" xr:uid="{A9A87D4D-3048-457A-A281-5D40A07CF5CD}"/>
    <hyperlink ref="G414" r:id="rId102" display="153" xr:uid="{EB27D359-7FF2-4506-A9CE-D55F4C402469}"/>
    <hyperlink ref="G415" r:id="rId103" display="153" xr:uid="{3284ABE1-B643-4228-9A55-130602F8B621}"/>
    <hyperlink ref="G416" r:id="rId104" display="99" xr:uid="{3A11BDE7-688E-4A47-9ADF-E0B78E6245B1}"/>
    <hyperlink ref="G417" r:id="rId105" display="99" xr:uid="{0C6B81F2-1E7C-4210-AABC-5A28D53C86F7}"/>
    <hyperlink ref="G418" r:id="rId106" display="298" xr:uid="{E9371743-3888-4047-9493-0C6A6F7DFFF0}"/>
    <hyperlink ref="G420" r:id="rId107" display="96" xr:uid="{A5C7B43C-0260-40DE-A1C5-80E7D5EE3EB2}"/>
    <hyperlink ref="G421" r:id="rId108" display="32" xr:uid="{D473D760-6C22-4D2E-8EE1-16A07B80FD38}"/>
    <hyperlink ref="G422" r:id="rId109" display="93" xr:uid="{D4E37469-AB80-4B3A-BC31-B627A4CE66C1}"/>
    <hyperlink ref="G423" r:id="rId110" display="93" xr:uid="{0ED99EBC-CD68-4076-BE74-4675BF404707}"/>
    <hyperlink ref="G424" r:id="rId111" display="282" xr:uid="{99C1CE54-048B-4D07-B1A7-C6E1C4CE4DB0}"/>
    <hyperlink ref="G427" r:id="rId112" display="96" xr:uid="{19A34842-EE81-461F-B528-1E0DEA0CA384}"/>
    <hyperlink ref="G428" r:id="rId113" display="32" xr:uid="{9329F0BC-B695-49AD-ABAC-C0F74C1B9A00}"/>
    <hyperlink ref="G429" r:id="rId114" display="42" xr:uid="{F4D258B0-280C-4A70-A8C9-3E96C24CF4ED}"/>
    <hyperlink ref="G430" r:id="rId115" display="166" xr:uid="{84173CD9-7E6E-4E86-933C-C556A00075D8}"/>
    <hyperlink ref="G431" r:id="rId116" display="130" xr:uid="{D80FAB3D-7DCC-4D4D-A42E-3B22B76FF9F6}"/>
    <hyperlink ref="G432" r:id="rId117" display="93" xr:uid="{1C981A9B-B51B-44D2-B4CF-C00FE62A104B}"/>
    <hyperlink ref="G433" r:id="rId118" display="93" xr:uid="{3A993FE3-212F-47E5-83A3-BA9810CFC0CE}"/>
    <hyperlink ref="G434" r:id="rId119" display="282" xr:uid="{CCF4D730-E949-47F7-8B6A-21302BF679EA}"/>
    <hyperlink ref="G435" r:id="rId120" display="517" xr:uid="{96F42C5A-84A3-4CDA-8EED-A5A752737090}"/>
    <hyperlink ref="G437" r:id="rId121" display="458" xr:uid="{F1D3BFD8-990B-49AF-A76F-470DC3292DF6}"/>
    <hyperlink ref="G440" r:id="rId122" display="458" xr:uid="{F24F4F51-4AAE-45AA-BB8A-100579692FE2}"/>
    <hyperlink ref="G441" r:id="rId123" display="298" xr:uid="{79060610-6B11-485A-8097-7845DD411200}"/>
    <hyperlink ref="G443" r:id="rId124" display="113" xr:uid="{24BB11A8-19EC-4393-9AC1-74C3E82FE281}"/>
    <hyperlink ref="G444" r:id="rId125" display="166" xr:uid="{4F08FF44-B52D-4F8C-AE78-5BF49C11A009}"/>
    <hyperlink ref="G445" r:id="rId126" display="130" xr:uid="{D9D2E7B8-5CEA-41B5-957D-1DF89E6F87DD}"/>
    <hyperlink ref="G446" r:id="rId127" display="130" xr:uid="{D1F21FDD-E86A-4A53-8022-26E33280574B}"/>
    <hyperlink ref="G447" r:id="rId128" display="473" xr:uid="{E379C7FF-666D-4DD4-9F82-FC202063A3B0}"/>
    <hyperlink ref="G448" r:id="rId129" display="643" xr:uid="{F2AAFE63-1AB5-479D-8F86-6D2F65C17A37}"/>
    <hyperlink ref="G462" r:id="rId130" display="153" xr:uid="{634C541E-63DC-406D-9FA5-59561F3FF9E1}"/>
    <hyperlink ref="G463" r:id="rId131" display="153" xr:uid="{43921497-1A88-4246-ABEC-12F4852512A5}"/>
    <hyperlink ref="G464" r:id="rId132" display="496" xr:uid="{811B2228-BE78-4AE5-93A9-8725CDA1FFF5}"/>
    <hyperlink ref="G470" r:id="rId133" display="21" xr:uid="{302ACB59-F2CC-43D5-A286-EFFD129BAC85}"/>
    <hyperlink ref="G471" r:id="rId134" display="80" xr:uid="{2E8B4B33-3537-46EB-841A-D3CE87465F2F}"/>
    <hyperlink ref="G472" r:id="rId135" display="126" xr:uid="{CB7C2789-5C7F-4F6D-876E-0F2E6A5A22D0}"/>
    <hyperlink ref="G473" r:id="rId136" display="130" xr:uid="{EA6101E0-504D-4BB3-A8B2-7989B79BCE6B}"/>
    <hyperlink ref="G474" r:id="rId137" display="130" xr:uid="{84CDD86C-7118-4664-9563-60617C4258BA}"/>
    <hyperlink ref="G475" r:id="rId138" display="93" xr:uid="{1AE00294-90A7-4F36-A72F-B455068BA3DA}"/>
    <hyperlink ref="G476" r:id="rId139" display="473" xr:uid="{F56DF500-42C0-4860-8B7B-0BC61C2A49BC}"/>
    <hyperlink ref="G477" r:id="rId140" display="643" xr:uid="{E69590A7-B991-401A-B3FC-394B5DCE91A0}"/>
    <hyperlink ref="G483" r:id="rId141" display="93" xr:uid="{402E5A9C-033E-43A5-98B6-B434706230E5}"/>
    <hyperlink ref="G484" r:id="rId142" display="93" xr:uid="{2BF0F49C-EBF9-47B6-B1C5-CBF40068B889}"/>
    <hyperlink ref="G485" r:id="rId143" display="282" xr:uid="{EA043FB0-7096-410A-B244-ACB383F1C7DB}"/>
    <hyperlink ref="G486" r:id="rId144" display="99" xr:uid="{A7C1CA88-D23E-486A-A948-33E56AE24303}"/>
    <hyperlink ref="G487" r:id="rId145" display="99" xr:uid="{CE0AA15A-48E3-4F0B-977F-5C431970B5F7}"/>
    <hyperlink ref="G488" r:id="rId146" display="517" xr:uid="{A356D644-5A6C-4BFC-8D10-838B2F10C6FB}"/>
    <hyperlink ref="G489" r:id="rId147" display="298" xr:uid="{C1265006-858C-4319-B936-0D8E793E4A32}"/>
    <hyperlink ref="G496" r:id="rId148" display="111" xr:uid="{7E217157-2CAD-4400-8100-83A31C2B4BEF}"/>
    <hyperlink ref="G497" r:id="rId149" display="111" xr:uid="{598BC835-21DE-4BF5-AB85-DB2AA303C287}"/>
    <hyperlink ref="G516" r:id="rId150" display="21" xr:uid="{624BA7B3-729C-40C5-B3B9-3E6D559E4804}"/>
    <hyperlink ref="G517" r:id="rId151" display="21" xr:uid="{FF3338CD-CD2B-49A1-9D80-09595291EA84}"/>
    <hyperlink ref="G518" r:id="rId152" display="38" xr:uid="{EC5C2139-EA37-4588-955D-0B9992B5C472}"/>
    <hyperlink ref="G519" r:id="rId153" display="107" xr:uid="{68C1F228-FBB2-4E3D-8AB9-1DF4D7DC2B21}"/>
    <hyperlink ref="G520" r:id="rId154" display="42" xr:uid="{94F08765-0B42-4AF0-86D6-DC572AEAFEC5}"/>
    <hyperlink ref="G521" r:id="rId155" display="42" xr:uid="{DAC9B77A-A8AF-4B63-8505-058F40AC7ACA}"/>
    <hyperlink ref="G522" r:id="rId156" display="130" xr:uid="{9D571A66-A3B3-44F3-821E-9002038BD4A1}"/>
    <hyperlink ref="G523" r:id="rId157" display="130" xr:uid="{09CDF74A-5A66-4DE1-BAE3-417AA7199560}"/>
    <hyperlink ref="G524" r:id="rId158" display="517" xr:uid="{4B4F4004-9D51-4FCE-BD38-DC490B9DA071}"/>
    <hyperlink ref="G525" r:id="rId159" display="517" xr:uid="{EBDE00B2-24ED-4CFF-B82A-1BC607849096}"/>
    <hyperlink ref="G542" r:id="rId160" display="373" xr:uid="{4155E585-CC39-455A-B5E9-254BEA48EA2C}"/>
    <hyperlink ref="G545" r:id="rId161" display="373" xr:uid="{948797D8-4A72-4D67-BCCE-AC3B10648A34}"/>
    <hyperlink ref="G550" r:id="rId162" display="705" xr:uid="{21DD7DF6-CA43-41AE-B595-8F9E0F433D7A}"/>
    <hyperlink ref="G554" r:id="rId163" display="705" xr:uid="{04DE983A-A4A9-455C-B719-135301AEB7F0}"/>
    <hyperlink ref="G568" r:id="rId164" display="373" xr:uid="{6B1F262B-EF11-4206-ACB3-86C0D62BE48A}"/>
    <hyperlink ref="G574" r:id="rId165" display="373" xr:uid="{20A1EB7A-7A7D-470E-A456-89E7F904D151}"/>
    <hyperlink ref="G581" r:id="rId166" display="109" xr:uid="{84E3FA6C-B013-4674-A2ED-4104A1889F0C}"/>
    <hyperlink ref="G582" r:id="rId167" display="109" xr:uid="{621A1D3B-7713-4EC9-876C-2FC4316D85F7}"/>
    <hyperlink ref="G583" r:id="rId168" display="121" xr:uid="{50E61529-8A8E-4F60-B054-51D31BC5BE5C}"/>
    <hyperlink ref="G584" r:id="rId169" display="121" xr:uid="{57FC5CCE-7CEB-49E0-B283-E42BB707EA8D}"/>
    <hyperlink ref="G585" r:id="rId170" display="93" xr:uid="{7A2903C0-04BB-4B5E-AF66-84E8B43E97FC}"/>
    <hyperlink ref="G586" r:id="rId171" display="93" xr:uid="{20AB3689-79DE-49C9-AB02-75892A607A68}"/>
    <hyperlink ref="G587" r:id="rId172" display="223" xr:uid="{2A00838A-8BFA-4353-B50E-A1C772B611F5}"/>
    <hyperlink ref="G588" r:id="rId173" display="223" xr:uid="{77496457-50BE-4A77-B601-10C5C305BABD}"/>
    <hyperlink ref="G590" r:id="rId174" display="706" xr:uid="{883D6DBB-E5FD-4E6C-B71F-DC64BC8CEAB8}"/>
    <hyperlink ref="G593" r:id="rId175" display="458" xr:uid="{4E3E5CEC-C413-4FFD-91B6-A58E347214E3}"/>
    <hyperlink ref="G607" r:id="rId176" display="69" xr:uid="{8E179AC8-EA6D-4963-A09C-B98D097E5E70}"/>
    <hyperlink ref="G608" r:id="rId177" display="295" xr:uid="{32D67165-8549-4D4E-9F16-F469BE4AA037}"/>
    <hyperlink ref="G609" r:id="rId178" display="302" xr:uid="{1ECD635F-F2A2-4C73-887E-137EA4ABC4E2}"/>
    <hyperlink ref="G610" r:id="rId179" display="302" xr:uid="{E9116AE8-FB38-4440-8B44-4955CB46BDAE}"/>
    <hyperlink ref="G612" r:id="rId180" display="130" xr:uid="{5001ECD3-3850-4C5D-BA79-13DF4890FE39}"/>
    <hyperlink ref="G613" r:id="rId181" display="130" xr:uid="{691F7D3E-1666-4EBF-8E68-0F237795E0CE}"/>
    <hyperlink ref="G614" r:id="rId182" display="93" xr:uid="{9AB54762-BB51-425D-8910-B6E7BEFA02F5}"/>
    <hyperlink ref="G615" r:id="rId183" display="93" xr:uid="{6A73BD5F-B221-44E9-975F-88E34A862A79}"/>
    <hyperlink ref="G616" r:id="rId184" display="32" xr:uid="{815B3A1C-3191-4685-922B-FA2DC9CC4C7F}"/>
    <hyperlink ref="G617" r:id="rId185" display="32" xr:uid="{F5263ABC-65B8-445B-80BE-CCABB61009EC}"/>
    <hyperlink ref="G618" r:id="rId186" display="282" xr:uid="{7CE5FF71-0E57-45F2-967B-3E8C5F9F3130}"/>
    <hyperlink ref="G619" r:id="rId187" display="517" xr:uid="{E1B8CCF1-C553-4CAE-A64E-EC4BB6B84CD4}"/>
    <hyperlink ref="G656" r:id="rId188" display="450" xr:uid="{25B072ED-D596-46F6-B4D5-CF1F13D5F2C5}"/>
    <hyperlink ref="G676" r:id="rId189" display="556" xr:uid="{D3FDD41F-41D9-4048-9342-5B1C5862C77D}"/>
    <hyperlink ref="G679" r:id="rId190" display="556" xr:uid="{9BAB5D82-DA2C-49D8-AB7F-99FBCEEF177D}"/>
    <hyperlink ref="G694" r:id="rId191" display="863" xr:uid="{0F83DBD3-AD4E-4776-8065-5E2DF5238690}"/>
    <hyperlink ref="G700" r:id="rId192" display="863" xr:uid="{95F5C9F2-6065-40BF-AD9E-E67580350D2F}"/>
    <hyperlink ref="G702" r:id="rId193" display="560" xr:uid="{579C9D04-A680-4706-887F-9A090C67F828}"/>
    <hyperlink ref="G705" r:id="rId194" display="560" xr:uid="{23497521-CF0C-4006-A8C3-37035833FC60}"/>
    <hyperlink ref="G729" r:id="rId195" display="510" xr:uid="{47E037CC-A9E7-41D0-9CD9-CE09618E527A}"/>
    <hyperlink ref="G758" r:id="rId196" display="556" xr:uid="{F933F5CA-D2C7-4086-9C1A-CD646930CA16}"/>
    <hyperlink ref="G764" r:id="rId197" display="677" xr:uid="{B128878A-57EA-4F3F-99A1-E63043D60169}"/>
    <hyperlink ref="G772" r:id="rId198" display="369" xr:uid="{5A26F6C2-97F6-4810-A772-87A6E41CBF9F}"/>
    <hyperlink ref="G785" r:id="rId199" display="369" xr:uid="{98860169-E86C-4BBE-878D-288FA1D2D233}"/>
    <hyperlink ref="G838" r:id="rId200" display="560" xr:uid="{4471AEFC-D548-44B2-B255-3E6EC3B42810}"/>
    <hyperlink ref="G841" r:id="rId201" display="560" xr:uid="{E115CC79-EE9F-4261-8BAA-9685E9546614}"/>
    <hyperlink ref="G863" r:id="rId202" display="560" xr:uid="{6F6DD24C-1944-4BA4-96AF-DC4D2F966A71}"/>
    <hyperlink ref="G866" r:id="rId203" display="560" xr:uid="{0A4A0821-9A10-459D-A258-58D06D2F6FEE}"/>
  </hyperlinks>
  <pageMargins left="0.7" right="0.7" top="0.75" bottom="0.75" header="0.3" footer="0.3"/>
  <drawing r:id="rId2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2C36-6AED-433D-BA75-169649376AF6}">
  <dimension ref="B2:J211"/>
  <sheetViews>
    <sheetView workbookViewId="0">
      <pane xSplit="1" ySplit="2" topLeftCell="B14" activePane="bottomRight" state="frozen"/>
      <selection pane="bottomRight" activeCell="B20" sqref="B20:F23"/>
      <selection pane="bottomLeft"/>
      <selection pane="topRight"/>
    </sheetView>
  </sheetViews>
  <sheetFormatPr defaultRowHeight="13.5"/>
  <cols>
    <col min="1" max="1" width="4.5703125" customWidth="1"/>
    <col min="2" max="2" width="17.140625" bestFit="1" customWidth="1"/>
    <col min="3" max="3" width="32.85546875" customWidth="1"/>
    <col min="4" max="4" width="31.85546875" customWidth="1"/>
    <col min="5" max="5" width="37.7109375" customWidth="1"/>
    <col min="6" max="6" width="24.28515625" customWidth="1"/>
    <col min="7" max="7" width="12.140625" bestFit="1" customWidth="1"/>
    <col min="9" max="9" width="35.42578125" customWidth="1"/>
    <col min="10" max="10" width="40.85546875" customWidth="1"/>
  </cols>
  <sheetData>
    <row r="2" spans="2:10" ht="17.25">
      <c r="B2" s="35" t="s">
        <v>266</v>
      </c>
      <c r="C2" s="32" t="s">
        <v>267</v>
      </c>
      <c r="D2" s="32" t="s">
        <v>268</v>
      </c>
      <c r="E2" s="32" t="s">
        <v>1</v>
      </c>
      <c r="F2" s="32" t="s">
        <v>269</v>
      </c>
      <c r="G2" s="34" t="s">
        <v>270</v>
      </c>
    </row>
    <row r="3" spans="2:10" ht="15.75">
      <c r="B3" s="35"/>
      <c r="C3" s="32"/>
      <c r="D3" s="32"/>
      <c r="E3" s="32"/>
      <c r="F3" s="32"/>
      <c r="G3" s="34">
        <f t="shared" ref="G3:G189" si="0">G4+F3</f>
        <v>1759</v>
      </c>
    </row>
    <row r="4" spans="2:10" ht="15">
      <c r="B4" s="44"/>
      <c r="C4" s="45"/>
      <c r="D4" s="45"/>
      <c r="E4" s="45"/>
      <c r="F4" s="45"/>
      <c r="G4" s="34">
        <f t="shared" si="0"/>
        <v>1759</v>
      </c>
      <c r="I4" t="s">
        <v>271</v>
      </c>
      <c r="J4">
        <f>SUMIFS(F3:F30143,D3:D30143, "*JAL国内線*")</f>
        <v>1175</v>
      </c>
    </row>
    <row r="5" spans="2:10" ht="15">
      <c r="B5" s="44"/>
      <c r="C5" s="45"/>
      <c r="D5" s="45"/>
      <c r="E5" s="45"/>
      <c r="F5" s="45"/>
      <c r="G5" s="34">
        <f t="shared" si="0"/>
        <v>1759</v>
      </c>
      <c r="I5" t="s">
        <v>272</v>
      </c>
      <c r="J5">
        <f>SUMIFS(F3:F30143,D3:D30143, "*JAL国際線*")</f>
        <v>70</v>
      </c>
    </row>
    <row r="6" spans="2:10" ht="15">
      <c r="B6" s="44"/>
      <c r="C6" s="45"/>
      <c r="D6" s="45"/>
      <c r="E6" s="45"/>
      <c r="F6" s="45"/>
      <c r="G6" s="34">
        <f t="shared" si="0"/>
        <v>1759</v>
      </c>
      <c r="I6" t="s">
        <v>273</v>
      </c>
      <c r="J6">
        <f>SUMIFS(F3:F30143,D3:D30143, "*JALカード*")</f>
        <v>175</v>
      </c>
    </row>
    <row r="7" spans="2:10" ht="15">
      <c r="B7" s="44"/>
      <c r="C7" s="45"/>
      <c r="D7" s="45"/>
      <c r="E7" s="45"/>
      <c r="F7" s="45"/>
      <c r="G7" s="34">
        <f t="shared" si="0"/>
        <v>1759</v>
      </c>
      <c r="I7" t="s">
        <v>274</v>
      </c>
      <c r="J7">
        <f>SUMIFS(F3:F30143,D3:D30143, "*JALモバイル*")</f>
        <v>14</v>
      </c>
    </row>
    <row r="8" spans="2:10" ht="15">
      <c r="B8" s="44"/>
      <c r="C8" s="45"/>
      <c r="D8" s="45"/>
      <c r="E8" s="45"/>
      <c r="F8" s="45"/>
      <c r="G8" s="34">
        <f t="shared" si="0"/>
        <v>1759</v>
      </c>
      <c r="I8" s="31" t="s">
        <v>275</v>
      </c>
      <c r="J8">
        <f>SUMIFS(F3:F30143,D3:D30143, "*JAL Wellness &amp; Travel*")</f>
        <v>14</v>
      </c>
    </row>
    <row r="9" spans="2:10" ht="15">
      <c r="B9" s="44"/>
      <c r="C9" s="45"/>
      <c r="D9" s="45"/>
      <c r="E9" s="45"/>
      <c r="F9" s="45"/>
      <c r="G9" s="34">
        <f t="shared" si="0"/>
        <v>1759</v>
      </c>
      <c r="I9" s="31" t="s">
        <v>276</v>
      </c>
      <c r="J9">
        <f>SUMIFS(F3:F30143,D3:D30143, "*JALマイレージパーク*")</f>
        <v>18</v>
      </c>
    </row>
    <row r="10" spans="2:10" ht="15">
      <c r="B10" s="44"/>
      <c r="C10" s="45"/>
      <c r="D10" s="45"/>
      <c r="E10" s="45"/>
      <c r="F10" s="45"/>
      <c r="G10" s="34">
        <f t="shared" si="0"/>
        <v>1759</v>
      </c>
      <c r="I10" s="31" t="s">
        <v>277</v>
      </c>
      <c r="J10">
        <f>SUMIFS(F3:F30143,D3:D30143, "*その他*")</f>
        <v>293</v>
      </c>
    </row>
    <row r="11" spans="2:10" ht="15">
      <c r="B11" s="44"/>
      <c r="C11" s="45"/>
      <c r="D11" s="45"/>
      <c r="E11" s="45"/>
      <c r="F11" s="45"/>
      <c r="G11" s="34">
        <f t="shared" si="0"/>
        <v>1759</v>
      </c>
      <c r="I11" s="31" t="s">
        <v>278</v>
      </c>
      <c r="J11">
        <f>SUM(J4:J10)</f>
        <v>1759</v>
      </c>
    </row>
    <row r="12" spans="2:10" ht="15">
      <c r="B12" s="44"/>
      <c r="C12" s="45"/>
      <c r="D12" s="45"/>
      <c r="E12" s="45"/>
      <c r="F12" s="45"/>
      <c r="G12" s="34">
        <f t="shared" si="0"/>
        <v>1759</v>
      </c>
      <c r="I12" s="31"/>
    </row>
    <row r="13" spans="2:10" ht="15">
      <c r="B13" s="44"/>
      <c r="C13" s="45"/>
      <c r="D13" s="45"/>
      <c r="E13" s="45"/>
      <c r="F13" s="45"/>
      <c r="G13" s="34">
        <f t="shared" si="0"/>
        <v>1759</v>
      </c>
      <c r="I13" s="31"/>
    </row>
    <row r="14" spans="2:10" ht="15">
      <c r="B14" s="44"/>
      <c r="C14" s="45"/>
      <c r="D14" s="45"/>
      <c r="E14" s="45"/>
      <c r="F14" s="45"/>
      <c r="G14" s="34">
        <f t="shared" si="0"/>
        <v>1759</v>
      </c>
      <c r="I14" s="31"/>
    </row>
    <row r="15" spans="2:10" ht="15">
      <c r="B15" s="44"/>
      <c r="C15" s="45"/>
      <c r="D15" s="45"/>
      <c r="E15" s="45"/>
      <c r="F15" s="45"/>
      <c r="G15" s="34">
        <f t="shared" si="0"/>
        <v>1759</v>
      </c>
      <c r="I15" s="31"/>
    </row>
    <row r="16" spans="2:10" ht="15">
      <c r="B16" s="44"/>
      <c r="C16" s="45"/>
      <c r="D16" s="45"/>
      <c r="E16" s="45"/>
      <c r="F16" s="45"/>
      <c r="G16" s="34">
        <f t="shared" si="0"/>
        <v>1759</v>
      </c>
      <c r="I16" s="31"/>
    </row>
    <row r="17" spans="2:9" ht="15">
      <c r="B17" s="44"/>
      <c r="C17" s="45"/>
      <c r="D17" s="45"/>
      <c r="E17" s="45"/>
      <c r="F17" s="45"/>
      <c r="G17" s="34">
        <f t="shared" si="0"/>
        <v>1759</v>
      </c>
      <c r="I17" s="31"/>
    </row>
    <row r="18" spans="2:9" ht="15">
      <c r="B18" s="44"/>
      <c r="C18" s="45"/>
      <c r="D18" s="45"/>
      <c r="E18" s="45"/>
      <c r="F18" s="45"/>
      <c r="G18" s="34">
        <f t="shared" si="0"/>
        <v>1759</v>
      </c>
      <c r="I18" s="31"/>
    </row>
    <row r="19" spans="2:9" ht="15">
      <c r="B19" s="44"/>
      <c r="C19" s="45"/>
      <c r="D19" s="45"/>
      <c r="E19" s="45"/>
      <c r="F19" s="45"/>
      <c r="G19" s="34">
        <f t="shared" si="0"/>
        <v>1759</v>
      </c>
      <c r="I19" s="31"/>
    </row>
    <row r="20" spans="2:9" ht="17.25">
      <c r="B20" s="44">
        <v>46284</v>
      </c>
      <c r="C20" s="45" t="s">
        <v>279</v>
      </c>
      <c r="D20" s="45" t="s">
        <v>271</v>
      </c>
      <c r="E20" s="45" t="s">
        <v>280</v>
      </c>
      <c r="F20" s="45">
        <v>5</v>
      </c>
      <c r="G20" s="34">
        <f t="shared" si="0"/>
        <v>1759</v>
      </c>
      <c r="I20" s="31"/>
    </row>
    <row r="21" spans="2:9" ht="17.25">
      <c r="B21" s="44">
        <v>46282</v>
      </c>
      <c r="C21" s="45" t="s">
        <v>281</v>
      </c>
      <c r="D21" s="45" t="s">
        <v>274</v>
      </c>
      <c r="E21" s="45" t="s">
        <v>282</v>
      </c>
      <c r="F21" s="45">
        <v>1</v>
      </c>
      <c r="G21" s="34">
        <f t="shared" si="0"/>
        <v>1754</v>
      </c>
      <c r="I21" s="31"/>
    </row>
    <row r="22" spans="2:9" ht="17.25">
      <c r="B22" s="44">
        <v>46282</v>
      </c>
      <c r="C22" s="45" t="s">
        <v>279</v>
      </c>
      <c r="D22" s="45" t="s">
        <v>271</v>
      </c>
      <c r="E22" s="45" t="s">
        <v>280</v>
      </c>
      <c r="F22" s="45">
        <v>5</v>
      </c>
      <c r="G22" s="34">
        <f t="shared" si="0"/>
        <v>1753</v>
      </c>
      <c r="I22" s="31"/>
    </row>
    <row r="23" spans="2:9" ht="17.25">
      <c r="B23" s="44">
        <v>46280</v>
      </c>
      <c r="C23" s="45" t="s">
        <v>281</v>
      </c>
      <c r="D23" s="45" t="s">
        <v>275</v>
      </c>
      <c r="E23" s="45" t="s">
        <v>283</v>
      </c>
      <c r="F23" s="45">
        <v>1</v>
      </c>
      <c r="G23" s="34">
        <f t="shared" si="0"/>
        <v>1748</v>
      </c>
      <c r="I23" s="31"/>
    </row>
    <row r="24" spans="2:9" ht="17.25">
      <c r="B24" s="44">
        <v>46276</v>
      </c>
      <c r="C24" s="45" t="s">
        <v>281</v>
      </c>
      <c r="D24" s="45" t="s">
        <v>273</v>
      </c>
      <c r="E24" s="45" t="s">
        <v>284</v>
      </c>
      <c r="F24" s="45">
        <v>10</v>
      </c>
      <c r="G24" s="34">
        <f t="shared" si="0"/>
        <v>1747</v>
      </c>
      <c r="I24" s="31"/>
    </row>
    <row r="25" spans="2:9" ht="17.25">
      <c r="B25" s="44">
        <v>46268</v>
      </c>
      <c r="C25" s="45" t="s">
        <v>279</v>
      </c>
      <c r="D25" s="45" t="s">
        <v>271</v>
      </c>
      <c r="E25" s="45" t="s">
        <v>280</v>
      </c>
      <c r="F25" s="45">
        <v>5</v>
      </c>
      <c r="G25" s="34">
        <f t="shared" si="0"/>
        <v>1737</v>
      </c>
      <c r="I25" s="31"/>
    </row>
    <row r="26" spans="2:9" ht="17.25">
      <c r="B26" s="44">
        <v>46266</v>
      </c>
      <c r="C26" s="45" t="s">
        <v>279</v>
      </c>
      <c r="D26" s="45" t="s">
        <v>271</v>
      </c>
      <c r="E26" s="45" t="s">
        <v>280</v>
      </c>
      <c r="F26" s="45">
        <v>5</v>
      </c>
      <c r="G26" s="34">
        <f t="shared" si="0"/>
        <v>1732</v>
      </c>
      <c r="I26" s="31"/>
    </row>
    <row r="27" spans="2:9" ht="17.25">
      <c r="B27" s="44">
        <v>46255</v>
      </c>
      <c r="C27" s="45" t="s">
        <v>281</v>
      </c>
      <c r="D27" s="45" t="s">
        <v>276</v>
      </c>
      <c r="E27" s="45" t="s">
        <v>285</v>
      </c>
      <c r="F27" s="45">
        <v>1</v>
      </c>
      <c r="G27" s="34">
        <f t="shared" si="0"/>
        <v>1727</v>
      </c>
      <c r="I27" s="31"/>
    </row>
    <row r="28" spans="2:9" ht="17.25">
      <c r="B28" s="44">
        <v>46250</v>
      </c>
      <c r="C28" s="45" t="s">
        <v>281</v>
      </c>
      <c r="D28" s="45" t="s">
        <v>276</v>
      </c>
      <c r="E28" s="45" t="s">
        <v>285</v>
      </c>
      <c r="F28" s="45">
        <v>1</v>
      </c>
      <c r="G28" s="34">
        <f t="shared" si="0"/>
        <v>1726</v>
      </c>
      <c r="I28" s="31"/>
    </row>
    <row r="29" spans="2:9" ht="17.25">
      <c r="B29" s="44">
        <v>46249</v>
      </c>
      <c r="C29" s="45" t="s">
        <v>281</v>
      </c>
      <c r="D29" s="45" t="s">
        <v>274</v>
      </c>
      <c r="E29" s="45" t="s">
        <v>282</v>
      </c>
      <c r="F29" s="45">
        <v>1</v>
      </c>
      <c r="G29" s="34">
        <f t="shared" si="0"/>
        <v>1725</v>
      </c>
      <c r="I29" s="31"/>
    </row>
    <row r="30" spans="2:9" ht="17.25">
      <c r="B30" s="44">
        <v>46249</v>
      </c>
      <c r="C30" s="45" t="s">
        <v>281</v>
      </c>
      <c r="D30" s="45" t="s">
        <v>275</v>
      </c>
      <c r="E30" s="45" t="s">
        <v>283</v>
      </c>
      <c r="F30" s="45">
        <v>1</v>
      </c>
      <c r="G30" s="34">
        <f t="shared" si="0"/>
        <v>1724</v>
      </c>
      <c r="I30" s="31"/>
    </row>
    <row r="31" spans="2:9" ht="17.25">
      <c r="B31" s="44">
        <v>46245</v>
      </c>
      <c r="C31" s="45" t="s">
        <v>281</v>
      </c>
      <c r="D31" s="45" t="s">
        <v>273</v>
      </c>
      <c r="E31" s="45" t="s">
        <v>284</v>
      </c>
      <c r="F31" s="45">
        <v>10</v>
      </c>
      <c r="G31" s="34">
        <f t="shared" si="0"/>
        <v>1723</v>
      </c>
      <c r="I31" s="31"/>
    </row>
    <row r="32" spans="2:9" ht="17.25">
      <c r="B32" s="44">
        <v>46231</v>
      </c>
      <c r="C32" s="45" t="s">
        <v>279</v>
      </c>
      <c r="D32" s="45" t="s">
        <v>271</v>
      </c>
      <c r="E32" s="45" t="s">
        <v>280</v>
      </c>
      <c r="F32" s="45">
        <v>5</v>
      </c>
      <c r="G32" s="34">
        <f t="shared" si="0"/>
        <v>1713</v>
      </c>
      <c r="I32" s="31"/>
    </row>
    <row r="33" spans="2:9" ht="17.25">
      <c r="B33" s="44">
        <v>46226</v>
      </c>
      <c r="C33" s="45" t="s">
        <v>281</v>
      </c>
      <c r="D33" s="45" t="s">
        <v>274</v>
      </c>
      <c r="E33" s="45" t="s">
        <v>274</v>
      </c>
      <c r="F33" s="45">
        <v>1</v>
      </c>
      <c r="G33" s="34">
        <f t="shared" si="0"/>
        <v>1708</v>
      </c>
      <c r="I33" s="31"/>
    </row>
    <row r="34" spans="2:9" ht="17.25">
      <c r="B34" s="44">
        <v>46225</v>
      </c>
      <c r="C34" s="45" t="s">
        <v>281</v>
      </c>
      <c r="D34" s="45" t="s">
        <v>276</v>
      </c>
      <c r="E34" s="45" t="s">
        <v>285</v>
      </c>
      <c r="F34" s="45">
        <v>1</v>
      </c>
      <c r="G34" s="34">
        <f t="shared" si="0"/>
        <v>1707</v>
      </c>
      <c r="I34" s="31"/>
    </row>
    <row r="35" spans="2:9" ht="17.25">
      <c r="B35" s="44">
        <v>46225</v>
      </c>
      <c r="C35" s="45" t="s">
        <v>279</v>
      </c>
      <c r="D35" s="45" t="s">
        <v>271</v>
      </c>
      <c r="E35" s="45" t="s">
        <v>280</v>
      </c>
      <c r="F35" s="45">
        <v>5</v>
      </c>
      <c r="G35" s="34">
        <f t="shared" si="0"/>
        <v>1706</v>
      </c>
      <c r="I35" s="31"/>
    </row>
    <row r="36" spans="2:9" ht="17.25">
      <c r="B36" s="44">
        <v>46222</v>
      </c>
      <c r="C36" s="45" t="s">
        <v>281</v>
      </c>
      <c r="D36" s="45" t="s">
        <v>276</v>
      </c>
      <c r="E36" s="45" t="s">
        <v>285</v>
      </c>
      <c r="F36" s="45">
        <v>1</v>
      </c>
      <c r="G36" s="34">
        <f t="shared" si="0"/>
        <v>1701</v>
      </c>
      <c r="I36" s="31"/>
    </row>
    <row r="37" spans="2:9" ht="17.25">
      <c r="B37" s="44">
        <v>46220</v>
      </c>
      <c r="C37" s="45" t="s">
        <v>279</v>
      </c>
      <c r="D37" s="45" t="s">
        <v>271</v>
      </c>
      <c r="E37" s="45" t="s">
        <v>280</v>
      </c>
      <c r="F37" s="45">
        <v>5</v>
      </c>
      <c r="G37" s="34">
        <f t="shared" si="0"/>
        <v>1700</v>
      </c>
      <c r="I37" s="31"/>
    </row>
    <row r="38" spans="2:9" ht="17.25">
      <c r="B38" s="44">
        <v>46218</v>
      </c>
      <c r="C38" s="45" t="s">
        <v>281</v>
      </c>
      <c r="D38" s="45" t="s">
        <v>275</v>
      </c>
      <c r="E38" s="45" t="s">
        <v>283</v>
      </c>
      <c r="F38" s="45">
        <v>1</v>
      </c>
      <c r="G38" s="34">
        <f t="shared" si="0"/>
        <v>1695</v>
      </c>
      <c r="I38" s="31"/>
    </row>
    <row r="39" spans="2:9" ht="17.25">
      <c r="B39" s="44">
        <v>46217</v>
      </c>
      <c r="C39" s="45" t="s">
        <v>279</v>
      </c>
      <c r="D39" s="45" t="s">
        <v>271</v>
      </c>
      <c r="E39" s="45" t="s">
        <v>280</v>
      </c>
      <c r="F39" s="45">
        <v>5</v>
      </c>
      <c r="G39" s="34">
        <f t="shared" si="0"/>
        <v>1694</v>
      </c>
      <c r="I39" s="31"/>
    </row>
    <row r="40" spans="2:9" ht="17.25">
      <c r="B40" s="44">
        <v>46214</v>
      </c>
      <c r="C40" s="45" t="s">
        <v>281</v>
      </c>
      <c r="D40" s="45" t="s">
        <v>273</v>
      </c>
      <c r="E40" s="45" t="s">
        <v>284</v>
      </c>
      <c r="F40" s="45">
        <v>5</v>
      </c>
      <c r="G40" s="34">
        <f t="shared" si="0"/>
        <v>1689</v>
      </c>
      <c r="I40" s="31"/>
    </row>
    <row r="41" spans="2:9" ht="17.25">
      <c r="B41" s="44">
        <v>46201</v>
      </c>
      <c r="C41" s="45" t="s">
        <v>279</v>
      </c>
      <c r="D41" s="45" t="s">
        <v>271</v>
      </c>
      <c r="E41" s="45" t="s">
        <v>280</v>
      </c>
      <c r="F41" s="45">
        <v>5</v>
      </c>
      <c r="G41" s="34">
        <f t="shared" si="0"/>
        <v>1684</v>
      </c>
      <c r="I41" s="31"/>
    </row>
    <row r="42" spans="2:9" ht="17.25">
      <c r="B42" s="44">
        <v>46194</v>
      </c>
      <c r="C42" s="45" t="s">
        <v>281</v>
      </c>
      <c r="D42" s="45" t="s">
        <v>276</v>
      </c>
      <c r="E42" s="45" t="s">
        <v>285</v>
      </c>
      <c r="F42" s="45">
        <v>2</v>
      </c>
      <c r="G42" s="34">
        <f t="shared" si="0"/>
        <v>1679</v>
      </c>
      <c r="I42" s="31"/>
    </row>
    <row r="43" spans="2:9" ht="17.25">
      <c r="B43" s="44">
        <v>46191</v>
      </c>
      <c r="C43" s="45" t="s">
        <v>281</v>
      </c>
      <c r="D43" s="45" t="s">
        <v>274</v>
      </c>
      <c r="E43" s="45" t="s">
        <v>274</v>
      </c>
      <c r="F43" s="45">
        <v>1</v>
      </c>
      <c r="G43" s="34">
        <f t="shared" si="0"/>
        <v>1677</v>
      </c>
      <c r="I43" s="31"/>
    </row>
    <row r="44" spans="2:9" ht="17.25">
      <c r="B44" s="44">
        <v>46188</v>
      </c>
      <c r="C44" s="45" t="s">
        <v>281</v>
      </c>
      <c r="D44" s="45" t="s">
        <v>275</v>
      </c>
      <c r="E44" s="45" t="s">
        <v>283</v>
      </c>
      <c r="F44" s="45">
        <v>1</v>
      </c>
      <c r="G44" s="34">
        <f t="shared" si="0"/>
        <v>1676</v>
      </c>
      <c r="I44" s="31"/>
    </row>
    <row r="45" spans="2:9" ht="17.25">
      <c r="B45" s="44">
        <v>46185</v>
      </c>
      <c r="C45" s="45" t="s">
        <v>279</v>
      </c>
      <c r="D45" s="45" t="s">
        <v>271</v>
      </c>
      <c r="E45" s="45" t="s">
        <v>280</v>
      </c>
      <c r="F45" s="45">
        <v>5</v>
      </c>
      <c r="G45" s="34">
        <f t="shared" si="0"/>
        <v>1675</v>
      </c>
      <c r="I45" s="31"/>
    </row>
    <row r="46" spans="2:9" ht="17.25">
      <c r="B46" s="44">
        <v>46184</v>
      </c>
      <c r="C46" s="45" t="s">
        <v>281</v>
      </c>
      <c r="D46" s="45" t="s">
        <v>273</v>
      </c>
      <c r="E46" s="45" t="s">
        <v>284</v>
      </c>
      <c r="F46" s="45">
        <v>15</v>
      </c>
      <c r="G46" s="34">
        <f t="shared" si="0"/>
        <v>1670</v>
      </c>
      <c r="I46" s="31"/>
    </row>
    <row r="47" spans="2:9" ht="17.25">
      <c r="B47" s="44">
        <v>46184</v>
      </c>
      <c r="C47" s="45" t="s">
        <v>279</v>
      </c>
      <c r="D47" s="45" t="s">
        <v>271</v>
      </c>
      <c r="E47" s="45" t="s">
        <v>280</v>
      </c>
      <c r="F47" s="45">
        <v>5</v>
      </c>
      <c r="G47" s="34">
        <f t="shared" si="0"/>
        <v>1655</v>
      </c>
      <c r="I47" s="31"/>
    </row>
    <row r="48" spans="2:9" ht="17.25">
      <c r="B48" s="44">
        <v>46183</v>
      </c>
      <c r="C48" s="45" t="s">
        <v>279</v>
      </c>
      <c r="D48" s="45" t="s">
        <v>271</v>
      </c>
      <c r="E48" s="45" t="s">
        <v>280</v>
      </c>
      <c r="F48" s="45">
        <v>5</v>
      </c>
      <c r="G48" s="34">
        <f t="shared" si="0"/>
        <v>1650</v>
      </c>
      <c r="I48" s="31"/>
    </row>
    <row r="49" spans="2:9" ht="17.25">
      <c r="B49" s="44">
        <v>46182</v>
      </c>
      <c r="C49" s="45" t="s">
        <v>279</v>
      </c>
      <c r="D49" s="45" t="s">
        <v>271</v>
      </c>
      <c r="E49" s="45" t="s">
        <v>280</v>
      </c>
      <c r="F49" s="45">
        <v>5</v>
      </c>
      <c r="G49" s="34">
        <f t="shared" si="0"/>
        <v>1645</v>
      </c>
      <c r="I49" s="31"/>
    </row>
    <row r="50" spans="2:9" ht="17.25">
      <c r="B50" s="44">
        <v>46173</v>
      </c>
      <c r="C50" s="45" t="s">
        <v>279</v>
      </c>
      <c r="D50" s="45" t="s">
        <v>271</v>
      </c>
      <c r="E50" s="45" t="s">
        <v>280</v>
      </c>
      <c r="F50" s="45">
        <v>5</v>
      </c>
      <c r="G50" s="34">
        <f t="shared" si="0"/>
        <v>1640</v>
      </c>
      <c r="I50" s="31"/>
    </row>
    <row r="51" spans="2:9" ht="17.25">
      <c r="B51" s="44">
        <v>46172</v>
      </c>
      <c r="C51" s="45" t="s">
        <v>279</v>
      </c>
      <c r="D51" s="45" t="s">
        <v>271</v>
      </c>
      <c r="E51" s="45" t="s">
        <v>280</v>
      </c>
      <c r="F51" s="45">
        <v>5</v>
      </c>
      <c r="G51" s="34">
        <f t="shared" si="0"/>
        <v>1635</v>
      </c>
      <c r="I51" s="31"/>
    </row>
    <row r="52" spans="2:9" ht="17.25">
      <c r="B52" s="44">
        <v>46168</v>
      </c>
      <c r="C52" s="45" t="s">
        <v>277</v>
      </c>
      <c r="D52" s="45" t="s">
        <v>277</v>
      </c>
      <c r="E52" s="45" t="s">
        <v>286</v>
      </c>
      <c r="F52" s="45">
        <v>5</v>
      </c>
      <c r="G52" s="34">
        <f t="shared" si="0"/>
        <v>1630</v>
      </c>
      <c r="I52" s="31"/>
    </row>
    <row r="53" spans="2:9" ht="17.25">
      <c r="B53" s="44">
        <v>46164</v>
      </c>
      <c r="C53" s="45" t="s">
        <v>281</v>
      </c>
      <c r="D53" s="45" t="s">
        <v>276</v>
      </c>
      <c r="E53" s="45" t="s">
        <v>285</v>
      </c>
      <c r="F53" s="45">
        <v>1</v>
      </c>
      <c r="G53" s="34">
        <f t="shared" si="0"/>
        <v>1625</v>
      </c>
      <c r="I53" s="31"/>
    </row>
    <row r="54" spans="2:9" ht="17.25">
      <c r="B54" s="44">
        <v>46163</v>
      </c>
      <c r="C54" s="45" t="s">
        <v>281</v>
      </c>
      <c r="D54" s="45" t="s">
        <v>274</v>
      </c>
      <c r="E54" s="45" t="s">
        <v>274</v>
      </c>
      <c r="F54" s="45">
        <v>1</v>
      </c>
      <c r="G54" s="34">
        <f t="shared" si="0"/>
        <v>1624</v>
      </c>
      <c r="I54" s="31"/>
    </row>
    <row r="55" spans="2:9" ht="17.25">
      <c r="B55" s="44">
        <v>46159</v>
      </c>
      <c r="C55" s="45" t="s">
        <v>281</v>
      </c>
      <c r="D55" s="45" t="s">
        <v>276</v>
      </c>
      <c r="E55" s="45" t="s">
        <v>285</v>
      </c>
      <c r="F55" s="45">
        <v>1</v>
      </c>
      <c r="G55" s="34">
        <f t="shared" si="0"/>
        <v>1623</v>
      </c>
      <c r="I55" s="31"/>
    </row>
    <row r="56" spans="2:9" ht="17.25">
      <c r="B56" s="44">
        <v>46157</v>
      </c>
      <c r="C56" s="45" t="s">
        <v>281</v>
      </c>
      <c r="D56" s="45" t="s">
        <v>275</v>
      </c>
      <c r="E56" s="45" t="s">
        <v>283</v>
      </c>
      <c r="F56" s="45">
        <v>1</v>
      </c>
      <c r="G56" s="34">
        <f t="shared" si="0"/>
        <v>1622</v>
      </c>
      <c r="I56" s="31"/>
    </row>
    <row r="57" spans="2:9" ht="17.25">
      <c r="B57" s="44">
        <v>46157</v>
      </c>
      <c r="C57" s="45" t="s">
        <v>279</v>
      </c>
      <c r="D57" s="45" t="s">
        <v>271</v>
      </c>
      <c r="E57" s="45" t="s">
        <v>280</v>
      </c>
      <c r="F57" s="45">
        <v>5</v>
      </c>
      <c r="G57" s="34">
        <f t="shared" si="0"/>
        <v>1621</v>
      </c>
      <c r="I57" s="31"/>
    </row>
    <row r="58" spans="2:9" ht="17.25">
      <c r="B58" s="44">
        <v>46153</v>
      </c>
      <c r="C58" s="45" t="s">
        <v>281</v>
      </c>
      <c r="D58" s="45" t="s">
        <v>273</v>
      </c>
      <c r="E58" s="45" t="s">
        <v>284</v>
      </c>
      <c r="F58" s="45">
        <v>5</v>
      </c>
      <c r="G58" s="34">
        <f t="shared" si="0"/>
        <v>1616</v>
      </c>
      <c r="I58" s="31"/>
    </row>
    <row r="59" spans="2:9" ht="17.25">
      <c r="B59" s="44">
        <v>46140</v>
      </c>
      <c r="C59" s="45" t="s">
        <v>279</v>
      </c>
      <c r="D59" s="45" t="s">
        <v>271</v>
      </c>
      <c r="E59" s="45" t="s">
        <v>280</v>
      </c>
      <c r="F59" s="45">
        <v>40</v>
      </c>
      <c r="G59" s="34">
        <f t="shared" si="0"/>
        <v>1611</v>
      </c>
      <c r="I59" s="31"/>
    </row>
    <row r="60" spans="2:9" ht="17.25">
      <c r="B60" s="44">
        <v>46139</v>
      </c>
      <c r="C60" s="45" t="s">
        <v>279</v>
      </c>
      <c r="D60" s="45" t="s">
        <v>271</v>
      </c>
      <c r="E60" s="45" t="s">
        <v>280</v>
      </c>
      <c r="F60" s="45">
        <v>20</v>
      </c>
      <c r="G60" s="34">
        <f t="shared" si="0"/>
        <v>1571</v>
      </c>
      <c r="I60" s="31"/>
    </row>
    <row r="61" spans="2:9" ht="17.25">
      <c r="B61" s="44">
        <v>46134</v>
      </c>
      <c r="C61" s="45" t="s">
        <v>281</v>
      </c>
      <c r="D61" s="45" t="s">
        <v>276</v>
      </c>
      <c r="E61" s="45" t="s">
        <v>285</v>
      </c>
      <c r="F61" s="45">
        <v>1</v>
      </c>
      <c r="G61" s="34">
        <f t="shared" si="0"/>
        <v>1551</v>
      </c>
      <c r="I61" s="31"/>
    </row>
    <row r="62" spans="2:9" ht="17.25">
      <c r="B62" s="44">
        <v>46131</v>
      </c>
      <c r="C62" s="45" t="s">
        <v>281</v>
      </c>
      <c r="D62" s="45" t="s">
        <v>276</v>
      </c>
      <c r="E62" s="45" t="s">
        <v>285</v>
      </c>
      <c r="F62" s="45">
        <v>1</v>
      </c>
      <c r="G62" s="34">
        <f t="shared" si="0"/>
        <v>1550</v>
      </c>
      <c r="I62" s="31"/>
    </row>
    <row r="63" spans="2:9" ht="17.25">
      <c r="B63" s="44">
        <v>46130</v>
      </c>
      <c r="C63" s="45" t="s">
        <v>279</v>
      </c>
      <c r="D63" s="45" t="s">
        <v>271</v>
      </c>
      <c r="E63" s="45" t="s">
        <v>280</v>
      </c>
      <c r="F63" s="45">
        <v>5</v>
      </c>
      <c r="G63" s="34">
        <f t="shared" si="0"/>
        <v>1549</v>
      </c>
      <c r="I63" s="31"/>
    </row>
    <row r="64" spans="2:9" ht="17.25">
      <c r="B64" s="44">
        <v>46129</v>
      </c>
      <c r="C64" s="45" t="s">
        <v>281</v>
      </c>
      <c r="D64" s="45" t="s">
        <v>274</v>
      </c>
      <c r="E64" s="45" t="s">
        <v>274</v>
      </c>
      <c r="F64" s="45">
        <v>1</v>
      </c>
      <c r="G64" s="34">
        <f t="shared" si="0"/>
        <v>1544</v>
      </c>
      <c r="I64" s="31"/>
    </row>
    <row r="65" spans="2:9" ht="17.25">
      <c r="B65" s="44">
        <v>46129</v>
      </c>
      <c r="C65" s="45" t="s">
        <v>279</v>
      </c>
      <c r="D65" s="45" t="s">
        <v>271</v>
      </c>
      <c r="E65" s="45" t="s">
        <v>280</v>
      </c>
      <c r="F65" s="45">
        <v>5</v>
      </c>
      <c r="G65" s="34">
        <f t="shared" si="0"/>
        <v>1543</v>
      </c>
      <c r="I65" s="31"/>
    </row>
    <row r="66" spans="2:9" ht="17.25">
      <c r="B66" s="44">
        <v>46127</v>
      </c>
      <c r="C66" s="45" t="s">
        <v>281</v>
      </c>
      <c r="D66" s="45" t="s">
        <v>275</v>
      </c>
      <c r="E66" s="45" t="s">
        <v>283</v>
      </c>
      <c r="F66" s="45">
        <v>1</v>
      </c>
      <c r="G66" s="34">
        <f t="shared" si="0"/>
        <v>1538</v>
      </c>
      <c r="I66" s="31"/>
    </row>
    <row r="67" spans="2:9" ht="17.25">
      <c r="B67" s="44">
        <v>46127</v>
      </c>
      <c r="C67" s="45" t="s">
        <v>279</v>
      </c>
      <c r="D67" s="45" t="s">
        <v>271</v>
      </c>
      <c r="E67" s="45" t="s">
        <v>280</v>
      </c>
      <c r="F67" s="45">
        <v>40</v>
      </c>
      <c r="G67" s="34">
        <f t="shared" si="0"/>
        <v>1537</v>
      </c>
      <c r="I67" s="31"/>
    </row>
    <row r="68" spans="2:9" ht="17.25">
      <c r="B68" s="44">
        <v>46125</v>
      </c>
      <c r="C68" s="45" t="s">
        <v>279</v>
      </c>
      <c r="D68" s="45" t="s">
        <v>271</v>
      </c>
      <c r="E68" s="45" t="s">
        <v>280</v>
      </c>
      <c r="F68" s="45">
        <v>5</v>
      </c>
      <c r="G68" s="34">
        <f t="shared" si="0"/>
        <v>1497</v>
      </c>
      <c r="I68" s="31"/>
    </row>
    <row r="69" spans="2:9" ht="17.25">
      <c r="B69" s="44">
        <v>46124</v>
      </c>
      <c r="C69" s="45" t="s">
        <v>281</v>
      </c>
      <c r="D69" s="45" t="s">
        <v>273</v>
      </c>
      <c r="E69" s="45" t="s">
        <v>284</v>
      </c>
      <c r="F69" s="45">
        <v>30</v>
      </c>
      <c r="G69" s="34">
        <f t="shared" si="0"/>
        <v>1492</v>
      </c>
      <c r="I69" s="31"/>
    </row>
    <row r="70" spans="2:9" ht="17.25">
      <c r="B70" s="44">
        <v>46121</v>
      </c>
      <c r="C70" s="45" t="s">
        <v>279</v>
      </c>
      <c r="D70" s="45" t="s">
        <v>271</v>
      </c>
      <c r="E70" s="45" t="s">
        <v>280</v>
      </c>
      <c r="F70" s="45">
        <v>5</v>
      </c>
      <c r="G70" s="34">
        <f t="shared" si="0"/>
        <v>1462</v>
      </c>
      <c r="I70" s="31"/>
    </row>
    <row r="71" spans="2:9" ht="17.25">
      <c r="B71" s="44">
        <v>46113</v>
      </c>
      <c r="C71" s="45" t="s">
        <v>279</v>
      </c>
      <c r="D71" s="45" t="s">
        <v>271</v>
      </c>
      <c r="E71" s="45" t="s">
        <v>280</v>
      </c>
      <c r="F71" s="45">
        <v>5</v>
      </c>
      <c r="G71" s="34">
        <f t="shared" si="0"/>
        <v>1457</v>
      </c>
      <c r="I71" s="31"/>
    </row>
    <row r="72" spans="2:9" ht="17.25">
      <c r="B72" s="44">
        <v>46111</v>
      </c>
      <c r="C72" s="45" t="s">
        <v>279</v>
      </c>
      <c r="D72" s="45" t="s">
        <v>271</v>
      </c>
      <c r="E72" s="45" t="s">
        <v>280</v>
      </c>
      <c r="F72" s="45">
        <v>5</v>
      </c>
      <c r="G72" s="34">
        <f t="shared" si="0"/>
        <v>1452</v>
      </c>
      <c r="I72" s="31"/>
    </row>
    <row r="73" spans="2:9" ht="17.25">
      <c r="B73" s="44">
        <v>46110</v>
      </c>
      <c r="C73" s="45" t="s">
        <v>281</v>
      </c>
      <c r="D73" s="45" t="s">
        <v>276</v>
      </c>
      <c r="E73" s="45" t="s">
        <v>285</v>
      </c>
      <c r="F73" s="45">
        <v>1</v>
      </c>
      <c r="G73" s="34">
        <f t="shared" si="0"/>
        <v>1447</v>
      </c>
      <c r="I73" s="31"/>
    </row>
    <row r="74" spans="2:9" ht="17.25">
      <c r="B74" s="44">
        <v>46107</v>
      </c>
      <c r="C74" s="45" t="s">
        <v>277</v>
      </c>
      <c r="D74" s="45" t="s">
        <v>277</v>
      </c>
      <c r="E74" s="45" t="s">
        <v>287</v>
      </c>
      <c r="F74" s="45">
        <v>245</v>
      </c>
      <c r="G74" s="34">
        <f t="shared" si="0"/>
        <v>1446</v>
      </c>
      <c r="I74" s="31"/>
    </row>
    <row r="75" spans="2:9" ht="17.25">
      <c r="B75" s="44">
        <v>46107</v>
      </c>
      <c r="C75" s="45" t="s">
        <v>279</v>
      </c>
      <c r="D75" s="45" t="s">
        <v>271</v>
      </c>
      <c r="E75" s="45" t="s">
        <v>280</v>
      </c>
      <c r="F75" s="45">
        <v>5</v>
      </c>
      <c r="G75" s="34">
        <f t="shared" si="0"/>
        <v>1201</v>
      </c>
      <c r="I75" s="31"/>
    </row>
    <row r="76" spans="2:9" ht="17.25">
      <c r="B76" s="44">
        <v>46106</v>
      </c>
      <c r="C76" s="45" t="s">
        <v>279</v>
      </c>
      <c r="D76" s="45" t="s">
        <v>271</v>
      </c>
      <c r="E76" s="45" t="s">
        <v>280</v>
      </c>
      <c r="F76" s="45">
        <v>5</v>
      </c>
      <c r="G76" s="34">
        <f>G77+F76</f>
        <v>1196</v>
      </c>
      <c r="I76" s="31"/>
    </row>
    <row r="77" spans="2:9" ht="17.25">
      <c r="B77" s="44">
        <v>46104</v>
      </c>
      <c r="C77" s="45" t="s">
        <v>277</v>
      </c>
      <c r="D77" s="45" t="s">
        <v>277</v>
      </c>
      <c r="E77" s="45" t="s">
        <v>288</v>
      </c>
      <c r="F77" s="45">
        <v>5</v>
      </c>
      <c r="G77" s="34">
        <f t="shared" si="0"/>
        <v>1191</v>
      </c>
      <c r="I77" s="31"/>
    </row>
    <row r="78" spans="2:9" ht="17.25">
      <c r="B78" s="44">
        <v>46102</v>
      </c>
      <c r="C78" s="45" t="s">
        <v>281</v>
      </c>
      <c r="D78" s="45" t="s">
        <v>276</v>
      </c>
      <c r="E78" s="45" t="s">
        <v>285</v>
      </c>
      <c r="F78" s="45">
        <v>1</v>
      </c>
      <c r="G78" s="34">
        <f t="shared" si="0"/>
        <v>1186</v>
      </c>
      <c r="I78" s="31"/>
    </row>
    <row r="79" spans="2:9" ht="17.25">
      <c r="B79" s="44">
        <v>46099</v>
      </c>
      <c r="C79" s="45" t="s">
        <v>281</v>
      </c>
      <c r="D79" s="45" t="s">
        <v>274</v>
      </c>
      <c r="E79" s="45" t="s">
        <v>274</v>
      </c>
      <c r="F79" s="45">
        <v>1</v>
      </c>
      <c r="G79" s="34">
        <f t="shared" si="0"/>
        <v>1185</v>
      </c>
      <c r="I79" s="31"/>
    </row>
    <row r="80" spans="2:9" ht="17.25">
      <c r="B80" s="44">
        <v>46096</v>
      </c>
      <c r="C80" s="45" t="s">
        <v>281</v>
      </c>
      <c r="D80" s="45" t="s">
        <v>275</v>
      </c>
      <c r="E80" s="45" t="s">
        <v>283</v>
      </c>
      <c r="F80" s="45">
        <v>1</v>
      </c>
      <c r="G80" s="34">
        <f t="shared" si="0"/>
        <v>1184</v>
      </c>
      <c r="I80" s="31"/>
    </row>
    <row r="81" spans="2:9" ht="17.25">
      <c r="B81" s="44">
        <v>46093</v>
      </c>
      <c r="C81" s="45" t="s">
        <v>279</v>
      </c>
      <c r="D81" s="45" t="s">
        <v>271</v>
      </c>
      <c r="E81" s="45" t="s">
        <v>280</v>
      </c>
      <c r="F81" s="45">
        <v>50</v>
      </c>
      <c r="G81" s="34">
        <f t="shared" si="0"/>
        <v>1183</v>
      </c>
      <c r="I81" s="31"/>
    </row>
    <row r="82" spans="2:9" ht="17.25">
      <c r="B82" s="44">
        <v>46092</v>
      </c>
      <c r="C82" s="45" t="s">
        <v>281</v>
      </c>
      <c r="D82" s="45" t="s">
        <v>273</v>
      </c>
      <c r="E82" s="45" t="s">
        <v>284</v>
      </c>
      <c r="F82" s="45">
        <v>10</v>
      </c>
      <c r="G82" s="34">
        <f t="shared" si="0"/>
        <v>1133</v>
      </c>
      <c r="I82" s="31"/>
    </row>
    <row r="83" spans="2:9" ht="17.25">
      <c r="B83" s="44">
        <v>46083</v>
      </c>
      <c r="C83" s="45" t="s">
        <v>279</v>
      </c>
      <c r="D83" s="45" t="s">
        <v>271</v>
      </c>
      <c r="E83" s="45" t="s">
        <v>280</v>
      </c>
      <c r="F83" s="45">
        <v>10</v>
      </c>
      <c r="G83" s="34">
        <f t="shared" si="0"/>
        <v>1123</v>
      </c>
      <c r="I83" s="31"/>
    </row>
    <row r="84" spans="2:9" ht="17.25">
      <c r="B84" s="44">
        <v>46080</v>
      </c>
      <c r="C84" s="45" t="s">
        <v>279</v>
      </c>
      <c r="D84" s="45" t="s">
        <v>271</v>
      </c>
      <c r="E84" s="45" t="s">
        <v>280</v>
      </c>
      <c r="F84" s="45">
        <v>35</v>
      </c>
      <c r="G84" s="34">
        <f t="shared" si="0"/>
        <v>1113</v>
      </c>
      <c r="I84" s="31"/>
    </row>
    <row r="85" spans="2:9" ht="17.25">
      <c r="B85" s="44">
        <v>46077</v>
      </c>
      <c r="C85" s="45" t="s">
        <v>279</v>
      </c>
      <c r="D85" s="45" t="s">
        <v>271</v>
      </c>
      <c r="E85" s="45" t="s">
        <v>280</v>
      </c>
      <c r="F85" s="45">
        <v>40</v>
      </c>
      <c r="G85" s="34">
        <f t="shared" si="0"/>
        <v>1078</v>
      </c>
      <c r="I85" s="31"/>
    </row>
    <row r="86" spans="2:9" ht="17.25">
      <c r="B86" s="44">
        <v>46076</v>
      </c>
      <c r="C86" s="45" t="s">
        <v>279</v>
      </c>
      <c r="D86" s="45" t="s">
        <v>271</v>
      </c>
      <c r="E86" s="45" t="s">
        <v>280</v>
      </c>
      <c r="F86" s="45">
        <v>15</v>
      </c>
      <c r="G86" s="34">
        <f t="shared" si="0"/>
        <v>1038</v>
      </c>
      <c r="I86" s="31"/>
    </row>
    <row r="87" spans="2:9" ht="17.25">
      <c r="B87" s="44">
        <v>46074</v>
      </c>
      <c r="C87" s="45" t="s">
        <v>281</v>
      </c>
      <c r="D87" s="45" t="s">
        <v>276</v>
      </c>
      <c r="E87" s="45" t="s">
        <v>285</v>
      </c>
      <c r="F87" s="45">
        <v>1</v>
      </c>
      <c r="G87" s="34">
        <f t="shared" si="0"/>
        <v>1023</v>
      </c>
      <c r="I87" s="31"/>
    </row>
    <row r="88" spans="2:9" ht="17.25">
      <c r="B88" s="44">
        <v>46071</v>
      </c>
      <c r="C88" s="45" t="s">
        <v>281</v>
      </c>
      <c r="D88" s="45" t="s">
        <v>274</v>
      </c>
      <c r="E88" s="45" t="s">
        <v>274</v>
      </c>
      <c r="F88" s="45">
        <v>1</v>
      </c>
      <c r="G88" s="34">
        <f t="shared" si="0"/>
        <v>1022</v>
      </c>
      <c r="I88" s="31"/>
    </row>
    <row r="89" spans="2:9" ht="17.25">
      <c r="B89" s="44">
        <v>46068</v>
      </c>
      <c r="C89" s="45" t="s">
        <v>281</v>
      </c>
      <c r="D89" s="45" t="s">
        <v>275</v>
      </c>
      <c r="E89" s="45" t="s">
        <v>283</v>
      </c>
      <c r="F89" s="45">
        <v>1</v>
      </c>
      <c r="G89" s="34">
        <f t="shared" si="0"/>
        <v>1021</v>
      </c>
      <c r="I89" s="31"/>
    </row>
    <row r="90" spans="2:9" ht="17.25">
      <c r="B90" s="44">
        <v>46066</v>
      </c>
      <c r="C90" s="45" t="s">
        <v>279</v>
      </c>
      <c r="D90" s="45" t="s">
        <v>271</v>
      </c>
      <c r="E90" s="45" t="s">
        <v>280</v>
      </c>
      <c r="F90" s="45">
        <v>30</v>
      </c>
      <c r="G90" s="34">
        <f t="shared" si="0"/>
        <v>1020</v>
      </c>
      <c r="I90" s="31"/>
    </row>
    <row r="91" spans="2:9" ht="17.25">
      <c r="B91" s="44">
        <v>46065</v>
      </c>
      <c r="C91" s="45" t="s">
        <v>279</v>
      </c>
      <c r="D91" s="45" t="s">
        <v>271</v>
      </c>
      <c r="E91" s="45" t="s">
        <v>280</v>
      </c>
      <c r="F91" s="45">
        <v>10</v>
      </c>
      <c r="G91" s="34">
        <f t="shared" si="0"/>
        <v>990</v>
      </c>
      <c r="I91" s="31"/>
    </row>
    <row r="92" spans="2:9" ht="17.25">
      <c r="B92" s="44">
        <v>46064</v>
      </c>
      <c r="C92" s="45" t="s">
        <v>281</v>
      </c>
      <c r="D92" s="45" t="s">
        <v>273</v>
      </c>
      <c r="E92" s="45" t="s">
        <v>284</v>
      </c>
      <c r="F92" s="45">
        <v>10</v>
      </c>
      <c r="G92" s="34">
        <f t="shared" si="0"/>
        <v>980</v>
      </c>
      <c r="I92" s="31"/>
    </row>
    <row r="93" spans="2:9" ht="17.25">
      <c r="B93" s="44">
        <v>46064</v>
      </c>
      <c r="C93" s="45" t="s">
        <v>279</v>
      </c>
      <c r="D93" s="45" t="s">
        <v>271</v>
      </c>
      <c r="E93" s="45" t="s">
        <v>280</v>
      </c>
      <c r="F93" s="45">
        <v>5</v>
      </c>
      <c r="G93" s="34">
        <f t="shared" si="0"/>
        <v>970</v>
      </c>
      <c r="I93" s="31"/>
    </row>
    <row r="94" spans="2:9" ht="17.25">
      <c r="B94" s="44">
        <v>46063</v>
      </c>
      <c r="C94" s="45" t="s">
        <v>279</v>
      </c>
      <c r="D94" s="45" t="s">
        <v>271</v>
      </c>
      <c r="E94" s="45" t="s">
        <v>280</v>
      </c>
      <c r="F94" s="45">
        <v>45</v>
      </c>
      <c r="G94" s="34">
        <f t="shared" si="0"/>
        <v>965</v>
      </c>
      <c r="I94" s="31"/>
    </row>
    <row r="95" spans="2:9" ht="17.25">
      <c r="B95" s="44">
        <v>46062</v>
      </c>
      <c r="C95" s="45" t="s">
        <v>279</v>
      </c>
      <c r="D95" s="45" t="s">
        <v>271</v>
      </c>
      <c r="E95" s="45" t="s">
        <v>280</v>
      </c>
      <c r="F95" s="45">
        <v>25</v>
      </c>
      <c r="G95" s="34">
        <f t="shared" si="0"/>
        <v>920</v>
      </c>
      <c r="I95" s="31"/>
    </row>
    <row r="96" spans="2:9" ht="17.25">
      <c r="B96" s="44">
        <v>46061</v>
      </c>
      <c r="C96" s="45" t="s">
        <v>279</v>
      </c>
      <c r="D96" s="45" t="s">
        <v>271</v>
      </c>
      <c r="E96" s="45" t="s">
        <v>280</v>
      </c>
      <c r="F96" s="45">
        <v>30</v>
      </c>
      <c r="G96" s="34">
        <f t="shared" si="0"/>
        <v>895</v>
      </c>
      <c r="I96" s="31"/>
    </row>
    <row r="97" spans="2:9" ht="17.25">
      <c r="B97" s="44">
        <v>46059</v>
      </c>
      <c r="C97" s="45" t="s">
        <v>279</v>
      </c>
      <c r="D97" s="45" t="s">
        <v>271</v>
      </c>
      <c r="E97" s="45" t="s">
        <v>280</v>
      </c>
      <c r="F97" s="45">
        <v>5</v>
      </c>
      <c r="G97" s="34">
        <f t="shared" si="0"/>
        <v>865</v>
      </c>
      <c r="I97" s="31"/>
    </row>
    <row r="98" spans="2:9" ht="17.25">
      <c r="B98" s="44">
        <v>46057</v>
      </c>
      <c r="C98" s="45" t="s">
        <v>279</v>
      </c>
      <c r="D98" s="45" t="s">
        <v>271</v>
      </c>
      <c r="E98" s="45" t="s">
        <v>280</v>
      </c>
      <c r="F98" s="45">
        <v>5</v>
      </c>
      <c r="G98" s="34">
        <f t="shared" si="0"/>
        <v>860</v>
      </c>
      <c r="I98" s="31"/>
    </row>
    <row r="99" spans="2:9" ht="17.25">
      <c r="B99" s="44">
        <v>46056</v>
      </c>
      <c r="C99" s="45" t="s">
        <v>279</v>
      </c>
      <c r="D99" s="45" t="s">
        <v>271</v>
      </c>
      <c r="E99" s="45" t="s">
        <v>280</v>
      </c>
      <c r="F99" s="45">
        <v>5</v>
      </c>
      <c r="G99" s="34">
        <f t="shared" si="0"/>
        <v>855</v>
      </c>
      <c r="I99" s="31"/>
    </row>
    <row r="100" spans="2:9" ht="17.25">
      <c r="B100" s="44">
        <v>46055</v>
      </c>
      <c r="C100" s="45" t="s">
        <v>277</v>
      </c>
      <c r="D100" s="45" t="s">
        <v>277</v>
      </c>
      <c r="E100" s="45" t="s">
        <v>289</v>
      </c>
      <c r="F100" s="45">
        <v>10</v>
      </c>
      <c r="G100" s="34">
        <f t="shared" si="0"/>
        <v>850</v>
      </c>
      <c r="I100" s="31"/>
    </row>
    <row r="101" spans="2:9" ht="17.25">
      <c r="B101" s="44">
        <v>46054</v>
      </c>
      <c r="C101" s="45" t="s">
        <v>279</v>
      </c>
      <c r="D101" s="45" t="s">
        <v>271</v>
      </c>
      <c r="E101" s="45" t="s">
        <v>280</v>
      </c>
      <c r="F101" s="45">
        <v>5</v>
      </c>
      <c r="G101" s="34">
        <f t="shared" si="0"/>
        <v>840</v>
      </c>
      <c r="I101" s="31"/>
    </row>
    <row r="102" spans="2:9" ht="17.25">
      <c r="B102" s="44">
        <v>46052</v>
      </c>
      <c r="C102" s="45" t="s">
        <v>279</v>
      </c>
      <c r="D102" s="45" t="s">
        <v>271</v>
      </c>
      <c r="E102" s="45" t="s">
        <v>280</v>
      </c>
      <c r="F102" s="45">
        <v>5</v>
      </c>
      <c r="G102" s="34">
        <f t="shared" si="0"/>
        <v>835</v>
      </c>
      <c r="I102" s="31"/>
    </row>
    <row r="103" spans="2:9" ht="17.25">
      <c r="B103" s="44">
        <v>46051</v>
      </c>
      <c r="C103" s="45" t="s">
        <v>279</v>
      </c>
      <c r="D103" s="45" t="s">
        <v>271</v>
      </c>
      <c r="E103" s="45" t="s">
        <v>280</v>
      </c>
      <c r="F103" s="45">
        <v>5</v>
      </c>
      <c r="G103" s="34">
        <f t="shared" si="0"/>
        <v>830</v>
      </c>
      <c r="I103" s="31"/>
    </row>
    <row r="104" spans="2:9" ht="17.25">
      <c r="B104" s="44">
        <v>46048</v>
      </c>
      <c r="C104" s="45" t="s">
        <v>279</v>
      </c>
      <c r="D104" s="45" t="s">
        <v>271</v>
      </c>
      <c r="E104" s="45" t="s">
        <v>280</v>
      </c>
      <c r="F104" s="45">
        <v>30</v>
      </c>
      <c r="G104" s="34">
        <f t="shared" si="0"/>
        <v>825</v>
      </c>
      <c r="I104" s="31"/>
    </row>
    <row r="105" spans="2:9" ht="17.25">
      <c r="B105" s="44">
        <v>46047</v>
      </c>
      <c r="C105" s="45" t="s">
        <v>281</v>
      </c>
      <c r="D105" s="45" t="s">
        <v>276</v>
      </c>
      <c r="E105" s="45" t="s">
        <v>285</v>
      </c>
      <c r="F105" s="45">
        <v>2</v>
      </c>
      <c r="G105" s="34">
        <f t="shared" si="0"/>
        <v>795</v>
      </c>
      <c r="I105" s="31"/>
    </row>
    <row r="106" spans="2:9" ht="17.25">
      <c r="B106" s="44">
        <v>46044</v>
      </c>
      <c r="C106" s="45" t="s">
        <v>279</v>
      </c>
      <c r="D106" s="45" t="s">
        <v>271</v>
      </c>
      <c r="E106" s="45" t="s">
        <v>280</v>
      </c>
      <c r="F106" s="45">
        <v>10</v>
      </c>
      <c r="G106" s="34">
        <f t="shared" si="0"/>
        <v>793</v>
      </c>
      <c r="I106" s="31"/>
    </row>
    <row r="107" spans="2:9" ht="17.25">
      <c r="B107" s="44">
        <v>46041</v>
      </c>
      <c r="C107" s="45" t="s">
        <v>281</v>
      </c>
      <c r="D107" s="45" t="s">
        <v>274</v>
      </c>
      <c r="E107" s="45" t="s">
        <v>274</v>
      </c>
      <c r="F107" s="45">
        <v>1</v>
      </c>
      <c r="G107" s="34">
        <f t="shared" si="0"/>
        <v>783</v>
      </c>
      <c r="I107" s="31"/>
    </row>
    <row r="108" spans="2:9" ht="17.25">
      <c r="B108" s="44">
        <v>46040</v>
      </c>
      <c r="C108" s="45" t="s">
        <v>279</v>
      </c>
      <c r="D108" s="45" t="s">
        <v>271</v>
      </c>
      <c r="E108" s="45" t="s">
        <v>280</v>
      </c>
      <c r="F108" s="45">
        <v>5</v>
      </c>
      <c r="G108" s="34">
        <f t="shared" si="0"/>
        <v>782</v>
      </c>
      <c r="I108" s="31"/>
    </row>
    <row r="109" spans="2:9" ht="17.25">
      <c r="B109" s="44">
        <v>46039</v>
      </c>
      <c r="C109" s="45" t="s">
        <v>279</v>
      </c>
      <c r="D109" s="45" t="s">
        <v>271</v>
      </c>
      <c r="E109" s="45" t="s">
        <v>280</v>
      </c>
      <c r="F109" s="45">
        <v>5</v>
      </c>
      <c r="G109" s="34">
        <f t="shared" si="0"/>
        <v>777</v>
      </c>
      <c r="I109" s="31"/>
    </row>
    <row r="110" spans="2:9" ht="17.25">
      <c r="B110" s="44">
        <v>46037</v>
      </c>
      <c r="C110" s="45" t="s">
        <v>281</v>
      </c>
      <c r="D110" s="45" t="s">
        <v>275</v>
      </c>
      <c r="E110" s="45" t="s">
        <v>283</v>
      </c>
      <c r="F110" s="45">
        <v>1</v>
      </c>
      <c r="G110" s="34">
        <f t="shared" si="0"/>
        <v>772</v>
      </c>
      <c r="I110" s="31"/>
    </row>
    <row r="111" spans="2:9" ht="17.25">
      <c r="B111" s="44">
        <v>46035</v>
      </c>
      <c r="C111" s="45" t="s">
        <v>279</v>
      </c>
      <c r="D111" s="45" t="s">
        <v>271</v>
      </c>
      <c r="E111" s="45" t="s">
        <v>280</v>
      </c>
      <c r="F111" s="45">
        <v>40</v>
      </c>
      <c r="G111" s="34">
        <f t="shared" si="0"/>
        <v>771</v>
      </c>
      <c r="I111" s="31"/>
    </row>
    <row r="112" spans="2:9" ht="17.25">
      <c r="B112" s="44">
        <v>46034</v>
      </c>
      <c r="C112" s="45" t="s">
        <v>279</v>
      </c>
      <c r="D112" s="45" t="s">
        <v>271</v>
      </c>
      <c r="E112" s="45" t="s">
        <v>280</v>
      </c>
      <c r="F112" s="45">
        <v>20</v>
      </c>
      <c r="G112" s="34">
        <f t="shared" si="0"/>
        <v>731</v>
      </c>
      <c r="I112" s="31"/>
    </row>
    <row r="113" spans="2:10" ht="17.25">
      <c r="B113" s="44">
        <v>46033</v>
      </c>
      <c r="C113" s="45" t="s">
        <v>281</v>
      </c>
      <c r="D113" s="45" t="s">
        <v>273</v>
      </c>
      <c r="E113" s="45" t="s">
        <v>284</v>
      </c>
      <c r="F113" s="45">
        <v>30</v>
      </c>
      <c r="G113" s="34">
        <f t="shared" si="0"/>
        <v>711</v>
      </c>
      <c r="J113">
        <f>SUM(J4:J11)</f>
        <v>3518</v>
      </c>
    </row>
    <row r="114" spans="2:10" ht="17.25">
      <c r="B114" s="44">
        <v>46033</v>
      </c>
      <c r="C114" s="45" t="s">
        <v>279</v>
      </c>
      <c r="D114" s="45" t="s">
        <v>271</v>
      </c>
      <c r="E114" s="45" t="s">
        <v>280</v>
      </c>
      <c r="F114" s="45">
        <v>40</v>
      </c>
      <c r="G114" s="34">
        <f t="shared" si="0"/>
        <v>681</v>
      </c>
    </row>
    <row r="115" spans="2:10" ht="17.25">
      <c r="B115" s="44">
        <v>46032</v>
      </c>
      <c r="C115" s="45" t="s">
        <v>279</v>
      </c>
      <c r="D115" s="45" t="s">
        <v>271</v>
      </c>
      <c r="E115" s="45" t="s">
        <v>280</v>
      </c>
      <c r="F115" s="45">
        <v>10</v>
      </c>
      <c r="G115" s="34">
        <f t="shared" si="0"/>
        <v>641</v>
      </c>
    </row>
    <row r="116" spans="2:10" ht="17.25">
      <c r="B116" s="44">
        <v>46030</v>
      </c>
      <c r="C116" s="45" t="s">
        <v>279</v>
      </c>
      <c r="D116" s="45" t="s">
        <v>271</v>
      </c>
      <c r="E116" s="45" t="s">
        <v>280</v>
      </c>
      <c r="F116" s="45">
        <v>5</v>
      </c>
      <c r="G116" s="34">
        <f t="shared" si="0"/>
        <v>631</v>
      </c>
    </row>
    <row r="117" spans="2:10" ht="17.25">
      <c r="B117" s="44">
        <v>46016</v>
      </c>
      <c r="C117" s="45" t="s">
        <v>279</v>
      </c>
      <c r="D117" s="45" t="s">
        <v>271</v>
      </c>
      <c r="E117" s="45" t="s">
        <v>280</v>
      </c>
      <c r="F117" s="45">
        <v>5</v>
      </c>
      <c r="G117" s="34">
        <f t="shared" si="0"/>
        <v>626</v>
      </c>
    </row>
    <row r="118" spans="2:10" ht="17.25">
      <c r="B118" s="44">
        <v>46014</v>
      </c>
      <c r="C118" s="45" t="s">
        <v>279</v>
      </c>
      <c r="D118" s="45" t="s">
        <v>271</v>
      </c>
      <c r="E118" s="45" t="s">
        <v>280</v>
      </c>
      <c r="F118" s="45">
        <v>5</v>
      </c>
      <c r="G118" s="34">
        <f t="shared" si="0"/>
        <v>621</v>
      </c>
    </row>
    <row r="119" spans="2:10" ht="17.25">
      <c r="B119" s="44">
        <v>46012</v>
      </c>
      <c r="C119" s="45" t="s">
        <v>281</v>
      </c>
      <c r="D119" s="45" t="s">
        <v>276</v>
      </c>
      <c r="E119" s="45" t="s">
        <v>285</v>
      </c>
      <c r="F119" s="45">
        <v>1</v>
      </c>
      <c r="G119" s="34">
        <f t="shared" si="0"/>
        <v>616</v>
      </c>
    </row>
    <row r="120" spans="2:10" ht="17.25">
      <c r="B120" s="44">
        <v>46012</v>
      </c>
      <c r="C120" s="45" t="s">
        <v>279</v>
      </c>
      <c r="D120" s="45" t="s">
        <v>271</v>
      </c>
      <c r="E120" s="45" t="s">
        <v>280</v>
      </c>
      <c r="F120" s="45">
        <v>5</v>
      </c>
      <c r="G120" s="34">
        <f t="shared" si="0"/>
        <v>615</v>
      </c>
    </row>
    <row r="121" spans="2:10" ht="17.25">
      <c r="B121" s="44">
        <v>46011</v>
      </c>
      <c r="C121" s="45" t="s">
        <v>279</v>
      </c>
      <c r="D121" s="45" t="s">
        <v>271</v>
      </c>
      <c r="E121" s="45" t="s">
        <v>280</v>
      </c>
      <c r="F121" s="45">
        <v>5</v>
      </c>
      <c r="G121" s="34">
        <f t="shared" si="0"/>
        <v>610</v>
      </c>
    </row>
    <row r="122" spans="2:10" ht="17.25">
      <c r="B122" s="44">
        <v>46008</v>
      </c>
      <c r="C122" s="45" t="s">
        <v>281</v>
      </c>
      <c r="D122" s="45" t="s">
        <v>274</v>
      </c>
      <c r="E122" s="45" t="s">
        <v>274</v>
      </c>
      <c r="F122" s="45">
        <v>1</v>
      </c>
      <c r="G122" s="34">
        <f t="shared" si="0"/>
        <v>605</v>
      </c>
    </row>
    <row r="123" spans="2:10" ht="17.25">
      <c r="B123" s="44">
        <v>46006</v>
      </c>
      <c r="C123" s="45" t="s">
        <v>281</v>
      </c>
      <c r="D123" s="45" t="s">
        <v>275</v>
      </c>
      <c r="E123" s="45" t="s">
        <v>283</v>
      </c>
      <c r="F123" s="45">
        <v>1</v>
      </c>
      <c r="G123" s="34">
        <f t="shared" si="0"/>
        <v>604</v>
      </c>
    </row>
    <row r="124" spans="2:10" ht="17.25">
      <c r="B124" s="44">
        <v>46002</v>
      </c>
      <c r="C124" s="45" t="s">
        <v>281</v>
      </c>
      <c r="D124" s="45" t="s">
        <v>273</v>
      </c>
      <c r="E124" s="45" t="s">
        <v>284</v>
      </c>
      <c r="F124" s="45">
        <v>10</v>
      </c>
      <c r="G124" s="34">
        <f t="shared" si="0"/>
        <v>603</v>
      </c>
    </row>
    <row r="125" spans="2:10" ht="17.25">
      <c r="B125" s="44">
        <v>45996</v>
      </c>
      <c r="C125" s="45" t="s">
        <v>279</v>
      </c>
      <c r="D125" s="45" t="s">
        <v>271</v>
      </c>
      <c r="E125" s="45" t="s">
        <v>280</v>
      </c>
      <c r="F125" s="45">
        <v>45</v>
      </c>
      <c r="G125" s="34">
        <f t="shared" si="0"/>
        <v>593</v>
      </c>
    </row>
    <row r="126" spans="2:10" ht="17.25">
      <c r="B126" s="44">
        <v>45995</v>
      </c>
      <c r="C126" s="45" t="s">
        <v>279</v>
      </c>
      <c r="D126" s="45" t="s">
        <v>271</v>
      </c>
      <c r="E126" s="45" t="s">
        <v>280</v>
      </c>
      <c r="F126" s="45">
        <v>5</v>
      </c>
      <c r="G126" s="34">
        <f t="shared" si="0"/>
        <v>548</v>
      </c>
    </row>
    <row r="127" spans="2:10" ht="17.25">
      <c r="B127" s="44">
        <v>45994</v>
      </c>
      <c r="C127" s="45" t="s">
        <v>279</v>
      </c>
      <c r="D127" s="45" t="s">
        <v>271</v>
      </c>
      <c r="E127" s="45" t="s">
        <v>280</v>
      </c>
      <c r="F127" s="45">
        <v>5</v>
      </c>
      <c r="G127" s="34">
        <f t="shared" si="0"/>
        <v>543</v>
      </c>
    </row>
    <row r="128" spans="2:10" ht="17.25">
      <c r="B128" s="44">
        <v>45990</v>
      </c>
      <c r="C128" s="45" t="s">
        <v>279</v>
      </c>
      <c r="D128" s="45" t="s">
        <v>271</v>
      </c>
      <c r="E128" s="45" t="s">
        <v>280</v>
      </c>
      <c r="F128" s="45">
        <v>5</v>
      </c>
      <c r="G128" s="34">
        <f t="shared" si="0"/>
        <v>538</v>
      </c>
    </row>
    <row r="129" spans="2:7" ht="17.25">
      <c r="B129" s="44">
        <v>45989</v>
      </c>
      <c r="C129" s="45" t="s">
        <v>279</v>
      </c>
      <c r="D129" s="45" t="s">
        <v>271</v>
      </c>
      <c r="E129" s="45" t="s">
        <v>280</v>
      </c>
      <c r="F129" s="45">
        <v>5</v>
      </c>
      <c r="G129" s="34">
        <f t="shared" si="0"/>
        <v>533</v>
      </c>
    </row>
    <row r="130" spans="2:7" ht="17.25">
      <c r="B130" s="44">
        <v>45988</v>
      </c>
      <c r="C130" s="45" t="s">
        <v>277</v>
      </c>
      <c r="D130" s="45" t="s">
        <v>277</v>
      </c>
      <c r="E130" s="45" t="s">
        <v>290</v>
      </c>
      <c r="F130" s="45">
        <v>18</v>
      </c>
      <c r="G130" s="34">
        <f t="shared" si="0"/>
        <v>528</v>
      </c>
    </row>
    <row r="131" spans="2:7" ht="17.25">
      <c r="B131" s="44">
        <v>45988</v>
      </c>
      <c r="C131" s="45" t="s">
        <v>279</v>
      </c>
      <c r="D131" s="45" t="s">
        <v>271</v>
      </c>
      <c r="E131" s="45" t="s">
        <v>280</v>
      </c>
      <c r="F131" s="45">
        <v>5</v>
      </c>
      <c r="G131" s="34">
        <f t="shared" si="0"/>
        <v>510</v>
      </c>
    </row>
    <row r="132" spans="2:7" ht="17.25">
      <c r="B132" s="44">
        <v>45987</v>
      </c>
      <c r="C132" s="45" t="s">
        <v>279</v>
      </c>
      <c r="D132" s="45" t="s">
        <v>271</v>
      </c>
      <c r="E132" s="45" t="s">
        <v>280</v>
      </c>
      <c r="F132" s="45">
        <v>5</v>
      </c>
      <c r="G132" s="34">
        <f>G133+F132</f>
        <v>505</v>
      </c>
    </row>
    <row r="133" spans="2:7" ht="17.25">
      <c r="B133" s="44">
        <v>45985</v>
      </c>
      <c r="C133" s="45" t="s">
        <v>279</v>
      </c>
      <c r="D133" s="45" t="s">
        <v>271</v>
      </c>
      <c r="E133" s="45" t="s">
        <v>280</v>
      </c>
      <c r="F133" s="45">
        <v>5</v>
      </c>
      <c r="G133" s="34">
        <f t="shared" si="0"/>
        <v>500</v>
      </c>
    </row>
    <row r="134" spans="2:7" ht="17.25">
      <c r="B134" s="44">
        <v>45983</v>
      </c>
      <c r="C134" s="45" t="s">
        <v>279</v>
      </c>
      <c r="D134" s="45" t="s">
        <v>271</v>
      </c>
      <c r="E134" s="45" t="s">
        <v>280</v>
      </c>
      <c r="F134" s="45">
        <v>5</v>
      </c>
      <c r="G134" s="34">
        <f t="shared" si="0"/>
        <v>495</v>
      </c>
    </row>
    <row r="135" spans="2:7" ht="17.25">
      <c r="B135" s="44">
        <v>45982</v>
      </c>
      <c r="C135" s="45" t="s">
        <v>281</v>
      </c>
      <c r="D135" s="45" t="s">
        <v>276</v>
      </c>
      <c r="E135" s="45" t="s">
        <v>285</v>
      </c>
      <c r="F135" s="45">
        <v>1</v>
      </c>
      <c r="G135" s="34">
        <f t="shared" si="0"/>
        <v>490</v>
      </c>
    </row>
    <row r="136" spans="2:7" ht="17.25">
      <c r="B136" s="44">
        <v>45978</v>
      </c>
      <c r="C136" s="45" t="s">
        <v>281</v>
      </c>
      <c r="D136" s="45" t="s">
        <v>274</v>
      </c>
      <c r="E136" s="45" t="s">
        <v>274</v>
      </c>
      <c r="F136" s="45">
        <v>1</v>
      </c>
      <c r="G136" s="34">
        <f t="shared" si="0"/>
        <v>489</v>
      </c>
    </row>
    <row r="137" spans="2:7" ht="17.25">
      <c r="B137" s="44">
        <v>45976</v>
      </c>
      <c r="C137" s="45" t="s">
        <v>281</v>
      </c>
      <c r="D137" s="45" t="s">
        <v>275</v>
      </c>
      <c r="E137" s="45" t="s">
        <v>283</v>
      </c>
      <c r="F137" s="45">
        <v>1</v>
      </c>
      <c r="G137" s="34">
        <f>G138+F137</f>
        <v>488</v>
      </c>
    </row>
    <row r="138" spans="2:7" ht="17.25">
      <c r="B138" s="44">
        <v>45972</v>
      </c>
      <c r="C138" s="45" t="s">
        <v>281</v>
      </c>
      <c r="D138" s="45" t="s">
        <v>273</v>
      </c>
      <c r="E138" s="45" t="s">
        <v>284</v>
      </c>
      <c r="F138" s="45">
        <v>20</v>
      </c>
      <c r="G138" s="34">
        <f t="shared" si="0"/>
        <v>487</v>
      </c>
    </row>
    <row r="139" spans="2:7" ht="17.25">
      <c r="B139" s="44">
        <v>45960</v>
      </c>
      <c r="C139" s="45" t="s">
        <v>277</v>
      </c>
      <c r="D139" s="45" t="s">
        <v>277</v>
      </c>
      <c r="E139" s="45" t="s">
        <v>291</v>
      </c>
      <c r="F139" s="45">
        <v>10</v>
      </c>
      <c r="G139" s="34">
        <f t="shared" si="0"/>
        <v>467</v>
      </c>
    </row>
    <row r="140" spans="2:7" ht="17.25">
      <c r="B140" s="44">
        <v>45956</v>
      </c>
      <c r="C140" s="45" t="s">
        <v>279</v>
      </c>
      <c r="D140" s="45" t="s">
        <v>271</v>
      </c>
      <c r="E140" s="45" t="s">
        <v>280</v>
      </c>
      <c r="F140" s="45">
        <v>5</v>
      </c>
      <c r="G140" s="34">
        <f t="shared" si="0"/>
        <v>457</v>
      </c>
    </row>
    <row r="141" spans="2:7" ht="17.25">
      <c r="B141" s="44">
        <v>45955</v>
      </c>
      <c r="C141" s="45" t="s">
        <v>279</v>
      </c>
      <c r="D141" s="45" t="s">
        <v>271</v>
      </c>
      <c r="E141" s="45" t="s">
        <v>280</v>
      </c>
      <c r="F141" s="45">
        <v>5</v>
      </c>
      <c r="G141" s="34">
        <f t="shared" si="0"/>
        <v>452</v>
      </c>
    </row>
    <row r="142" spans="2:7" ht="17.25">
      <c r="B142" s="44">
        <v>45953</v>
      </c>
      <c r="C142" s="45" t="s">
        <v>279</v>
      </c>
      <c r="D142" s="45" t="s">
        <v>271</v>
      </c>
      <c r="E142" s="45" t="s">
        <v>280</v>
      </c>
      <c r="F142" s="45">
        <v>5</v>
      </c>
      <c r="G142" s="34">
        <f t="shared" si="0"/>
        <v>447</v>
      </c>
    </row>
    <row r="143" spans="2:7" ht="17.25">
      <c r="B143" s="44">
        <v>45952</v>
      </c>
      <c r="C143" s="45" t="s">
        <v>281</v>
      </c>
      <c r="D143" s="45" t="s">
        <v>276</v>
      </c>
      <c r="E143" s="45" t="s">
        <v>285</v>
      </c>
      <c r="F143" s="45">
        <v>1</v>
      </c>
      <c r="G143" s="34">
        <f t="shared" si="0"/>
        <v>442</v>
      </c>
    </row>
    <row r="144" spans="2:7" ht="17.25">
      <c r="B144" s="44">
        <v>45951</v>
      </c>
      <c r="C144" s="45" t="s">
        <v>279</v>
      </c>
      <c r="D144" s="45" t="s">
        <v>271</v>
      </c>
      <c r="E144" s="45" t="s">
        <v>280</v>
      </c>
      <c r="F144" s="45">
        <v>10</v>
      </c>
      <c r="G144" s="34">
        <f t="shared" si="0"/>
        <v>441</v>
      </c>
    </row>
    <row r="145" spans="2:7" ht="17.25">
      <c r="B145" s="44">
        <v>45947</v>
      </c>
      <c r="C145" s="45" t="s">
        <v>281</v>
      </c>
      <c r="D145" s="45" t="s">
        <v>274</v>
      </c>
      <c r="E145" s="45" t="s">
        <v>274</v>
      </c>
      <c r="F145" s="45">
        <v>1</v>
      </c>
      <c r="G145" s="34">
        <f t="shared" si="0"/>
        <v>431</v>
      </c>
    </row>
    <row r="146" spans="2:7" ht="17.25">
      <c r="B146" s="44">
        <v>45945</v>
      </c>
      <c r="C146" s="45" t="s">
        <v>281</v>
      </c>
      <c r="D146" s="45" t="s">
        <v>275</v>
      </c>
      <c r="E146" s="45" t="s">
        <v>283</v>
      </c>
      <c r="F146" s="45">
        <v>1</v>
      </c>
      <c r="G146" s="34">
        <f t="shared" si="0"/>
        <v>430</v>
      </c>
    </row>
    <row r="147" spans="2:7" ht="17.25">
      <c r="B147" s="44">
        <v>45943</v>
      </c>
      <c r="C147" s="45" t="s">
        <v>279</v>
      </c>
      <c r="D147" s="45" t="s">
        <v>271</v>
      </c>
      <c r="E147" s="45" t="s">
        <v>280</v>
      </c>
      <c r="F147" s="45">
        <v>5</v>
      </c>
      <c r="G147" s="34">
        <f t="shared" si="0"/>
        <v>429</v>
      </c>
    </row>
    <row r="148" spans="2:7" ht="17.25">
      <c r="B148" s="44">
        <v>45941</v>
      </c>
      <c r="C148" s="45" t="s">
        <v>281</v>
      </c>
      <c r="D148" s="45" t="s">
        <v>273</v>
      </c>
      <c r="E148" s="45" t="s">
        <v>284</v>
      </c>
      <c r="F148" s="45">
        <v>15</v>
      </c>
      <c r="G148" s="34">
        <f t="shared" si="0"/>
        <v>424</v>
      </c>
    </row>
    <row r="149" spans="2:7" ht="17.25">
      <c r="B149" s="44">
        <v>45941</v>
      </c>
      <c r="C149" s="45" t="s">
        <v>279</v>
      </c>
      <c r="D149" s="45" t="s">
        <v>271</v>
      </c>
      <c r="E149" s="45" t="s">
        <v>280</v>
      </c>
      <c r="F149" s="45">
        <v>5</v>
      </c>
      <c r="G149" s="34">
        <f t="shared" si="0"/>
        <v>409</v>
      </c>
    </row>
    <row r="150" spans="2:7" ht="17.25">
      <c r="B150" s="44">
        <v>45937</v>
      </c>
      <c r="C150" s="45" t="s">
        <v>279</v>
      </c>
      <c r="D150" s="45" t="s">
        <v>271</v>
      </c>
      <c r="E150" s="45" t="s">
        <v>280</v>
      </c>
      <c r="F150" s="45">
        <v>35</v>
      </c>
      <c r="G150" s="34">
        <f t="shared" si="0"/>
        <v>404</v>
      </c>
    </row>
    <row r="151" spans="2:7" ht="17.25">
      <c r="B151" s="44">
        <v>45936</v>
      </c>
      <c r="C151" s="45" t="s">
        <v>279</v>
      </c>
      <c r="D151" s="45" t="s">
        <v>271</v>
      </c>
      <c r="E151" s="45" t="s">
        <v>280</v>
      </c>
      <c r="F151" s="45">
        <v>5</v>
      </c>
      <c r="G151" s="34">
        <f t="shared" si="0"/>
        <v>369</v>
      </c>
    </row>
    <row r="152" spans="2:7" ht="17.25">
      <c r="B152" s="44">
        <v>45934</v>
      </c>
      <c r="C152" s="45" t="s">
        <v>279</v>
      </c>
      <c r="D152" s="45" t="s">
        <v>271</v>
      </c>
      <c r="E152" s="45" t="s">
        <v>280</v>
      </c>
      <c r="F152" s="45">
        <v>5</v>
      </c>
      <c r="G152" s="34">
        <f t="shared" si="0"/>
        <v>364</v>
      </c>
    </row>
    <row r="153" spans="2:7" ht="17.25">
      <c r="B153" s="44">
        <v>45930</v>
      </c>
      <c r="C153" s="45" t="s">
        <v>279</v>
      </c>
      <c r="D153" s="45" t="s">
        <v>271</v>
      </c>
      <c r="E153" s="45" t="s">
        <v>280</v>
      </c>
      <c r="F153" s="45">
        <v>45</v>
      </c>
      <c r="G153" s="34">
        <f t="shared" si="0"/>
        <v>359</v>
      </c>
    </row>
    <row r="154" spans="2:7" ht="17.25">
      <c r="B154" s="44">
        <v>45929</v>
      </c>
      <c r="C154" s="45" t="s">
        <v>279</v>
      </c>
      <c r="D154" s="45" t="s">
        <v>271</v>
      </c>
      <c r="E154" s="45" t="s">
        <v>280</v>
      </c>
      <c r="F154" s="45">
        <v>45</v>
      </c>
      <c r="G154" s="34">
        <f t="shared" si="0"/>
        <v>314</v>
      </c>
    </row>
    <row r="155" spans="2:7" ht="17.25">
      <c r="B155" s="44">
        <v>45928</v>
      </c>
      <c r="C155" s="45" t="s">
        <v>279</v>
      </c>
      <c r="D155" s="45" t="s">
        <v>271</v>
      </c>
      <c r="E155" s="45" t="s">
        <v>280</v>
      </c>
      <c r="F155" s="45">
        <v>35</v>
      </c>
      <c r="G155" s="34">
        <f t="shared" si="0"/>
        <v>269</v>
      </c>
    </row>
    <row r="156" spans="2:7" ht="17.25">
      <c r="B156" s="44">
        <v>45919</v>
      </c>
      <c r="C156" s="45" t="s">
        <v>279</v>
      </c>
      <c r="D156" s="45" t="s">
        <v>271</v>
      </c>
      <c r="E156" s="45" t="s">
        <v>280</v>
      </c>
      <c r="F156" s="45">
        <v>5</v>
      </c>
      <c r="G156" s="34">
        <f t="shared" si="0"/>
        <v>234</v>
      </c>
    </row>
    <row r="157" spans="2:7" ht="17.25">
      <c r="B157" s="44">
        <v>45917</v>
      </c>
      <c r="C157" s="45" t="s">
        <v>279</v>
      </c>
      <c r="D157" s="45" t="s">
        <v>271</v>
      </c>
      <c r="E157" s="45" t="s">
        <v>280</v>
      </c>
      <c r="F157" s="45">
        <v>5</v>
      </c>
      <c r="G157" s="34">
        <f t="shared" si="0"/>
        <v>229</v>
      </c>
    </row>
    <row r="158" spans="2:7" ht="17.25">
      <c r="B158" s="44">
        <v>45916</v>
      </c>
      <c r="C158" s="45" t="s">
        <v>281</v>
      </c>
      <c r="D158" s="45" t="s">
        <v>274</v>
      </c>
      <c r="E158" s="45" t="s">
        <v>274</v>
      </c>
      <c r="F158" s="45">
        <v>1</v>
      </c>
      <c r="G158" s="34">
        <f t="shared" si="0"/>
        <v>224</v>
      </c>
    </row>
    <row r="159" spans="2:7" ht="17.25">
      <c r="B159" s="44">
        <v>45915</v>
      </c>
      <c r="C159" s="45" t="s">
        <v>281</v>
      </c>
      <c r="D159" s="45" t="s">
        <v>275</v>
      </c>
      <c r="E159" s="45" t="s">
        <v>283</v>
      </c>
      <c r="F159" s="45">
        <v>1</v>
      </c>
      <c r="G159" s="34">
        <f t="shared" si="0"/>
        <v>223</v>
      </c>
    </row>
    <row r="160" spans="2:7" ht="17.25">
      <c r="B160" s="44">
        <v>45911</v>
      </c>
      <c r="C160" s="45" t="s">
        <v>281</v>
      </c>
      <c r="D160" s="45" t="s">
        <v>273</v>
      </c>
      <c r="E160" s="45" t="s">
        <v>284</v>
      </c>
      <c r="F160" s="45">
        <v>5</v>
      </c>
      <c r="G160" s="34">
        <f t="shared" si="0"/>
        <v>222</v>
      </c>
    </row>
    <row r="161" spans="2:7" ht="17.25">
      <c r="B161" s="44">
        <v>45905</v>
      </c>
      <c r="C161" s="45" t="s">
        <v>279</v>
      </c>
      <c r="D161" s="45" t="s">
        <v>271</v>
      </c>
      <c r="E161" s="45" t="s">
        <v>280</v>
      </c>
      <c r="F161" s="45">
        <v>5</v>
      </c>
      <c r="G161" s="34">
        <f t="shared" si="0"/>
        <v>217</v>
      </c>
    </row>
    <row r="162" spans="2:7" ht="17.25">
      <c r="B162" s="44">
        <v>45903</v>
      </c>
      <c r="C162" s="45" t="s">
        <v>279</v>
      </c>
      <c r="D162" s="45" t="s">
        <v>271</v>
      </c>
      <c r="E162" s="45" t="s">
        <v>280</v>
      </c>
      <c r="F162" s="45">
        <v>5</v>
      </c>
      <c r="G162" s="34">
        <f t="shared" si="0"/>
        <v>212</v>
      </c>
    </row>
    <row r="163" spans="2:7" ht="17.25">
      <c r="B163" s="44">
        <v>45893</v>
      </c>
      <c r="C163" s="45" t="s">
        <v>279</v>
      </c>
      <c r="D163" s="45" t="s">
        <v>271</v>
      </c>
      <c r="E163" s="45" t="s">
        <v>280</v>
      </c>
      <c r="F163" s="45">
        <v>5</v>
      </c>
      <c r="G163" s="34">
        <f t="shared" si="0"/>
        <v>207</v>
      </c>
    </row>
    <row r="164" spans="2:7" ht="17.25">
      <c r="B164" s="44">
        <v>45892</v>
      </c>
      <c r="C164" s="45" t="s">
        <v>279</v>
      </c>
      <c r="D164" s="45" t="s">
        <v>271</v>
      </c>
      <c r="E164" s="45" t="s">
        <v>280</v>
      </c>
      <c r="F164" s="45">
        <v>5</v>
      </c>
      <c r="G164" s="34">
        <f t="shared" si="0"/>
        <v>202</v>
      </c>
    </row>
    <row r="165" spans="2:7" ht="17.25">
      <c r="B165" s="44">
        <v>45888</v>
      </c>
      <c r="C165" s="45" t="s">
        <v>281</v>
      </c>
      <c r="D165" s="45" t="s">
        <v>274</v>
      </c>
      <c r="E165" s="45" t="s">
        <v>274</v>
      </c>
      <c r="F165" s="45">
        <v>1</v>
      </c>
      <c r="G165" s="34">
        <f t="shared" si="0"/>
        <v>197</v>
      </c>
    </row>
    <row r="166" spans="2:7" ht="17.25">
      <c r="B166" s="44">
        <v>45884</v>
      </c>
      <c r="C166" s="45" t="s">
        <v>281</v>
      </c>
      <c r="D166" s="45" t="s">
        <v>275</v>
      </c>
      <c r="E166" s="45" t="s">
        <v>283</v>
      </c>
      <c r="F166" s="45">
        <v>1</v>
      </c>
      <c r="G166" s="34">
        <f t="shared" si="0"/>
        <v>196</v>
      </c>
    </row>
    <row r="167" spans="2:7" ht="17.25">
      <c r="B167" s="44">
        <v>45877</v>
      </c>
      <c r="C167" s="45" t="s">
        <v>279</v>
      </c>
      <c r="D167" s="45" t="s">
        <v>271</v>
      </c>
      <c r="E167" s="45" t="s">
        <v>280</v>
      </c>
      <c r="F167" s="45">
        <v>10</v>
      </c>
      <c r="G167" s="34">
        <f t="shared" si="0"/>
        <v>195</v>
      </c>
    </row>
    <row r="168" spans="2:7" ht="16.5">
      <c r="B168" s="46">
        <v>45874</v>
      </c>
      <c r="C168" s="33" t="s">
        <v>279</v>
      </c>
      <c r="D168" s="33" t="s">
        <v>271</v>
      </c>
      <c r="E168" s="33" t="s">
        <v>280</v>
      </c>
      <c r="F168" s="33">
        <v>5</v>
      </c>
      <c r="G168" s="34">
        <f t="shared" si="0"/>
        <v>185</v>
      </c>
    </row>
    <row r="169" spans="2:7" ht="16.5">
      <c r="B169" s="46">
        <v>45873</v>
      </c>
      <c r="C169" s="33" t="s">
        <v>279</v>
      </c>
      <c r="D169" s="33" t="s">
        <v>271</v>
      </c>
      <c r="E169" s="33" t="s">
        <v>280</v>
      </c>
      <c r="F169" s="33">
        <v>5</v>
      </c>
      <c r="G169" s="34">
        <f t="shared" si="0"/>
        <v>180</v>
      </c>
    </row>
    <row r="170" spans="2:7" ht="16.5">
      <c r="B170" s="46">
        <v>45867</v>
      </c>
      <c r="C170" s="33" t="s">
        <v>279</v>
      </c>
      <c r="D170" s="33" t="s">
        <v>271</v>
      </c>
      <c r="E170" s="33" t="s">
        <v>280</v>
      </c>
      <c r="F170" s="33">
        <v>5</v>
      </c>
      <c r="G170" s="34">
        <f t="shared" si="0"/>
        <v>175</v>
      </c>
    </row>
    <row r="171" spans="2:7" ht="16.5">
      <c r="B171" s="46">
        <v>45862</v>
      </c>
      <c r="C171" s="33" t="s">
        <v>279</v>
      </c>
      <c r="D171" s="33" t="s">
        <v>271</v>
      </c>
      <c r="E171" s="33" t="s">
        <v>280</v>
      </c>
      <c r="F171" s="33">
        <v>5</v>
      </c>
      <c r="G171" s="34">
        <f t="shared" si="0"/>
        <v>170</v>
      </c>
    </row>
    <row r="172" spans="2:7" ht="16.5">
      <c r="B172" s="46">
        <v>45838</v>
      </c>
      <c r="C172" s="33" t="s">
        <v>279</v>
      </c>
      <c r="D172" s="33" t="s">
        <v>271</v>
      </c>
      <c r="E172" s="33" t="s">
        <v>280</v>
      </c>
      <c r="F172" s="33">
        <v>5</v>
      </c>
      <c r="G172" s="34">
        <f t="shared" si="0"/>
        <v>165</v>
      </c>
    </row>
    <row r="173" spans="2:7" ht="16.5">
      <c r="B173" s="46">
        <v>45836</v>
      </c>
      <c r="C173" s="33" t="s">
        <v>279</v>
      </c>
      <c r="D173" s="33" t="s">
        <v>271</v>
      </c>
      <c r="E173" s="33" t="s">
        <v>280</v>
      </c>
      <c r="F173" s="33">
        <v>5</v>
      </c>
      <c r="G173" s="34">
        <f t="shared" si="0"/>
        <v>160</v>
      </c>
    </row>
    <row r="174" spans="2:7" ht="16.5">
      <c r="B174" s="46">
        <v>45789</v>
      </c>
      <c r="C174" s="33" t="s">
        <v>279</v>
      </c>
      <c r="D174" s="33" t="s">
        <v>271</v>
      </c>
      <c r="E174" s="33" t="s">
        <v>280</v>
      </c>
      <c r="F174" s="33">
        <v>5</v>
      </c>
      <c r="G174" s="34">
        <f t="shared" si="0"/>
        <v>155</v>
      </c>
    </row>
    <row r="175" spans="2:7" ht="16.5">
      <c r="B175" s="46">
        <v>45786</v>
      </c>
      <c r="C175" s="33" t="s">
        <v>279</v>
      </c>
      <c r="D175" s="33" t="s">
        <v>271</v>
      </c>
      <c r="E175" s="33" t="s">
        <v>280</v>
      </c>
      <c r="F175" s="33">
        <v>5</v>
      </c>
      <c r="G175" s="34">
        <f t="shared" si="0"/>
        <v>150</v>
      </c>
    </row>
    <row r="176" spans="2:7" ht="16.5">
      <c r="B176" s="46">
        <v>45729</v>
      </c>
      <c r="C176" s="33" t="s">
        <v>279</v>
      </c>
      <c r="D176" s="33" t="s">
        <v>271</v>
      </c>
      <c r="E176" s="33" t="s">
        <v>280</v>
      </c>
      <c r="F176" s="33">
        <v>10</v>
      </c>
      <c r="G176" s="34">
        <f t="shared" si="0"/>
        <v>145</v>
      </c>
    </row>
    <row r="177" spans="2:7" ht="16.5">
      <c r="B177" s="46">
        <v>45684</v>
      </c>
      <c r="C177" s="33" t="s">
        <v>279</v>
      </c>
      <c r="D177" s="33" t="s">
        <v>271</v>
      </c>
      <c r="E177" s="33" t="s">
        <v>280</v>
      </c>
      <c r="F177" s="33">
        <v>5</v>
      </c>
      <c r="G177" s="34">
        <f t="shared" si="0"/>
        <v>135</v>
      </c>
    </row>
    <row r="178" spans="2:7" ht="16.5">
      <c r="B178" s="46">
        <v>45682</v>
      </c>
      <c r="C178" s="33" t="s">
        <v>279</v>
      </c>
      <c r="D178" s="33" t="s">
        <v>271</v>
      </c>
      <c r="E178" s="33" t="s">
        <v>280</v>
      </c>
      <c r="F178" s="33">
        <v>5</v>
      </c>
      <c r="G178" s="34">
        <f>G179+F178</f>
        <v>130</v>
      </c>
    </row>
    <row r="179" spans="2:7" ht="16.5">
      <c r="B179" s="46">
        <v>45652</v>
      </c>
      <c r="C179" s="33" t="s">
        <v>279</v>
      </c>
      <c r="D179" s="33" t="s">
        <v>271</v>
      </c>
      <c r="E179" s="33" t="s">
        <v>280</v>
      </c>
      <c r="F179" s="33">
        <v>5</v>
      </c>
      <c r="G179" s="34">
        <f t="shared" si="0"/>
        <v>125</v>
      </c>
    </row>
    <row r="180" spans="2:7" ht="16.5">
      <c r="B180" s="46">
        <v>45649</v>
      </c>
      <c r="C180" s="33" t="s">
        <v>279</v>
      </c>
      <c r="D180" s="33" t="s">
        <v>271</v>
      </c>
      <c r="E180" s="33" t="s">
        <v>280</v>
      </c>
      <c r="F180" s="33">
        <v>5</v>
      </c>
      <c r="G180" s="34">
        <f t="shared" si="0"/>
        <v>120</v>
      </c>
    </row>
    <row r="181" spans="2:7" ht="16.5">
      <c r="B181" s="46">
        <v>45648</v>
      </c>
      <c r="C181" s="33" t="s">
        <v>279</v>
      </c>
      <c r="D181" s="33" t="s">
        <v>271</v>
      </c>
      <c r="E181" s="33" t="s">
        <v>280</v>
      </c>
      <c r="F181" s="33">
        <v>5</v>
      </c>
      <c r="G181" s="34">
        <f t="shared" si="0"/>
        <v>115</v>
      </c>
    </row>
    <row r="182" spans="2:7" ht="16.5">
      <c r="B182" s="46">
        <v>45614</v>
      </c>
      <c r="C182" s="33" t="s">
        <v>279</v>
      </c>
      <c r="D182" s="33" t="s">
        <v>271</v>
      </c>
      <c r="E182" s="33" t="s">
        <v>280</v>
      </c>
      <c r="F182" s="33">
        <v>5</v>
      </c>
      <c r="G182" s="34">
        <f t="shared" si="0"/>
        <v>110</v>
      </c>
    </row>
    <row r="183" spans="2:7" ht="16.5">
      <c r="B183" s="46">
        <v>45613</v>
      </c>
      <c r="C183" s="33" t="s">
        <v>279</v>
      </c>
      <c r="D183" s="33" t="s">
        <v>271</v>
      </c>
      <c r="E183" s="33" t="s">
        <v>280</v>
      </c>
      <c r="F183" s="33">
        <v>5</v>
      </c>
      <c r="G183" s="34">
        <f t="shared" si="0"/>
        <v>105</v>
      </c>
    </row>
    <row r="184" spans="2:7" ht="16.5">
      <c r="B184" s="46">
        <v>45592</v>
      </c>
      <c r="C184" s="33" t="s">
        <v>279</v>
      </c>
      <c r="D184" s="33" t="s">
        <v>271</v>
      </c>
      <c r="E184" s="33" t="s">
        <v>280</v>
      </c>
      <c r="F184" s="33">
        <v>5</v>
      </c>
      <c r="G184" s="34">
        <f t="shared" si="0"/>
        <v>100</v>
      </c>
    </row>
    <row r="185" spans="2:7" ht="16.5">
      <c r="B185" s="46">
        <v>45591</v>
      </c>
      <c r="C185" s="33" t="s">
        <v>279</v>
      </c>
      <c r="D185" s="33" t="s">
        <v>271</v>
      </c>
      <c r="E185" s="33" t="s">
        <v>280</v>
      </c>
      <c r="F185" s="33">
        <v>5</v>
      </c>
      <c r="G185" s="34">
        <f t="shared" si="0"/>
        <v>95</v>
      </c>
    </row>
    <row r="186" spans="2:7" ht="16.5">
      <c r="B186" s="46">
        <v>45514</v>
      </c>
      <c r="C186" s="33" t="s">
        <v>279</v>
      </c>
      <c r="D186" s="33" t="s">
        <v>271</v>
      </c>
      <c r="E186" s="33" t="s">
        <v>280</v>
      </c>
      <c r="F186" s="33">
        <v>5</v>
      </c>
      <c r="G186" s="34">
        <f t="shared" si="0"/>
        <v>90</v>
      </c>
    </row>
    <row r="187" spans="2:7" ht="16.5">
      <c r="B187" s="46">
        <v>45513</v>
      </c>
      <c r="C187" s="33" t="s">
        <v>279</v>
      </c>
      <c r="D187" s="33" t="s">
        <v>271</v>
      </c>
      <c r="E187" s="33" t="s">
        <v>280</v>
      </c>
      <c r="F187" s="33">
        <v>5</v>
      </c>
      <c r="G187" s="34">
        <f t="shared" si="0"/>
        <v>85</v>
      </c>
    </row>
    <row r="188" spans="2:7" ht="16.5">
      <c r="B188" s="46">
        <v>45335</v>
      </c>
      <c r="C188" s="33" t="s">
        <v>279</v>
      </c>
      <c r="D188" s="33" t="s">
        <v>292</v>
      </c>
      <c r="E188" s="33" t="s">
        <v>293</v>
      </c>
      <c r="F188" s="33">
        <v>20</v>
      </c>
      <c r="G188" s="34">
        <f t="shared" si="0"/>
        <v>80</v>
      </c>
    </row>
    <row r="189" spans="2:7" ht="16.5">
      <c r="B189" s="46">
        <v>45334</v>
      </c>
      <c r="C189" s="33" t="s">
        <v>279</v>
      </c>
      <c r="D189" s="33" t="s">
        <v>292</v>
      </c>
      <c r="E189" s="33" t="s">
        <v>293</v>
      </c>
      <c r="F189" s="33">
        <v>20</v>
      </c>
      <c r="G189" s="34">
        <f t="shared" si="0"/>
        <v>60</v>
      </c>
    </row>
    <row r="190" spans="2:7" ht="16.5">
      <c r="B190" s="46">
        <v>45291</v>
      </c>
      <c r="C190" s="33" t="s">
        <v>279</v>
      </c>
      <c r="D190" s="33" t="s">
        <v>292</v>
      </c>
      <c r="E190" s="33" t="s">
        <v>293</v>
      </c>
      <c r="F190" s="33">
        <v>30</v>
      </c>
      <c r="G190" s="34">
        <f>G191+F190</f>
        <v>40</v>
      </c>
    </row>
    <row r="191" spans="2:7" ht="16.5">
      <c r="B191" s="67">
        <v>45291</v>
      </c>
      <c r="C191" s="68" t="s">
        <v>279</v>
      </c>
      <c r="D191" s="68" t="s">
        <v>271</v>
      </c>
      <c r="E191" s="68" t="s">
        <v>280</v>
      </c>
      <c r="F191" s="68">
        <v>10</v>
      </c>
      <c r="G191" s="69">
        <f>F191</f>
        <v>10</v>
      </c>
    </row>
    <row r="192" spans="2:7" ht="15.75">
      <c r="B192" s="35"/>
      <c r="C192" s="32"/>
      <c r="D192" s="32"/>
      <c r="E192" s="32"/>
      <c r="F192" s="45"/>
      <c r="G192" s="34"/>
    </row>
    <row r="193" spans="2:7" ht="15.75">
      <c r="B193" s="35"/>
      <c r="C193" s="32"/>
      <c r="D193" s="32"/>
      <c r="E193" s="32"/>
      <c r="F193" s="32"/>
      <c r="G193" s="34"/>
    </row>
    <row r="194" spans="2:7">
      <c r="B194" s="34"/>
      <c r="C194" s="34"/>
      <c r="D194" s="34"/>
      <c r="E194" s="34"/>
      <c r="F194" s="34"/>
      <c r="G194" s="34"/>
    </row>
    <row r="195" spans="2:7">
      <c r="B195" s="34"/>
      <c r="C195" s="34"/>
      <c r="D195" s="34"/>
      <c r="E195" s="34"/>
      <c r="F195" s="34"/>
      <c r="G195" s="34"/>
    </row>
    <row r="196" spans="2:7">
      <c r="B196" s="34"/>
      <c r="C196" s="34"/>
      <c r="D196" s="34"/>
      <c r="E196" s="34"/>
      <c r="F196" s="34"/>
      <c r="G196" s="34"/>
    </row>
    <row r="197" spans="2:7">
      <c r="B197" s="34"/>
      <c r="C197" s="34"/>
      <c r="D197" s="34"/>
      <c r="E197" s="34"/>
      <c r="F197" s="34"/>
      <c r="G197" s="34"/>
    </row>
    <row r="198" spans="2:7">
      <c r="B198" s="34"/>
      <c r="C198" s="34"/>
      <c r="D198" s="34"/>
      <c r="E198" s="34"/>
      <c r="F198" s="34"/>
      <c r="G198" s="34"/>
    </row>
    <row r="199" spans="2:7">
      <c r="B199" s="34"/>
      <c r="C199" s="34"/>
      <c r="D199" s="34"/>
      <c r="E199" s="34"/>
      <c r="F199" s="34"/>
      <c r="G199" s="34"/>
    </row>
    <row r="200" spans="2:7">
      <c r="B200" s="34"/>
      <c r="C200" s="34"/>
      <c r="D200" s="34"/>
      <c r="E200" s="34"/>
      <c r="F200" s="34"/>
      <c r="G200" s="34"/>
    </row>
    <row r="201" spans="2:7">
      <c r="B201" s="34"/>
      <c r="C201" s="34"/>
      <c r="D201" s="34"/>
      <c r="E201" s="34"/>
      <c r="F201" s="34"/>
      <c r="G201" s="34"/>
    </row>
    <row r="202" spans="2:7">
      <c r="B202" s="34"/>
      <c r="C202" s="34"/>
      <c r="D202" s="34"/>
      <c r="E202" s="34"/>
      <c r="F202" s="34"/>
      <c r="G202" s="34"/>
    </row>
    <row r="203" spans="2:7">
      <c r="B203" s="34"/>
      <c r="C203" s="34"/>
      <c r="D203" s="34"/>
      <c r="E203" s="34"/>
      <c r="F203" s="34"/>
      <c r="G203" s="34"/>
    </row>
    <row r="204" spans="2:7">
      <c r="B204" s="34"/>
      <c r="C204" s="34"/>
      <c r="D204" s="34"/>
      <c r="E204" s="34"/>
      <c r="F204" s="34"/>
      <c r="G204" s="34"/>
    </row>
    <row r="205" spans="2:7">
      <c r="B205" s="34"/>
      <c r="C205" s="34"/>
      <c r="D205" s="34"/>
      <c r="E205" s="34"/>
      <c r="F205" s="34"/>
      <c r="G205" s="34"/>
    </row>
    <row r="206" spans="2:7">
      <c r="B206" s="34"/>
      <c r="C206" s="34"/>
      <c r="D206" s="34"/>
      <c r="E206" s="34"/>
      <c r="F206" s="34"/>
      <c r="G206" s="34"/>
    </row>
    <row r="207" spans="2:7">
      <c r="B207" s="34"/>
      <c r="C207" s="34"/>
      <c r="D207" s="34"/>
      <c r="E207" s="34"/>
      <c r="F207" s="34"/>
      <c r="G207" s="34"/>
    </row>
    <row r="208" spans="2:7">
      <c r="B208" s="34"/>
      <c r="C208" s="34"/>
      <c r="D208" s="34"/>
      <c r="E208" s="34"/>
      <c r="F208" s="34"/>
      <c r="G208" s="34"/>
    </row>
    <row r="209" spans="2:7">
      <c r="B209" s="34"/>
      <c r="C209" s="34"/>
      <c r="D209" s="34"/>
      <c r="E209" s="34"/>
      <c r="F209" s="34"/>
      <c r="G209" s="34"/>
    </row>
    <row r="210" spans="2:7">
      <c r="B210" s="34"/>
      <c r="C210" s="34"/>
      <c r="D210" s="34"/>
      <c r="E210" s="34"/>
      <c r="F210" s="34"/>
      <c r="G210" s="34"/>
    </row>
    <row r="211" spans="2:7">
      <c r="B211" s="34"/>
      <c r="C211" s="34"/>
      <c r="D211" s="34"/>
      <c r="E211" s="34"/>
      <c r="F211" s="34"/>
      <c r="G211" s="34"/>
    </row>
  </sheetData>
  <autoFilter ref="B2:G193" xr:uid="{FF582C36-6AED-433D-BA75-169649376AF6}">
    <sortState xmlns:xlrd2="http://schemas.microsoft.com/office/spreadsheetml/2017/richdata2" ref="B3:G193">
      <sortCondition ref="G2:G193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3C4E-F452-4BBC-81DB-9BE6F59D48AA}">
  <dimension ref="A1:M317"/>
  <sheetViews>
    <sheetView tabSelected="1" topLeftCell="B1" workbookViewId="0">
      <selection activeCell="B240" sqref="B240"/>
    </sheetView>
  </sheetViews>
  <sheetFormatPr defaultRowHeight="13.5"/>
  <cols>
    <col min="1" max="1" width="4.28515625" bestFit="1" customWidth="1"/>
    <col min="2" max="13" width="17.5703125" customWidth="1"/>
  </cols>
  <sheetData>
    <row r="1" spans="1:13">
      <c r="A1" s="16" t="s">
        <v>294</v>
      </c>
      <c r="B1" s="17" t="s">
        <v>0</v>
      </c>
      <c r="C1" s="17" t="s">
        <v>295</v>
      </c>
      <c r="D1" s="17" t="s">
        <v>296</v>
      </c>
      <c r="E1" s="17" t="s">
        <v>297</v>
      </c>
      <c r="F1" s="17" t="s">
        <v>298</v>
      </c>
      <c r="G1" s="17" t="s">
        <v>299</v>
      </c>
      <c r="H1" s="17" t="s">
        <v>300</v>
      </c>
      <c r="I1" s="18" t="s">
        <v>301</v>
      </c>
      <c r="J1" s="18" t="s">
        <v>302</v>
      </c>
      <c r="K1" s="18" t="s">
        <v>303</v>
      </c>
      <c r="L1" s="18" t="s">
        <v>304</v>
      </c>
      <c r="M1" s="17" t="s">
        <v>305</v>
      </c>
    </row>
    <row r="2" spans="1:13" hidden="1">
      <c r="A2" s="14">
        <v>1</v>
      </c>
      <c r="B2" s="43">
        <v>45926</v>
      </c>
      <c r="C2" s="12" t="s">
        <v>306</v>
      </c>
      <c r="D2" s="12">
        <v>305</v>
      </c>
      <c r="E2" s="12" t="s">
        <v>307</v>
      </c>
      <c r="F2" s="13">
        <v>0.30208333333333331</v>
      </c>
      <c r="G2" s="12" t="s">
        <v>308</v>
      </c>
      <c r="H2" s="13">
        <v>0.375</v>
      </c>
      <c r="I2" s="15" t="s">
        <v>309</v>
      </c>
      <c r="J2" s="15"/>
      <c r="K2" s="22">
        <v>13320</v>
      </c>
      <c r="L2" s="15" t="s">
        <v>310</v>
      </c>
      <c r="M2" s="63"/>
    </row>
    <row r="3" spans="1:13" hidden="1">
      <c r="A3" s="14">
        <v>2</v>
      </c>
      <c r="B3" s="42">
        <v>45926</v>
      </c>
      <c r="C3" s="12" t="s">
        <v>311</v>
      </c>
      <c r="D3" s="12">
        <v>3563</v>
      </c>
      <c r="E3" s="12" t="s">
        <v>308</v>
      </c>
      <c r="F3" s="13">
        <v>0.41319444444444442</v>
      </c>
      <c r="G3" s="12" t="s">
        <v>312</v>
      </c>
      <c r="H3" s="13">
        <v>0.4548611111111111</v>
      </c>
      <c r="I3" s="15" t="s">
        <v>313</v>
      </c>
      <c r="J3" s="15"/>
      <c r="K3" s="22">
        <v>12963</v>
      </c>
      <c r="L3" s="15" t="s">
        <v>310</v>
      </c>
      <c r="M3" s="15"/>
    </row>
    <row r="4" spans="1:13" hidden="1">
      <c r="A4" s="14">
        <v>3</v>
      </c>
      <c r="B4" s="42">
        <v>45926</v>
      </c>
      <c r="C4" s="12" t="s">
        <v>311</v>
      </c>
      <c r="D4" s="12">
        <v>3564</v>
      </c>
      <c r="E4" s="12" t="s">
        <v>312</v>
      </c>
      <c r="F4" s="13">
        <v>0.47916666666666669</v>
      </c>
      <c r="G4" s="12" t="s">
        <v>308</v>
      </c>
      <c r="H4" s="13">
        <v>0.52430555555555558</v>
      </c>
      <c r="I4" s="15" t="s">
        <v>314</v>
      </c>
      <c r="J4" s="15"/>
      <c r="K4" s="22">
        <v>12963</v>
      </c>
      <c r="L4" s="15" t="s">
        <v>310</v>
      </c>
      <c r="M4" s="15"/>
    </row>
    <row r="5" spans="1:13" hidden="1">
      <c r="A5" s="14">
        <v>4</v>
      </c>
      <c r="B5" s="42">
        <v>45926</v>
      </c>
      <c r="C5" s="12" t="s">
        <v>311</v>
      </c>
      <c r="D5" s="12">
        <v>3629</v>
      </c>
      <c r="E5" s="12" t="s">
        <v>308</v>
      </c>
      <c r="F5" s="13">
        <v>0.54861111111111116</v>
      </c>
      <c r="G5" s="12" t="s">
        <v>315</v>
      </c>
      <c r="H5" s="13">
        <v>0.57986111111111116</v>
      </c>
      <c r="I5" s="15" t="s">
        <v>314</v>
      </c>
      <c r="J5" s="15"/>
      <c r="K5" s="22">
        <v>6171</v>
      </c>
      <c r="L5" s="15" t="s">
        <v>310</v>
      </c>
      <c r="M5" s="15"/>
    </row>
    <row r="6" spans="1:13" hidden="1">
      <c r="A6" s="14">
        <v>5</v>
      </c>
      <c r="B6" s="42">
        <v>45926</v>
      </c>
      <c r="C6" s="12" t="s">
        <v>311</v>
      </c>
      <c r="D6" s="12">
        <v>3630</v>
      </c>
      <c r="E6" s="12" t="s">
        <v>315</v>
      </c>
      <c r="F6" s="13">
        <v>0.60069444444444442</v>
      </c>
      <c r="G6" s="12" t="s">
        <v>308</v>
      </c>
      <c r="H6" s="13">
        <v>0.63541666666666663</v>
      </c>
      <c r="I6" s="15" t="s">
        <v>316</v>
      </c>
      <c r="J6" s="15"/>
      <c r="K6" s="22">
        <v>9410</v>
      </c>
      <c r="L6" s="15" t="s">
        <v>310</v>
      </c>
      <c r="M6" s="15"/>
    </row>
    <row r="7" spans="1:13" hidden="1">
      <c r="A7" s="14">
        <v>6</v>
      </c>
      <c r="B7" s="42">
        <v>45926</v>
      </c>
      <c r="C7" s="12" t="s">
        <v>317</v>
      </c>
      <c r="D7" s="23">
        <v>61</v>
      </c>
      <c r="E7" s="12" t="s">
        <v>308</v>
      </c>
      <c r="F7" s="13">
        <v>0.66319444444444442</v>
      </c>
      <c r="G7" s="12" t="s">
        <v>318</v>
      </c>
      <c r="H7" s="13">
        <v>0.73263888888888884</v>
      </c>
      <c r="I7" s="15" t="s">
        <v>319</v>
      </c>
      <c r="J7" s="15"/>
      <c r="K7" s="22">
        <v>10591</v>
      </c>
      <c r="L7" s="15" t="s">
        <v>310</v>
      </c>
      <c r="M7" s="15"/>
    </row>
    <row r="8" spans="1:13" hidden="1">
      <c r="A8" s="14">
        <v>7</v>
      </c>
      <c r="B8" s="42">
        <v>45926</v>
      </c>
      <c r="C8" s="12" t="s">
        <v>317</v>
      </c>
      <c r="D8" s="23">
        <v>60</v>
      </c>
      <c r="E8" s="12" t="s">
        <v>318</v>
      </c>
      <c r="F8" s="13">
        <v>0.76736111111111116</v>
      </c>
      <c r="G8" s="12" t="s">
        <v>308</v>
      </c>
      <c r="H8" s="13">
        <v>0.84027777777777779</v>
      </c>
      <c r="I8" s="15" t="s">
        <v>320</v>
      </c>
      <c r="J8" s="15"/>
      <c r="K8" s="22">
        <v>16965</v>
      </c>
      <c r="L8" s="15" t="s">
        <v>310</v>
      </c>
      <c r="M8" s="15"/>
    </row>
    <row r="9" spans="1:13" hidden="1">
      <c r="A9" s="14">
        <v>8</v>
      </c>
      <c r="B9" s="42">
        <v>45927</v>
      </c>
      <c r="C9" s="12" t="s">
        <v>317</v>
      </c>
      <c r="D9" s="12">
        <v>51</v>
      </c>
      <c r="E9" s="12" t="s">
        <v>308</v>
      </c>
      <c r="F9" s="13">
        <v>0.30208333333333331</v>
      </c>
      <c r="G9" s="12" t="s">
        <v>318</v>
      </c>
      <c r="H9" s="13">
        <v>0.36805555555555558</v>
      </c>
      <c r="I9" s="15" t="s">
        <v>309</v>
      </c>
      <c r="J9" s="15"/>
      <c r="K9" s="22">
        <v>16965</v>
      </c>
      <c r="L9" s="15" t="s">
        <v>310</v>
      </c>
      <c r="M9" s="15"/>
    </row>
    <row r="10" spans="1:13" hidden="1">
      <c r="A10" s="14">
        <v>9</v>
      </c>
      <c r="B10" s="42">
        <v>45927</v>
      </c>
      <c r="C10" s="12" t="s">
        <v>317</v>
      </c>
      <c r="D10" s="12">
        <v>605</v>
      </c>
      <c r="E10" s="12" t="s">
        <v>318</v>
      </c>
      <c r="F10" s="13">
        <v>0.39930555555555558</v>
      </c>
      <c r="G10" s="12" t="s">
        <v>321</v>
      </c>
      <c r="H10" s="13">
        <v>0.44097222222222221</v>
      </c>
      <c r="I10" s="15" t="s">
        <v>319</v>
      </c>
      <c r="J10" s="15"/>
      <c r="K10" s="22">
        <v>6180</v>
      </c>
      <c r="L10" s="15" t="s">
        <v>310</v>
      </c>
      <c r="M10" s="15"/>
    </row>
    <row r="11" spans="1:13" hidden="1">
      <c r="A11" s="14">
        <v>10</v>
      </c>
      <c r="B11" s="42">
        <v>45927</v>
      </c>
      <c r="C11" s="12" t="s">
        <v>322</v>
      </c>
      <c r="D11" s="12">
        <v>743</v>
      </c>
      <c r="E11" s="12" t="s">
        <v>321</v>
      </c>
      <c r="F11" s="13">
        <v>0.52430555555555558</v>
      </c>
      <c r="G11" s="12" t="s">
        <v>323</v>
      </c>
      <c r="H11" s="13">
        <v>0.54513888888888884</v>
      </c>
      <c r="I11" s="15" t="s">
        <v>324</v>
      </c>
      <c r="J11" s="15"/>
      <c r="K11" s="22">
        <v>6583</v>
      </c>
      <c r="L11" s="15" t="s">
        <v>310</v>
      </c>
      <c r="M11" s="15"/>
    </row>
    <row r="12" spans="1:13" hidden="1">
      <c r="A12" s="14">
        <v>11</v>
      </c>
      <c r="B12" s="42">
        <v>45927</v>
      </c>
      <c r="C12" s="12" t="s">
        <v>322</v>
      </c>
      <c r="D12" s="12">
        <v>744</v>
      </c>
      <c r="E12" s="12" t="s">
        <v>323</v>
      </c>
      <c r="F12" s="13">
        <v>0.56597222222222221</v>
      </c>
      <c r="G12" s="12" t="s">
        <v>321</v>
      </c>
      <c r="H12" s="13">
        <v>0.58680555555555558</v>
      </c>
      <c r="I12" s="15" t="s">
        <v>316</v>
      </c>
      <c r="J12" s="15"/>
      <c r="K12" s="22">
        <v>6583</v>
      </c>
      <c r="L12" s="15" t="s">
        <v>310</v>
      </c>
      <c r="M12" s="15"/>
    </row>
    <row r="13" spans="1:13" hidden="1">
      <c r="A13" s="14">
        <v>12</v>
      </c>
      <c r="B13" s="42">
        <v>45927</v>
      </c>
      <c r="C13" s="12" t="s">
        <v>322</v>
      </c>
      <c r="D13" s="12">
        <v>834</v>
      </c>
      <c r="E13" s="12" t="s">
        <v>321</v>
      </c>
      <c r="F13" s="13">
        <v>0.61111111111111116</v>
      </c>
      <c r="G13" s="12" t="s">
        <v>325</v>
      </c>
      <c r="H13" s="13">
        <v>0.63194444444444442</v>
      </c>
      <c r="I13" s="15" t="s">
        <v>314</v>
      </c>
      <c r="J13" s="15"/>
      <c r="K13" s="22">
        <v>9020</v>
      </c>
      <c r="L13" s="15" t="s">
        <v>310</v>
      </c>
      <c r="M13" s="15"/>
    </row>
    <row r="14" spans="1:13" hidden="1">
      <c r="A14" s="14">
        <v>13</v>
      </c>
      <c r="B14" s="42">
        <v>45927</v>
      </c>
      <c r="C14" s="12" t="s">
        <v>322</v>
      </c>
      <c r="D14" s="12">
        <v>897</v>
      </c>
      <c r="E14" s="12" t="s">
        <v>325</v>
      </c>
      <c r="F14" s="13">
        <v>0.65277777777777779</v>
      </c>
      <c r="G14" s="12" t="s">
        <v>326</v>
      </c>
      <c r="H14" s="13">
        <v>0.67013888888888884</v>
      </c>
      <c r="I14" s="15" t="s">
        <v>316</v>
      </c>
      <c r="J14" s="15"/>
      <c r="K14" s="22">
        <v>5434</v>
      </c>
      <c r="L14" s="15" t="s">
        <v>310</v>
      </c>
      <c r="M14" s="15"/>
    </row>
    <row r="15" spans="1:13" hidden="1">
      <c r="A15" s="14">
        <v>14</v>
      </c>
      <c r="B15" s="42">
        <v>45927</v>
      </c>
      <c r="C15" s="12" t="s">
        <v>322</v>
      </c>
      <c r="D15" s="12">
        <v>898</v>
      </c>
      <c r="E15" s="12" t="s">
        <v>326</v>
      </c>
      <c r="F15" s="13">
        <v>0.69444444444444442</v>
      </c>
      <c r="G15" s="12" t="s">
        <v>325</v>
      </c>
      <c r="H15" s="13">
        <v>0.71180555555555558</v>
      </c>
      <c r="I15" s="15" t="s">
        <v>314</v>
      </c>
      <c r="J15" s="15"/>
      <c r="K15" s="22">
        <v>5434</v>
      </c>
      <c r="L15" s="15" t="s">
        <v>310</v>
      </c>
      <c r="M15" s="15"/>
    </row>
    <row r="16" spans="1:13" hidden="1">
      <c r="A16" s="14">
        <v>15</v>
      </c>
      <c r="B16" s="42">
        <v>45927</v>
      </c>
      <c r="C16" s="12" t="s">
        <v>317</v>
      </c>
      <c r="D16" s="12">
        <v>566</v>
      </c>
      <c r="E16" s="12" t="s">
        <v>325</v>
      </c>
      <c r="F16" s="13">
        <v>0.74652777777777779</v>
      </c>
      <c r="G16" s="12" t="s">
        <v>318</v>
      </c>
      <c r="H16" s="13">
        <v>0.78472222222222221</v>
      </c>
      <c r="I16" s="15" t="s">
        <v>314</v>
      </c>
      <c r="J16" s="15"/>
      <c r="K16" s="22">
        <v>6290</v>
      </c>
      <c r="L16" s="15" t="s">
        <v>310</v>
      </c>
      <c r="M16" s="15"/>
    </row>
    <row r="17" spans="1:13" hidden="1">
      <c r="A17" s="14">
        <v>16</v>
      </c>
      <c r="B17" s="42">
        <v>45927</v>
      </c>
      <c r="C17" s="12" t="s">
        <v>317</v>
      </c>
      <c r="D17" s="12">
        <v>62</v>
      </c>
      <c r="E17" s="12" t="s">
        <v>318</v>
      </c>
      <c r="F17" s="13">
        <v>0.81597222222222221</v>
      </c>
      <c r="G17" s="12" t="s">
        <v>308</v>
      </c>
      <c r="H17" s="13">
        <v>0.89236111111111116</v>
      </c>
      <c r="I17" s="15" t="s">
        <v>327</v>
      </c>
      <c r="J17" s="15"/>
      <c r="K17" s="22">
        <v>10591</v>
      </c>
      <c r="L17" s="15" t="s">
        <v>310</v>
      </c>
      <c r="M17" s="15"/>
    </row>
    <row r="18" spans="1:13" hidden="1">
      <c r="A18" s="14">
        <v>17</v>
      </c>
      <c r="B18" s="43">
        <v>45928</v>
      </c>
      <c r="C18" s="12" t="s">
        <v>311</v>
      </c>
      <c r="D18" s="12">
        <v>3681</v>
      </c>
      <c r="E18" s="12" t="s">
        <v>308</v>
      </c>
      <c r="F18" s="13">
        <v>0.2951388888888889</v>
      </c>
      <c r="G18" s="12" t="s">
        <v>328</v>
      </c>
      <c r="H18" s="13">
        <v>0.34375</v>
      </c>
      <c r="I18" s="15" t="s">
        <v>309</v>
      </c>
      <c r="J18" s="15"/>
      <c r="K18" s="22">
        <v>13860</v>
      </c>
      <c r="L18" s="15" t="s">
        <v>310</v>
      </c>
      <c r="M18" s="15"/>
    </row>
    <row r="19" spans="1:13" hidden="1">
      <c r="A19" s="14">
        <v>18</v>
      </c>
      <c r="B19" s="42">
        <v>45928</v>
      </c>
      <c r="C19" s="12" t="s">
        <v>329</v>
      </c>
      <c r="D19" s="12">
        <v>3831</v>
      </c>
      <c r="E19" s="12" t="s">
        <v>328</v>
      </c>
      <c r="F19" s="13">
        <v>0.3923611111111111</v>
      </c>
      <c r="G19" s="12" t="s">
        <v>330</v>
      </c>
      <c r="H19" s="13">
        <v>0.40625</v>
      </c>
      <c r="I19" s="15" t="s">
        <v>331</v>
      </c>
      <c r="J19" s="15"/>
      <c r="K19" s="22">
        <v>5989</v>
      </c>
      <c r="L19" s="15" t="s">
        <v>310</v>
      </c>
      <c r="M19" s="15"/>
    </row>
    <row r="20" spans="1:13" hidden="1">
      <c r="A20" s="14">
        <v>19</v>
      </c>
      <c r="B20" s="42">
        <v>45928</v>
      </c>
      <c r="C20" s="12" t="s">
        <v>329</v>
      </c>
      <c r="D20" s="12">
        <v>3830</v>
      </c>
      <c r="E20" s="12" t="s">
        <v>330</v>
      </c>
      <c r="F20" s="13">
        <v>0.42708333333333331</v>
      </c>
      <c r="G20" s="12" t="s">
        <v>328</v>
      </c>
      <c r="H20" s="13">
        <v>0.44097222222222221</v>
      </c>
      <c r="I20" s="15" t="s">
        <v>316</v>
      </c>
      <c r="J20" s="15"/>
      <c r="K20" s="22">
        <v>5989</v>
      </c>
      <c r="L20" s="15" t="s">
        <v>310</v>
      </c>
      <c r="M20" s="15"/>
    </row>
    <row r="21" spans="1:13" hidden="1">
      <c r="A21" s="14">
        <v>20</v>
      </c>
      <c r="B21" s="42">
        <v>45928</v>
      </c>
      <c r="C21" s="12" t="s">
        <v>329</v>
      </c>
      <c r="D21" s="12">
        <v>3841</v>
      </c>
      <c r="E21" s="12" t="s">
        <v>328</v>
      </c>
      <c r="F21" s="13">
        <v>0.4548611111111111</v>
      </c>
      <c r="G21" s="12" t="s">
        <v>332</v>
      </c>
      <c r="H21" s="13">
        <v>0.47916666666666669</v>
      </c>
      <c r="I21" s="15" t="s">
        <v>333</v>
      </c>
      <c r="J21" s="15"/>
      <c r="K21" s="22">
        <v>10450</v>
      </c>
      <c r="L21" s="15" t="s">
        <v>310</v>
      </c>
      <c r="M21" s="15"/>
    </row>
    <row r="22" spans="1:13" hidden="1">
      <c r="A22" s="14">
        <v>21</v>
      </c>
      <c r="B22" s="42">
        <v>45928</v>
      </c>
      <c r="C22" s="12" t="s">
        <v>329</v>
      </c>
      <c r="D22" s="12">
        <v>3711</v>
      </c>
      <c r="E22" s="12" t="s">
        <v>332</v>
      </c>
      <c r="F22" s="13">
        <v>0.5</v>
      </c>
      <c r="G22" s="12" t="s">
        <v>334</v>
      </c>
      <c r="H22" s="13">
        <v>0.51736111111111116</v>
      </c>
      <c r="I22" s="15" t="s">
        <v>314</v>
      </c>
      <c r="J22" s="15"/>
      <c r="K22" s="22">
        <v>8580</v>
      </c>
      <c r="L22" s="15" t="s">
        <v>310</v>
      </c>
      <c r="M22" s="15"/>
    </row>
    <row r="23" spans="1:13" hidden="1">
      <c r="A23" s="14">
        <v>22</v>
      </c>
      <c r="B23" s="42">
        <v>45928</v>
      </c>
      <c r="C23" s="12" t="s">
        <v>329</v>
      </c>
      <c r="D23" s="12">
        <v>3716</v>
      </c>
      <c r="E23" s="12" t="s">
        <v>334</v>
      </c>
      <c r="F23" s="13">
        <v>0.53819444444444442</v>
      </c>
      <c r="G23" s="12" t="s">
        <v>318</v>
      </c>
      <c r="H23" s="13">
        <v>0.57291666666666663</v>
      </c>
      <c r="I23" s="15" t="s">
        <v>314</v>
      </c>
      <c r="J23" s="15"/>
      <c r="K23" s="22">
        <v>15310</v>
      </c>
      <c r="L23" s="15" t="s">
        <v>310</v>
      </c>
      <c r="M23" s="15"/>
    </row>
    <row r="24" spans="1:13" hidden="1">
      <c r="A24" s="14">
        <v>23</v>
      </c>
      <c r="B24" s="42">
        <v>45928</v>
      </c>
      <c r="C24" s="12" t="s">
        <v>317</v>
      </c>
      <c r="D24" s="12">
        <v>617</v>
      </c>
      <c r="E24" s="12" t="s">
        <v>318</v>
      </c>
      <c r="F24" s="13">
        <v>0.61458333333333337</v>
      </c>
      <c r="G24" s="12" t="s">
        <v>321</v>
      </c>
      <c r="H24" s="13">
        <v>0.65972222222222221</v>
      </c>
      <c r="I24" s="15" t="s">
        <v>320</v>
      </c>
      <c r="J24" s="15"/>
      <c r="K24" s="22">
        <v>5883</v>
      </c>
      <c r="L24" s="15" t="s">
        <v>310</v>
      </c>
      <c r="M24" s="15"/>
    </row>
    <row r="25" spans="1:13" hidden="1">
      <c r="A25" s="14">
        <v>24</v>
      </c>
      <c r="B25" s="42">
        <v>45928</v>
      </c>
      <c r="C25" s="12" t="s">
        <v>317</v>
      </c>
      <c r="D25" s="12">
        <v>622</v>
      </c>
      <c r="E25" s="12" t="s">
        <v>321</v>
      </c>
      <c r="F25" s="13">
        <v>0.68402777777777779</v>
      </c>
      <c r="G25" s="12" t="s">
        <v>318</v>
      </c>
      <c r="H25" s="13">
        <v>0.72569444444444442</v>
      </c>
      <c r="I25" s="15" t="s">
        <v>319</v>
      </c>
      <c r="J25" s="15"/>
      <c r="K25" s="22">
        <v>5883</v>
      </c>
      <c r="L25" s="15" t="s">
        <v>310</v>
      </c>
      <c r="M25" s="15"/>
    </row>
    <row r="26" spans="1:13" hidden="1">
      <c r="A26" s="14">
        <v>25</v>
      </c>
      <c r="B26" s="42">
        <v>45928</v>
      </c>
      <c r="C26" s="12" t="s">
        <v>306</v>
      </c>
      <c r="D26" s="12">
        <v>918</v>
      </c>
      <c r="E26" s="12" t="s">
        <v>318</v>
      </c>
      <c r="F26" s="13">
        <v>0.78472222222222221</v>
      </c>
      <c r="G26" s="12" t="s">
        <v>307</v>
      </c>
      <c r="H26" s="13">
        <v>0.88888888888888884</v>
      </c>
      <c r="I26" s="15" t="s">
        <v>335</v>
      </c>
      <c r="J26" s="15"/>
      <c r="K26" s="22">
        <v>22580</v>
      </c>
      <c r="L26" s="15" t="s">
        <v>310</v>
      </c>
      <c r="M26" s="15"/>
    </row>
    <row r="27" spans="1:13" hidden="1">
      <c r="A27" s="14">
        <v>26</v>
      </c>
      <c r="B27" s="42">
        <v>45934</v>
      </c>
      <c r="C27" s="12" t="s">
        <v>306</v>
      </c>
      <c r="D27" s="12">
        <v>333</v>
      </c>
      <c r="E27" s="12" t="s">
        <v>307</v>
      </c>
      <c r="F27" s="13">
        <v>0.80208333333333337</v>
      </c>
      <c r="G27" s="12" t="s">
        <v>308</v>
      </c>
      <c r="H27" s="13">
        <v>0.88194444444444442</v>
      </c>
      <c r="I27" s="15"/>
      <c r="J27" s="15"/>
      <c r="K27" s="22">
        <v>13320</v>
      </c>
      <c r="L27" s="15" t="s">
        <v>310</v>
      </c>
      <c r="M27" s="15"/>
    </row>
    <row r="28" spans="1:13" hidden="1">
      <c r="A28" s="14">
        <v>27</v>
      </c>
      <c r="B28" s="42">
        <v>45935</v>
      </c>
      <c r="C28" s="12" t="s">
        <v>317</v>
      </c>
      <c r="D28" s="12">
        <v>51</v>
      </c>
      <c r="E28" s="12" t="s">
        <v>308</v>
      </c>
      <c r="F28" s="13">
        <v>0.30208333333333331</v>
      </c>
      <c r="G28" s="12" t="s">
        <v>318</v>
      </c>
      <c r="H28" s="13">
        <v>0.37152777777777779</v>
      </c>
      <c r="I28" s="26" t="s">
        <v>309</v>
      </c>
      <c r="J28" s="15"/>
      <c r="K28" s="22">
        <v>11130</v>
      </c>
      <c r="L28" s="15" t="s">
        <v>310</v>
      </c>
      <c r="M28" s="15"/>
    </row>
    <row r="29" spans="1:13" hidden="1">
      <c r="A29" s="14">
        <v>28</v>
      </c>
      <c r="B29" s="42">
        <v>45935</v>
      </c>
      <c r="C29" s="12" t="s">
        <v>317</v>
      </c>
      <c r="D29" s="12">
        <v>605</v>
      </c>
      <c r="E29" s="12" t="s">
        <v>318</v>
      </c>
      <c r="F29" s="13">
        <v>0.40277777777777779</v>
      </c>
      <c r="G29" s="12" t="s">
        <v>321</v>
      </c>
      <c r="H29" s="13">
        <v>0.44444444444444442</v>
      </c>
      <c r="I29" s="26" t="s">
        <v>319</v>
      </c>
      <c r="J29" s="15"/>
      <c r="K29" s="22">
        <v>6180</v>
      </c>
      <c r="L29" s="15" t="s">
        <v>310</v>
      </c>
      <c r="M29" s="15"/>
    </row>
    <row r="30" spans="1:13" hidden="1">
      <c r="A30" s="14">
        <v>29</v>
      </c>
      <c r="B30" s="42">
        <v>45935</v>
      </c>
      <c r="C30" s="12" t="s">
        <v>322</v>
      </c>
      <c r="D30" s="12">
        <v>743</v>
      </c>
      <c r="E30" s="12" t="s">
        <v>321</v>
      </c>
      <c r="F30" s="13">
        <v>0.52430555555555558</v>
      </c>
      <c r="G30" s="12" t="s">
        <v>323</v>
      </c>
      <c r="H30" s="13">
        <v>0.54513888888888884</v>
      </c>
      <c r="I30" s="26" t="s">
        <v>324</v>
      </c>
      <c r="J30" s="15"/>
      <c r="K30" s="22">
        <v>6583</v>
      </c>
      <c r="L30" s="15" t="s">
        <v>310</v>
      </c>
      <c r="M30" s="15"/>
    </row>
    <row r="31" spans="1:13" hidden="1">
      <c r="A31" s="14">
        <v>30</v>
      </c>
      <c r="B31" s="42">
        <v>45935</v>
      </c>
      <c r="C31" s="12" t="s">
        <v>322</v>
      </c>
      <c r="D31" s="12">
        <v>744</v>
      </c>
      <c r="E31" s="12" t="s">
        <v>323</v>
      </c>
      <c r="F31" s="13">
        <v>0.56944444444444442</v>
      </c>
      <c r="G31" s="12" t="s">
        <v>321</v>
      </c>
      <c r="H31" s="13">
        <v>0.59027777777777779</v>
      </c>
      <c r="I31" s="26" t="s">
        <v>316</v>
      </c>
      <c r="J31" s="15"/>
      <c r="K31" s="22">
        <v>5883</v>
      </c>
      <c r="L31" s="15" t="s">
        <v>310</v>
      </c>
      <c r="M31" s="15"/>
    </row>
    <row r="32" spans="1:13" hidden="1">
      <c r="A32" s="14">
        <v>31</v>
      </c>
      <c r="B32" s="42">
        <v>45935</v>
      </c>
      <c r="C32" s="12" t="s">
        <v>322</v>
      </c>
      <c r="D32" s="12">
        <v>834</v>
      </c>
      <c r="E32" s="12" t="s">
        <v>321</v>
      </c>
      <c r="F32" s="13">
        <v>0.61805555555555558</v>
      </c>
      <c r="G32" s="12" t="s">
        <v>325</v>
      </c>
      <c r="H32" s="13">
        <v>0.63888888888888884</v>
      </c>
      <c r="I32" s="26" t="s">
        <v>314</v>
      </c>
      <c r="J32" s="15"/>
      <c r="K32" s="22">
        <v>9570</v>
      </c>
      <c r="L32" s="15" t="s">
        <v>310</v>
      </c>
      <c r="M32" s="15"/>
    </row>
    <row r="33" spans="1:13" hidden="1">
      <c r="A33" s="14">
        <v>32</v>
      </c>
      <c r="B33" s="42">
        <v>45935</v>
      </c>
      <c r="C33" s="12" t="s">
        <v>317</v>
      </c>
      <c r="D33" s="12">
        <v>564</v>
      </c>
      <c r="E33" s="12" t="s">
        <v>325</v>
      </c>
      <c r="F33" s="13">
        <v>0.70486111111111116</v>
      </c>
      <c r="G33" s="12" t="s">
        <v>318</v>
      </c>
      <c r="H33" s="13">
        <v>0.73958333333333337</v>
      </c>
      <c r="I33" s="26" t="s">
        <v>336</v>
      </c>
      <c r="J33" s="15"/>
      <c r="K33" s="22">
        <v>6290</v>
      </c>
      <c r="L33" s="15" t="s">
        <v>310</v>
      </c>
      <c r="M33" s="15"/>
    </row>
    <row r="34" spans="1:13" hidden="1">
      <c r="A34" s="14">
        <v>33</v>
      </c>
      <c r="B34" s="42">
        <v>45935</v>
      </c>
      <c r="C34" s="12" t="s">
        <v>306</v>
      </c>
      <c r="D34" s="12">
        <v>920</v>
      </c>
      <c r="E34" s="12" t="s">
        <v>318</v>
      </c>
      <c r="F34" s="13">
        <v>0.81944444444444442</v>
      </c>
      <c r="G34" s="12" t="s">
        <v>307</v>
      </c>
      <c r="H34" s="13">
        <v>0.91666666666666663</v>
      </c>
      <c r="I34" s="26" t="s">
        <v>337</v>
      </c>
      <c r="J34" s="15"/>
      <c r="K34" s="22">
        <v>22030</v>
      </c>
      <c r="L34" s="15" t="s">
        <v>310</v>
      </c>
      <c r="M34" s="15"/>
    </row>
    <row r="35" spans="1:13" hidden="1">
      <c r="A35" s="14">
        <v>34</v>
      </c>
      <c r="B35" s="42">
        <v>45890</v>
      </c>
      <c r="C35" s="12" t="s">
        <v>306</v>
      </c>
      <c r="D35" s="12">
        <v>487</v>
      </c>
      <c r="E35" s="12" t="s">
        <v>307</v>
      </c>
      <c r="F35" s="13">
        <v>0.84375</v>
      </c>
      <c r="G35" s="12" t="s">
        <v>338</v>
      </c>
      <c r="H35" s="13">
        <v>0.89583333333333337</v>
      </c>
      <c r="I35" s="26"/>
      <c r="J35" s="15"/>
      <c r="K35" s="22">
        <v>0</v>
      </c>
      <c r="L35" s="15" t="s">
        <v>310</v>
      </c>
      <c r="M35" s="15"/>
    </row>
    <row r="36" spans="1:13" hidden="1">
      <c r="A36" s="14">
        <v>35</v>
      </c>
      <c r="B36" s="42">
        <v>45891</v>
      </c>
      <c r="C36" s="12" t="s">
        <v>306</v>
      </c>
      <c r="D36" s="12">
        <v>482</v>
      </c>
      <c r="E36" s="12" t="s">
        <v>338</v>
      </c>
      <c r="F36" s="13">
        <v>0.63541666666666663</v>
      </c>
      <c r="G36" s="12" t="s">
        <v>307</v>
      </c>
      <c r="H36" s="13">
        <v>0.69791666666666663</v>
      </c>
      <c r="I36" s="26"/>
      <c r="J36" s="15"/>
      <c r="K36" s="15">
        <v>0</v>
      </c>
      <c r="L36" s="15" t="s">
        <v>310</v>
      </c>
      <c r="M36" s="15"/>
    </row>
    <row r="37" spans="1:13" hidden="1">
      <c r="A37" s="14">
        <v>36</v>
      </c>
      <c r="B37" s="42">
        <v>45902</v>
      </c>
      <c r="C37" s="12" t="s">
        <v>306</v>
      </c>
      <c r="D37" s="12">
        <v>317</v>
      </c>
      <c r="E37" s="12" t="s">
        <v>307</v>
      </c>
      <c r="F37" s="13">
        <v>0.52083333333333337</v>
      </c>
      <c r="G37" s="12" t="s">
        <v>308</v>
      </c>
      <c r="H37" s="13">
        <v>0.57638888888888884</v>
      </c>
      <c r="I37" s="26"/>
      <c r="J37" s="15"/>
      <c r="K37" s="15">
        <v>0</v>
      </c>
      <c r="L37" s="15" t="s">
        <v>310</v>
      </c>
      <c r="M37" s="15"/>
    </row>
    <row r="38" spans="1:13" hidden="1">
      <c r="A38" s="14">
        <v>37</v>
      </c>
      <c r="B38" s="42">
        <v>45903</v>
      </c>
      <c r="C38" s="12" t="s">
        <v>306</v>
      </c>
      <c r="D38" s="12">
        <v>300</v>
      </c>
      <c r="E38" s="12" t="s">
        <v>308</v>
      </c>
      <c r="F38" s="13">
        <v>0.29166666666666669</v>
      </c>
      <c r="G38" s="12" t="s">
        <v>307</v>
      </c>
      <c r="H38" s="13">
        <v>0.3611111111111111</v>
      </c>
      <c r="I38" s="26"/>
      <c r="J38" s="15"/>
      <c r="K38" s="15">
        <v>0</v>
      </c>
      <c r="L38" s="15" t="s">
        <v>310</v>
      </c>
      <c r="M38" s="15"/>
    </row>
    <row r="39" spans="1:13" hidden="1">
      <c r="A39" s="14">
        <v>38</v>
      </c>
      <c r="B39" s="42">
        <v>45949</v>
      </c>
      <c r="C39" s="12" t="s">
        <v>306</v>
      </c>
      <c r="D39" s="12">
        <v>491</v>
      </c>
      <c r="E39" s="12" t="s">
        <v>307</v>
      </c>
      <c r="F39" s="13">
        <v>0.3125</v>
      </c>
      <c r="G39" s="12" t="s">
        <v>338</v>
      </c>
      <c r="H39" s="13">
        <v>0.375</v>
      </c>
      <c r="I39" s="26"/>
      <c r="J39" s="15"/>
      <c r="K39" s="15">
        <v>20700</v>
      </c>
      <c r="L39" s="15" t="s">
        <v>310</v>
      </c>
      <c r="M39" s="15"/>
    </row>
    <row r="40" spans="1:13" hidden="1">
      <c r="A40" s="14">
        <v>39</v>
      </c>
      <c r="B40" s="42">
        <v>45949</v>
      </c>
      <c r="C40" s="12" t="s">
        <v>306</v>
      </c>
      <c r="D40" s="12">
        <v>492</v>
      </c>
      <c r="E40" s="12" t="s">
        <v>338</v>
      </c>
      <c r="F40" s="13">
        <v>0.40277777777777779</v>
      </c>
      <c r="G40" s="12" t="s">
        <v>307</v>
      </c>
      <c r="H40" s="13">
        <v>0.45833333333333331</v>
      </c>
      <c r="I40" s="26"/>
      <c r="J40" s="15"/>
      <c r="K40" s="15">
        <v>0</v>
      </c>
      <c r="L40" s="15" t="s">
        <v>310</v>
      </c>
      <c r="M40" s="15"/>
    </row>
    <row r="41" spans="1:13" hidden="1">
      <c r="A41" s="14">
        <v>40</v>
      </c>
      <c r="B41" s="42">
        <v>45589</v>
      </c>
      <c r="C41" s="12" t="s">
        <v>306</v>
      </c>
      <c r="D41" s="12">
        <v>319</v>
      </c>
      <c r="E41" s="12" t="s">
        <v>307</v>
      </c>
      <c r="F41" s="13"/>
      <c r="G41" s="12" t="s">
        <v>308</v>
      </c>
      <c r="H41" s="13"/>
      <c r="I41" s="26"/>
      <c r="J41" s="15"/>
      <c r="K41" s="15">
        <v>0</v>
      </c>
      <c r="L41" s="15" t="s">
        <v>310</v>
      </c>
      <c r="M41" s="15"/>
    </row>
    <row r="42" spans="1:13" hidden="1">
      <c r="A42" s="14">
        <v>41</v>
      </c>
      <c r="B42" s="42">
        <v>45590</v>
      </c>
      <c r="C42" s="12" t="s">
        <v>306</v>
      </c>
      <c r="D42" s="12">
        <v>318</v>
      </c>
      <c r="E42" s="12" t="s">
        <v>308</v>
      </c>
      <c r="F42" s="13"/>
      <c r="G42" s="12" t="s">
        <v>307</v>
      </c>
      <c r="H42" s="13"/>
      <c r="I42" s="26"/>
      <c r="J42" s="15"/>
      <c r="K42" s="15">
        <v>0</v>
      </c>
      <c r="L42" s="15" t="s">
        <v>310</v>
      </c>
      <c r="M42" s="15"/>
    </row>
    <row r="43" spans="1:13" hidden="1">
      <c r="A43" s="14">
        <v>42</v>
      </c>
      <c r="B43" s="42">
        <v>45611</v>
      </c>
      <c r="C43" s="12" t="s">
        <v>306</v>
      </c>
      <c r="D43" s="12">
        <v>434</v>
      </c>
      <c r="E43" s="12" t="s">
        <v>307</v>
      </c>
      <c r="F43" s="13"/>
      <c r="G43" s="12" t="s">
        <v>339</v>
      </c>
      <c r="H43" s="13"/>
      <c r="I43" s="26"/>
      <c r="J43" s="15"/>
      <c r="K43" s="15">
        <v>0</v>
      </c>
      <c r="L43" s="15" t="s">
        <v>310</v>
      </c>
      <c r="M43" s="15"/>
    </row>
    <row r="44" spans="1:13" hidden="1">
      <c r="A44" s="14">
        <v>43</v>
      </c>
      <c r="B44" s="42">
        <v>45612</v>
      </c>
      <c r="C44" s="12" t="s">
        <v>306</v>
      </c>
      <c r="D44" s="12">
        <v>431</v>
      </c>
      <c r="E44" s="12" t="s">
        <v>339</v>
      </c>
      <c r="F44" s="13"/>
      <c r="G44" s="12" t="s">
        <v>307</v>
      </c>
      <c r="H44" s="13"/>
      <c r="I44" s="26"/>
      <c r="J44" s="15"/>
      <c r="K44" s="15">
        <v>0</v>
      </c>
      <c r="L44" s="15" t="s">
        <v>310</v>
      </c>
      <c r="M44" s="15"/>
    </row>
    <row r="45" spans="1:13" hidden="1">
      <c r="A45" s="14">
        <v>44</v>
      </c>
      <c r="B45" s="42">
        <v>45650</v>
      </c>
      <c r="C45" s="12" t="s">
        <v>306</v>
      </c>
      <c r="D45" s="12">
        <v>335</v>
      </c>
      <c r="E45" s="12" t="s">
        <v>307</v>
      </c>
      <c r="F45" s="13"/>
      <c r="G45" s="12" t="s">
        <v>308</v>
      </c>
      <c r="H45" s="13"/>
      <c r="I45" s="26"/>
      <c r="J45" s="15"/>
      <c r="K45" s="22">
        <v>17640</v>
      </c>
      <c r="L45" s="15" t="s">
        <v>310</v>
      </c>
      <c r="M45" s="15"/>
    </row>
    <row r="46" spans="1:13" hidden="1">
      <c r="A46" s="14">
        <v>45</v>
      </c>
      <c r="B46" s="42">
        <v>45646</v>
      </c>
      <c r="C46" s="12" t="s">
        <v>306</v>
      </c>
      <c r="D46" s="12">
        <v>431</v>
      </c>
      <c r="E46" s="12" t="s">
        <v>307</v>
      </c>
      <c r="F46" s="13"/>
      <c r="G46" s="12" t="s">
        <v>339</v>
      </c>
      <c r="H46" s="13"/>
      <c r="I46" s="26"/>
      <c r="J46" s="15"/>
      <c r="K46" s="15">
        <v>0</v>
      </c>
      <c r="L46" s="15" t="s">
        <v>310</v>
      </c>
      <c r="M46" s="15"/>
    </row>
    <row r="47" spans="1:13" hidden="1">
      <c r="A47" s="14">
        <v>46</v>
      </c>
      <c r="B47" s="42">
        <v>45647</v>
      </c>
      <c r="C47" s="12" t="s">
        <v>306</v>
      </c>
      <c r="D47" s="12">
        <v>432</v>
      </c>
      <c r="E47" s="12" t="s">
        <v>339</v>
      </c>
      <c r="F47" s="13"/>
      <c r="G47" s="12" t="s">
        <v>307</v>
      </c>
      <c r="H47" s="13"/>
      <c r="I47" s="26"/>
      <c r="J47" s="15"/>
      <c r="K47" s="15">
        <v>0</v>
      </c>
      <c r="L47" s="15" t="s">
        <v>310</v>
      </c>
      <c r="M47" s="15"/>
    </row>
    <row r="48" spans="1:13" hidden="1">
      <c r="A48" s="14">
        <v>47</v>
      </c>
      <c r="B48" s="42">
        <v>45680</v>
      </c>
      <c r="C48" s="12" t="s">
        <v>306</v>
      </c>
      <c r="D48" s="12">
        <v>307</v>
      </c>
      <c r="E48" s="12" t="s">
        <v>307</v>
      </c>
      <c r="F48" s="13"/>
      <c r="G48" s="12" t="s">
        <v>308</v>
      </c>
      <c r="H48" s="13"/>
      <c r="I48" s="26"/>
      <c r="J48" s="15"/>
      <c r="K48" s="15">
        <v>0</v>
      </c>
      <c r="L48" s="15" t="s">
        <v>310</v>
      </c>
      <c r="M48" s="15"/>
    </row>
    <row r="49" spans="1:13" hidden="1">
      <c r="A49" s="14">
        <v>48</v>
      </c>
      <c r="B49" s="42">
        <v>45682</v>
      </c>
      <c r="C49" s="12" t="s">
        <v>306</v>
      </c>
      <c r="D49" s="12">
        <v>306</v>
      </c>
      <c r="E49" s="12" t="s">
        <v>308</v>
      </c>
      <c r="F49" s="13"/>
      <c r="G49" s="12" t="s">
        <v>307</v>
      </c>
      <c r="H49" s="13"/>
      <c r="I49" s="26"/>
      <c r="J49" s="15"/>
      <c r="K49" s="15">
        <v>0</v>
      </c>
      <c r="L49" s="15" t="s">
        <v>310</v>
      </c>
      <c r="M49" s="15"/>
    </row>
    <row r="50" spans="1:13" hidden="1">
      <c r="A50" s="14">
        <v>49</v>
      </c>
      <c r="B50" s="42">
        <v>45727</v>
      </c>
      <c r="C50" s="12" t="s">
        <v>306</v>
      </c>
      <c r="D50" s="12">
        <v>330</v>
      </c>
      <c r="E50" s="12" t="s">
        <v>307</v>
      </c>
      <c r="F50" s="13"/>
      <c r="G50" s="12" t="s">
        <v>308</v>
      </c>
      <c r="H50" s="13"/>
      <c r="I50" s="26"/>
      <c r="J50" s="15"/>
      <c r="K50" s="15">
        <v>0</v>
      </c>
      <c r="L50" s="15" t="s">
        <v>310</v>
      </c>
      <c r="M50" s="15"/>
    </row>
    <row r="51" spans="1:13" hidden="1">
      <c r="A51" s="14">
        <v>50</v>
      </c>
      <c r="B51" s="42">
        <v>45727</v>
      </c>
      <c r="C51" s="12" t="s">
        <v>306</v>
      </c>
      <c r="D51" s="12">
        <v>305</v>
      </c>
      <c r="E51" s="12" t="s">
        <v>308</v>
      </c>
      <c r="F51" s="13"/>
      <c r="G51" s="12" t="s">
        <v>307</v>
      </c>
      <c r="H51" s="13"/>
      <c r="I51" s="26"/>
      <c r="J51" s="15"/>
      <c r="K51" s="15">
        <v>0</v>
      </c>
      <c r="L51" s="15" t="s">
        <v>310</v>
      </c>
      <c r="M51" s="15"/>
    </row>
    <row r="52" spans="1:13" hidden="1">
      <c r="A52" s="14">
        <v>51</v>
      </c>
      <c r="B52" s="42">
        <v>45860</v>
      </c>
      <c r="C52" s="12" t="s">
        <v>306</v>
      </c>
      <c r="D52" s="12">
        <v>307</v>
      </c>
      <c r="E52" s="12" t="s">
        <v>307</v>
      </c>
      <c r="F52" s="13"/>
      <c r="G52" s="12" t="s">
        <v>308</v>
      </c>
      <c r="H52" s="13"/>
      <c r="I52" s="26"/>
      <c r="J52" s="15"/>
      <c r="K52" s="22">
        <v>13320</v>
      </c>
      <c r="L52" s="15" t="s">
        <v>310</v>
      </c>
      <c r="M52" s="15"/>
    </row>
    <row r="53" spans="1:13" hidden="1">
      <c r="A53" s="14">
        <v>52</v>
      </c>
      <c r="B53" s="42">
        <v>45865</v>
      </c>
      <c r="C53" s="12" t="s">
        <v>306</v>
      </c>
      <c r="D53" s="12">
        <v>300</v>
      </c>
      <c r="E53" s="12" t="s">
        <v>308</v>
      </c>
      <c r="F53" s="13"/>
      <c r="G53" s="12" t="s">
        <v>307</v>
      </c>
      <c r="H53" s="13"/>
      <c r="I53" s="26"/>
      <c r="J53" s="15"/>
      <c r="K53" s="22">
        <v>13320</v>
      </c>
      <c r="L53" s="15" t="s">
        <v>310</v>
      </c>
      <c r="M53" s="15"/>
    </row>
    <row r="54" spans="1:13" hidden="1">
      <c r="A54" s="14">
        <v>53</v>
      </c>
      <c r="B54" s="42">
        <v>45871</v>
      </c>
      <c r="C54" s="12" t="s">
        <v>306</v>
      </c>
      <c r="D54" s="12">
        <v>307</v>
      </c>
      <c r="E54" s="12" t="s">
        <v>307</v>
      </c>
      <c r="F54" s="13"/>
      <c r="G54" s="12" t="s">
        <v>340</v>
      </c>
      <c r="H54" s="13"/>
      <c r="I54" s="26"/>
      <c r="J54" s="15"/>
      <c r="K54" s="22">
        <v>22845</v>
      </c>
      <c r="L54" s="15" t="s">
        <v>310</v>
      </c>
      <c r="M54" s="15"/>
    </row>
    <row r="55" spans="1:13" hidden="1">
      <c r="A55" s="14">
        <v>54</v>
      </c>
      <c r="B55" s="42">
        <v>45872</v>
      </c>
      <c r="C55" s="12" t="s">
        <v>306</v>
      </c>
      <c r="D55" s="12">
        <v>300</v>
      </c>
      <c r="E55" s="12" t="s">
        <v>340</v>
      </c>
      <c r="F55" s="13"/>
      <c r="G55" s="12" t="s">
        <v>307</v>
      </c>
      <c r="H55" s="13"/>
      <c r="I55" s="26"/>
      <c r="J55" s="15"/>
      <c r="K55" s="22">
        <v>0</v>
      </c>
      <c r="L55" s="15" t="s">
        <v>310</v>
      </c>
      <c r="M55" s="15"/>
    </row>
    <row r="56" spans="1:13" hidden="1">
      <c r="A56" s="14">
        <v>55</v>
      </c>
      <c r="B56" s="42">
        <v>45875</v>
      </c>
      <c r="C56" s="12" t="s">
        <v>306</v>
      </c>
      <c r="D56" s="12">
        <v>307</v>
      </c>
      <c r="E56" s="12" t="s">
        <v>307</v>
      </c>
      <c r="F56" s="13"/>
      <c r="G56" s="12" t="s">
        <v>341</v>
      </c>
      <c r="H56" s="13"/>
      <c r="I56" s="26"/>
      <c r="J56" s="15"/>
      <c r="K56" s="22">
        <v>0</v>
      </c>
      <c r="L56" s="15" t="s">
        <v>310</v>
      </c>
      <c r="M56" s="15"/>
    </row>
    <row r="57" spans="1:13" hidden="1">
      <c r="A57" s="14">
        <v>56</v>
      </c>
      <c r="B57" s="42">
        <v>45875</v>
      </c>
      <c r="C57" s="12" t="s">
        <v>306</v>
      </c>
      <c r="D57" s="12">
        <v>300</v>
      </c>
      <c r="E57" s="12" t="s">
        <v>342</v>
      </c>
      <c r="F57" s="13"/>
      <c r="G57" s="12" t="s">
        <v>307</v>
      </c>
      <c r="H57" s="13"/>
      <c r="I57" s="26"/>
      <c r="J57" s="15"/>
      <c r="K57" s="22">
        <v>0</v>
      </c>
      <c r="L57" s="15" t="s">
        <v>310</v>
      </c>
      <c r="M57" s="15"/>
    </row>
    <row r="58" spans="1:13" hidden="1">
      <c r="A58" s="14">
        <v>57</v>
      </c>
      <c r="B58" s="42">
        <v>45916</v>
      </c>
      <c r="C58" s="12" t="s">
        <v>306</v>
      </c>
      <c r="D58" s="12">
        <v>307</v>
      </c>
      <c r="E58" s="12" t="s">
        <v>307</v>
      </c>
      <c r="F58" s="13"/>
      <c r="G58" s="12" t="s">
        <v>308</v>
      </c>
      <c r="H58" s="13"/>
      <c r="I58" s="26"/>
      <c r="J58" s="15"/>
      <c r="K58" s="22">
        <v>0</v>
      </c>
      <c r="L58" s="15" t="s">
        <v>310</v>
      </c>
      <c r="M58" s="15"/>
    </row>
    <row r="59" spans="1:13" hidden="1">
      <c r="A59" s="14">
        <v>58</v>
      </c>
      <c r="B59" s="42">
        <v>45918</v>
      </c>
      <c r="C59" s="12" t="s">
        <v>306</v>
      </c>
      <c r="D59" s="12">
        <v>302</v>
      </c>
      <c r="E59" s="12" t="s">
        <v>308</v>
      </c>
      <c r="F59" s="13"/>
      <c r="G59" s="12" t="s">
        <v>307</v>
      </c>
      <c r="H59" s="13"/>
      <c r="I59" s="26"/>
      <c r="J59" s="15"/>
      <c r="K59" s="22">
        <v>0</v>
      </c>
      <c r="L59" s="15" t="s">
        <v>310</v>
      </c>
      <c r="M59" s="15"/>
    </row>
    <row r="60" spans="1:13" hidden="1">
      <c r="A60" s="14">
        <v>59</v>
      </c>
      <c r="B60" s="42">
        <v>45994</v>
      </c>
      <c r="C60" s="12" t="s">
        <v>306</v>
      </c>
      <c r="D60" s="12">
        <v>901</v>
      </c>
      <c r="E60" s="12" t="s">
        <v>307</v>
      </c>
      <c r="F60" s="13">
        <v>0.2638888888888889</v>
      </c>
      <c r="G60" s="12" t="s">
        <v>318</v>
      </c>
      <c r="H60" s="13">
        <v>0.38541666666666669</v>
      </c>
      <c r="I60" s="26"/>
      <c r="J60" s="15"/>
      <c r="K60" s="22">
        <v>10590</v>
      </c>
      <c r="L60" s="15" t="s">
        <v>310</v>
      </c>
      <c r="M60" s="15"/>
    </row>
    <row r="61" spans="1:13" hidden="1">
      <c r="A61" s="14">
        <v>60</v>
      </c>
      <c r="B61" s="42">
        <v>45994</v>
      </c>
      <c r="C61" s="12" t="s">
        <v>306</v>
      </c>
      <c r="D61" s="12" t="s">
        <v>343</v>
      </c>
      <c r="E61" s="12" t="s">
        <v>318</v>
      </c>
      <c r="F61" s="13">
        <v>0.41319444444444442</v>
      </c>
      <c r="G61" s="12" t="s">
        <v>344</v>
      </c>
      <c r="H61" s="13">
        <v>0.43402777777777779</v>
      </c>
      <c r="I61" s="26"/>
      <c r="J61" s="15"/>
      <c r="K61" s="47">
        <v>4640</v>
      </c>
      <c r="L61" s="15" t="s">
        <v>310</v>
      </c>
      <c r="M61" s="15"/>
    </row>
    <row r="62" spans="1:13" hidden="1">
      <c r="A62" s="14">
        <v>61</v>
      </c>
      <c r="B62" s="42">
        <v>45994</v>
      </c>
      <c r="C62" s="12" t="s">
        <v>306</v>
      </c>
      <c r="D62" s="12" t="s">
        <v>345</v>
      </c>
      <c r="E62" s="12" t="s">
        <v>344</v>
      </c>
      <c r="F62" s="13">
        <v>0.4548611111111111</v>
      </c>
      <c r="G62" s="12" t="s">
        <v>318</v>
      </c>
      <c r="H62" s="13">
        <v>0.47916666666666669</v>
      </c>
      <c r="I62" s="26"/>
      <c r="J62" s="15"/>
      <c r="K62" s="47">
        <v>6400</v>
      </c>
      <c r="L62" s="15" t="s">
        <v>310</v>
      </c>
      <c r="M62" s="15"/>
    </row>
    <row r="63" spans="1:13" hidden="1">
      <c r="A63" s="14">
        <v>62</v>
      </c>
      <c r="B63" s="42">
        <v>45994</v>
      </c>
      <c r="C63" s="12" t="s">
        <v>306</v>
      </c>
      <c r="D63" s="12" t="s">
        <v>346</v>
      </c>
      <c r="E63" s="12" t="s">
        <v>318</v>
      </c>
      <c r="F63" s="13">
        <v>0.52777777777777779</v>
      </c>
      <c r="G63" s="12" t="s">
        <v>321</v>
      </c>
      <c r="H63" s="13">
        <v>0.57291666666666663</v>
      </c>
      <c r="I63" s="26"/>
      <c r="J63" s="15"/>
      <c r="K63" s="22">
        <v>4640</v>
      </c>
      <c r="L63" s="15" t="s">
        <v>310</v>
      </c>
      <c r="M63" s="15"/>
    </row>
    <row r="64" spans="1:13" hidden="1">
      <c r="A64" s="14">
        <v>63</v>
      </c>
      <c r="B64" s="42">
        <v>45994</v>
      </c>
      <c r="C64" s="12" t="s">
        <v>306</v>
      </c>
      <c r="D64" s="12" t="s">
        <v>347</v>
      </c>
      <c r="E64" s="12" t="s">
        <v>321</v>
      </c>
      <c r="F64" s="13">
        <v>0.61805555555555558</v>
      </c>
      <c r="G64" s="12" t="s">
        <v>325</v>
      </c>
      <c r="H64" s="13">
        <v>0.63888888888888884</v>
      </c>
      <c r="I64" s="26"/>
      <c r="J64" s="15"/>
      <c r="K64" s="47">
        <v>4400</v>
      </c>
      <c r="L64" s="15" t="s">
        <v>310</v>
      </c>
      <c r="M64" s="15"/>
    </row>
    <row r="65" spans="1:13" hidden="1">
      <c r="A65" s="14">
        <v>64</v>
      </c>
      <c r="B65" s="42">
        <v>45994</v>
      </c>
      <c r="C65" s="12" t="s">
        <v>306</v>
      </c>
      <c r="D65" s="12" t="s">
        <v>348</v>
      </c>
      <c r="E65" s="12" t="s">
        <v>325</v>
      </c>
      <c r="F65" s="13">
        <v>0.65972222222222221</v>
      </c>
      <c r="G65" s="12" t="s">
        <v>326</v>
      </c>
      <c r="H65" s="13">
        <v>0.67708333333333337</v>
      </c>
      <c r="I65" s="26"/>
      <c r="J65" s="15"/>
      <c r="K65" s="22">
        <v>5500</v>
      </c>
      <c r="L65" s="15" t="s">
        <v>310</v>
      </c>
      <c r="M65" s="15"/>
    </row>
    <row r="66" spans="1:13" hidden="1">
      <c r="A66" s="14">
        <v>65</v>
      </c>
      <c r="B66" s="42">
        <v>45994</v>
      </c>
      <c r="C66" s="12" t="s">
        <v>306</v>
      </c>
      <c r="D66" s="12" t="s">
        <v>349</v>
      </c>
      <c r="E66" s="12" t="s">
        <v>326</v>
      </c>
      <c r="F66" s="13">
        <v>0.70138888888888884</v>
      </c>
      <c r="G66" s="12" t="s">
        <v>325</v>
      </c>
      <c r="H66" s="13">
        <v>0.71875</v>
      </c>
      <c r="I66" s="26"/>
      <c r="J66" s="15"/>
      <c r="K66" s="22">
        <v>5500</v>
      </c>
      <c r="L66" s="15" t="s">
        <v>310</v>
      </c>
      <c r="M66" s="15"/>
    </row>
    <row r="67" spans="1:13" hidden="1">
      <c r="A67" s="14">
        <v>66</v>
      </c>
      <c r="B67" s="42">
        <v>45994</v>
      </c>
      <c r="C67" s="12" t="s">
        <v>306</v>
      </c>
      <c r="D67" s="12" t="s">
        <v>350</v>
      </c>
      <c r="E67" s="12" t="s">
        <v>325</v>
      </c>
      <c r="F67" s="13">
        <v>0.76041666666666663</v>
      </c>
      <c r="G67" s="12" t="s">
        <v>318</v>
      </c>
      <c r="H67" s="13">
        <v>0.79513888888888884</v>
      </c>
      <c r="I67" s="26"/>
      <c r="J67" s="15"/>
      <c r="K67" s="22">
        <v>4640</v>
      </c>
      <c r="L67" s="15" t="s">
        <v>310</v>
      </c>
      <c r="M67" s="15"/>
    </row>
    <row r="68" spans="1:13" hidden="1">
      <c r="A68" s="14">
        <v>67</v>
      </c>
      <c r="B68" s="42">
        <v>45994</v>
      </c>
      <c r="C68" s="12" t="s">
        <v>306</v>
      </c>
      <c r="D68" s="12">
        <v>920</v>
      </c>
      <c r="E68" s="12" t="s">
        <v>318</v>
      </c>
      <c r="F68" s="13">
        <v>0.82986111111111116</v>
      </c>
      <c r="G68" s="12" t="s">
        <v>307</v>
      </c>
      <c r="H68" s="13">
        <v>0.92013888888888884</v>
      </c>
      <c r="I68" s="26"/>
      <c r="J68" s="15"/>
      <c r="K68" s="22">
        <v>10590</v>
      </c>
      <c r="L68" s="15" t="s">
        <v>310</v>
      </c>
      <c r="M68" s="15"/>
    </row>
    <row r="69" spans="1:13" hidden="1">
      <c r="A69" s="14">
        <v>68</v>
      </c>
      <c r="B69" s="42">
        <v>45939</v>
      </c>
      <c r="C69" s="12" t="s">
        <v>306</v>
      </c>
      <c r="D69" s="12">
        <v>325</v>
      </c>
      <c r="E69" s="12" t="s">
        <v>307</v>
      </c>
      <c r="F69" s="13"/>
      <c r="G69" s="12" t="s">
        <v>308</v>
      </c>
      <c r="H69" s="13"/>
      <c r="I69" s="26"/>
      <c r="J69" s="15"/>
      <c r="K69" s="22">
        <v>0</v>
      </c>
      <c r="L69" s="15" t="s">
        <v>310</v>
      </c>
      <c r="M69" s="15"/>
    </row>
    <row r="70" spans="1:13" hidden="1">
      <c r="A70" s="14">
        <v>69</v>
      </c>
      <c r="B70" s="42">
        <v>45941</v>
      </c>
      <c r="C70" s="12" t="s">
        <v>306</v>
      </c>
      <c r="D70" s="12">
        <v>310</v>
      </c>
      <c r="E70" s="12" t="s">
        <v>308</v>
      </c>
      <c r="F70" s="13"/>
      <c r="G70" s="12" t="s">
        <v>307</v>
      </c>
      <c r="H70" s="13"/>
      <c r="I70" s="26"/>
      <c r="J70" s="15"/>
      <c r="K70" s="22">
        <v>0</v>
      </c>
      <c r="L70" s="15" t="s">
        <v>310</v>
      </c>
      <c r="M70" s="15"/>
    </row>
    <row r="71" spans="1:13" hidden="1">
      <c r="A71" s="14">
        <v>70</v>
      </c>
      <c r="B71" s="42">
        <v>46052</v>
      </c>
      <c r="C71" s="12" t="s">
        <v>306</v>
      </c>
      <c r="D71" s="12">
        <v>325</v>
      </c>
      <c r="E71" s="12" t="s">
        <v>307</v>
      </c>
      <c r="F71" s="13">
        <v>0.2638888888888889</v>
      </c>
      <c r="G71" s="12" t="s">
        <v>318</v>
      </c>
      <c r="H71" s="13">
        <v>0.38541666666666669</v>
      </c>
      <c r="I71" s="26"/>
      <c r="J71" s="15"/>
      <c r="K71" s="22">
        <f>132568/4</f>
        <v>33142</v>
      </c>
      <c r="L71" s="15" t="s">
        <v>310</v>
      </c>
      <c r="M71" s="15"/>
    </row>
    <row r="72" spans="1:13" hidden="1">
      <c r="A72" s="14">
        <v>71</v>
      </c>
      <c r="B72" s="42">
        <v>46054</v>
      </c>
      <c r="C72" s="12" t="s">
        <v>306</v>
      </c>
      <c r="D72" s="12">
        <v>310</v>
      </c>
      <c r="E72" s="12" t="s">
        <v>318</v>
      </c>
      <c r="F72" s="13">
        <v>0.51736111111111116</v>
      </c>
      <c r="G72" s="12" t="s">
        <v>307</v>
      </c>
      <c r="H72" s="13">
        <v>0.60763888888888884</v>
      </c>
      <c r="I72" s="26"/>
      <c r="J72" s="15"/>
      <c r="K72" s="22">
        <v>0</v>
      </c>
      <c r="L72" s="15" t="s">
        <v>310</v>
      </c>
      <c r="M72" s="15"/>
    </row>
    <row r="73" spans="1:13" hidden="1">
      <c r="A73" s="14">
        <v>72</v>
      </c>
      <c r="B73" s="42">
        <v>45932</v>
      </c>
      <c r="C73" s="12" t="s">
        <v>306</v>
      </c>
      <c r="D73" s="12"/>
      <c r="E73" s="12" t="s">
        <v>307</v>
      </c>
      <c r="F73" s="13"/>
      <c r="G73" s="12" t="s">
        <v>351</v>
      </c>
      <c r="H73" s="13"/>
      <c r="I73" s="26"/>
      <c r="J73" s="15"/>
      <c r="K73" s="22">
        <v>0</v>
      </c>
      <c r="L73" s="15" t="s">
        <v>310</v>
      </c>
      <c r="M73" s="15"/>
    </row>
    <row r="74" spans="1:13" hidden="1">
      <c r="A74" s="14">
        <v>73</v>
      </c>
      <c r="B74" s="42">
        <v>45951</v>
      </c>
      <c r="C74" s="12" t="s">
        <v>306</v>
      </c>
      <c r="D74" s="12"/>
      <c r="E74" s="12" t="s">
        <v>307</v>
      </c>
      <c r="F74" s="13"/>
      <c r="G74" s="12" t="s">
        <v>352</v>
      </c>
      <c r="H74" s="13"/>
      <c r="I74" s="26"/>
      <c r="J74" s="15"/>
      <c r="K74" s="22">
        <v>0</v>
      </c>
      <c r="L74" s="15" t="s">
        <v>310</v>
      </c>
      <c r="M74" s="15"/>
    </row>
    <row r="75" spans="1:13" hidden="1">
      <c r="A75" s="14">
        <v>74</v>
      </c>
      <c r="B75" s="42">
        <v>45953</v>
      </c>
      <c r="C75" s="12" t="s">
        <v>306</v>
      </c>
      <c r="D75" s="12"/>
      <c r="E75" s="12" t="s">
        <v>339</v>
      </c>
      <c r="F75" s="13"/>
      <c r="G75" s="12" t="s">
        <v>308</v>
      </c>
      <c r="H75" s="13"/>
      <c r="I75" s="26"/>
      <c r="J75" s="15"/>
      <c r="K75" s="22">
        <v>0</v>
      </c>
      <c r="L75" s="15" t="s">
        <v>310</v>
      </c>
      <c r="M75" s="15"/>
    </row>
    <row r="76" spans="1:13" hidden="1">
      <c r="A76" s="14">
        <v>75</v>
      </c>
      <c r="B76" s="42">
        <v>45953</v>
      </c>
      <c r="C76" s="12" t="s">
        <v>306</v>
      </c>
      <c r="D76" s="12"/>
      <c r="E76" s="12" t="s">
        <v>308</v>
      </c>
      <c r="F76" s="13"/>
      <c r="G76" s="12" t="s">
        <v>307</v>
      </c>
      <c r="H76" s="13"/>
      <c r="I76" s="26"/>
      <c r="J76" s="15"/>
      <c r="K76" s="22">
        <v>0</v>
      </c>
      <c r="L76" s="15" t="s">
        <v>310</v>
      </c>
      <c r="M76" s="15"/>
    </row>
    <row r="77" spans="1:13" hidden="1">
      <c r="A77" s="14">
        <v>76</v>
      </c>
      <c r="B77" s="42">
        <v>46030</v>
      </c>
      <c r="C77" s="12" t="s">
        <v>306</v>
      </c>
      <c r="D77" s="12"/>
      <c r="E77" s="12" t="s">
        <v>307</v>
      </c>
      <c r="F77" s="13">
        <v>0.78819444444444442</v>
      </c>
      <c r="G77" s="12" t="s">
        <v>308</v>
      </c>
      <c r="H77" s="13">
        <v>0.87847222222222221</v>
      </c>
      <c r="I77" s="26"/>
      <c r="J77" s="15"/>
      <c r="K77" s="47">
        <v>8810</v>
      </c>
      <c r="L77" s="15" t="s">
        <v>310</v>
      </c>
      <c r="M77" s="15"/>
    </row>
    <row r="78" spans="1:13" hidden="1">
      <c r="A78" s="14">
        <v>77</v>
      </c>
      <c r="B78" s="42">
        <v>46031</v>
      </c>
      <c r="C78" s="12" t="s">
        <v>306</v>
      </c>
      <c r="D78" s="12"/>
      <c r="E78" s="12" t="s">
        <v>308</v>
      </c>
      <c r="F78" s="13">
        <v>0.30208333333333331</v>
      </c>
      <c r="G78" s="12" t="s">
        <v>318</v>
      </c>
      <c r="H78" s="13">
        <v>0.375</v>
      </c>
      <c r="I78" s="26"/>
      <c r="J78" s="15"/>
      <c r="K78" s="22">
        <v>10800</v>
      </c>
      <c r="L78" s="15" t="s">
        <v>310</v>
      </c>
      <c r="M78" s="15"/>
    </row>
    <row r="79" spans="1:13" hidden="1">
      <c r="A79" s="14">
        <v>78</v>
      </c>
      <c r="B79" s="42">
        <v>46031</v>
      </c>
      <c r="C79" s="12" t="s">
        <v>306</v>
      </c>
      <c r="D79" s="12"/>
      <c r="E79" s="12" t="s">
        <v>318</v>
      </c>
      <c r="F79" s="13">
        <v>0.40625</v>
      </c>
      <c r="G79" s="12" t="s">
        <v>321</v>
      </c>
      <c r="H79" s="13">
        <v>0.4513888888888889</v>
      </c>
      <c r="I79" s="26"/>
      <c r="J79" s="15"/>
      <c r="K79" s="22">
        <v>4640</v>
      </c>
      <c r="L79" s="15" t="s">
        <v>310</v>
      </c>
      <c r="M79" s="15"/>
    </row>
    <row r="80" spans="1:13" hidden="1">
      <c r="A80" s="14">
        <v>79</v>
      </c>
      <c r="B80" s="42">
        <v>46031</v>
      </c>
      <c r="C80" s="12" t="s">
        <v>306</v>
      </c>
      <c r="D80" s="12"/>
      <c r="E80" s="12" t="s">
        <v>321</v>
      </c>
      <c r="F80" s="13">
        <v>0.47916666666666669</v>
      </c>
      <c r="G80" s="12" t="s">
        <v>318</v>
      </c>
      <c r="H80" s="13">
        <v>0.52083333333333337</v>
      </c>
      <c r="I80" s="26"/>
      <c r="J80" s="15"/>
      <c r="K80" s="22">
        <v>4640</v>
      </c>
      <c r="L80" s="15" t="s">
        <v>310</v>
      </c>
      <c r="M80" s="15"/>
    </row>
    <row r="81" spans="1:13" hidden="1">
      <c r="A81" s="14">
        <v>80</v>
      </c>
      <c r="B81" s="42">
        <v>46031</v>
      </c>
      <c r="C81" s="12" t="s">
        <v>306</v>
      </c>
      <c r="D81" s="12"/>
      <c r="E81" s="12" t="s">
        <v>318</v>
      </c>
      <c r="F81" s="13">
        <v>0.58333333333333337</v>
      </c>
      <c r="G81" s="12" t="s">
        <v>344</v>
      </c>
      <c r="H81" s="13">
        <v>0.60763888888888884</v>
      </c>
      <c r="I81" s="26"/>
      <c r="J81" s="15"/>
      <c r="K81" s="22">
        <v>4640</v>
      </c>
      <c r="L81" s="15" t="s">
        <v>310</v>
      </c>
      <c r="M81" s="15"/>
    </row>
    <row r="82" spans="1:13" hidden="1">
      <c r="A82" s="14">
        <v>81</v>
      </c>
      <c r="B82" s="42">
        <v>46031</v>
      </c>
      <c r="C82" s="12" t="s">
        <v>306</v>
      </c>
      <c r="D82" s="12"/>
      <c r="E82" s="12" t="s">
        <v>344</v>
      </c>
      <c r="F82" s="13">
        <v>0.63541666666666663</v>
      </c>
      <c r="G82" s="12" t="s">
        <v>318</v>
      </c>
      <c r="H82" s="13">
        <v>0.66319444444444442</v>
      </c>
      <c r="I82" s="26"/>
      <c r="J82" s="15"/>
      <c r="K82" s="22">
        <v>4640</v>
      </c>
      <c r="L82" s="15" t="s">
        <v>310</v>
      </c>
      <c r="M82" s="15"/>
    </row>
    <row r="83" spans="1:13" hidden="1">
      <c r="A83" s="14">
        <v>82</v>
      </c>
      <c r="B83" s="42">
        <v>46031</v>
      </c>
      <c r="C83" s="12" t="s">
        <v>306</v>
      </c>
      <c r="D83" s="12"/>
      <c r="E83" s="12" t="s">
        <v>318</v>
      </c>
      <c r="F83" s="13">
        <v>0.69444444444444442</v>
      </c>
      <c r="G83" s="12" t="s">
        <v>325</v>
      </c>
      <c r="H83" s="13">
        <v>0.73263888888888884</v>
      </c>
      <c r="I83" s="26"/>
      <c r="J83" s="15"/>
      <c r="K83" s="22">
        <v>4640</v>
      </c>
      <c r="L83" s="15" t="s">
        <v>310</v>
      </c>
      <c r="M83" s="15"/>
    </row>
    <row r="84" spans="1:13" hidden="1">
      <c r="A84" s="14">
        <v>83</v>
      </c>
      <c r="B84" s="42">
        <v>46031</v>
      </c>
      <c r="C84" s="12" t="s">
        <v>306</v>
      </c>
      <c r="D84" s="12"/>
      <c r="E84" s="12" t="s">
        <v>325</v>
      </c>
      <c r="F84" s="13">
        <v>0.76041666666666663</v>
      </c>
      <c r="G84" s="12" t="s">
        <v>318</v>
      </c>
      <c r="H84" s="13">
        <v>0.79513888888888884</v>
      </c>
      <c r="I84" s="26"/>
      <c r="J84" s="15"/>
      <c r="K84" s="22">
        <v>7500</v>
      </c>
      <c r="L84" s="15" t="s">
        <v>310</v>
      </c>
      <c r="M84" s="15"/>
    </row>
    <row r="85" spans="1:13" hidden="1">
      <c r="A85" s="14">
        <v>84</v>
      </c>
      <c r="B85" s="42">
        <v>46031</v>
      </c>
      <c r="C85" s="12" t="s">
        <v>306</v>
      </c>
      <c r="D85" s="12"/>
      <c r="E85" s="12" t="s">
        <v>318</v>
      </c>
      <c r="F85" s="13">
        <v>0.82291666666666663</v>
      </c>
      <c r="G85" s="12" t="s">
        <v>308</v>
      </c>
      <c r="H85" s="13">
        <v>0.89236111111111116</v>
      </c>
      <c r="I85" s="26"/>
      <c r="J85" s="15"/>
      <c r="K85" s="22">
        <v>8050</v>
      </c>
      <c r="L85" s="15" t="s">
        <v>310</v>
      </c>
      <c r="M85" s="15"/>
    </row>
    <row r="86" spans="1:13" hidden="1">
      <c r="A86" s="14">
        <v>85</v>
      </c>
      <c r="B86" s="42">
        <v>46032</v>
      </c>
      <c r="C86" s="12" t="s">
        <v>306</v>
      </c>
      <c r="D86" s="12"/>
      <c r="E86" s="12" t="s">
        <v>308</v>
      </c>
      <c r="F86" s="13">
        <v>0.30555555555555558</v>
      </c>
      <c r="G86" s="12" t="s">
        <v>315</v>
      </c>
      <c r="H86" s="13">
        <v>0.33333333333333331</v>
      </c>
      <c r="I86" s="26"/>
      <c r="J86" s="15"/>
      <c r="K86" s="22">
        <v>6490</v>
      </c>
      <c r="L86" s="15" t="s">
        <v>310</v>
      </c>
      <c r="M86" s="15"/>
    </row>
    <row r="87" spans="1:13" hidden="1">
      <c r="A87" s="14">
        <v>86</v>
      </c>
      <c r="B87" s="42">
        <v>46032</v>
      </c>
      <c r="C87" s="12" t="s">
        <v>306</v>
      </c>
      <c r="D87" s="12"/>
      <c r="E87" s="12" t="s">
        <v>315</v>
      </c>
      <c r="F87" s="13">
        <v>0.54861111111111116</v>
      </c>
      <c r="G87" s="12" t="s">
        <v>308</v>
      </c>
      <c r="H87" s="13">
        <v>0.58333333333333337</v>
      </c>
      <c r="I87" s="26"/>
      <c r="J87" s="15"/>
      <c r="K87" s="22">
        <v>6490</v>
      </c>
      <c r="L87" s="15" t="s">
        <v>310</v>
      </c>
      <c r="M87" s="15"/>
    </row>
    <row r="88" spans="1:13" hidden="1">
      <c r="A88" s="14">
        <v>87</v>
      </c>
      <c r="B88" s="42">
        <v>46032</v>
      </c>
      <c r="C88" s="12" t="s">
        <v>306</v>
      </c>
      <c r="D88" s="12"/>
      <c r="E88" s="12" t="s">
        <v>308</v>
      </c>
      <c r="F88" s="13">
        <v>0.59722222222222221</v>
      </c>
      <c r="G88" s="12" t="s">
        <v>353</v>
      </c>
      <c r="H88" s="13">
        <v>0.63541666666666663</v>
      </c>
      <c r="I88" s="26"/>
      <c r="J88" s="15"/>
      <c r="K88" s="22">
        <v>6710</v>
      </c>
      <c r="L88" s="15" t="s">
        <v>310</v>
      </c>
      <c r="M88" s="15"/>
    </row>
    <row r="89" spans="1:13" hidden="1">
      <c r="A89" s="14">
        <v>88</v>
      </c>
      <c r="B89" s="42">
        <v>46032</v>
      </c>
      <c r="C89" s="12" t="s">
        <v>306</v>
      </c>
      <c r="D89" s="12"/>
      <c r="E89" s="12" t="s">
        <v>353</v>
      </c>
      <c r="F89" s="13">
        <v>0.66319444444444442</v>
      </c>
      <c r="G89" s="12" t="s">
        <v>308</v>
      </c>
      <c r="H89" s="13">
        <v>0.70486111111111116</v>
      </c>
      <c r="I89" s="26"/>
      <c r="J89" s="15"/>
      <c r="K89" s="22">
        <v>6710</v>
      </c>
      <c r="L89" s="15" t="s">
        <v>310</v>
      </c>
      <c r="M89" s="15"/>
    </row>
    <row r="90" spans="1:13" hidden="1">
      <c r="A90" s="14">
        <v>89</v>
      </c>
      <c r="B90" s="42">
        <v>46033</v>
      </c>
      <c r="C90" s="12" t="s">
        <v>306</v>
      </c>
      <c r="D90" s="12"/>
      <c r="E90" s="12" t="s">
        <v>308</v>
      </c>
      <c r="F90" s="13">
        <v>0.30208333333333331</v>
      </c>
      <c r="G90" s="12" t="s">
        <v>318</v>
      </c>
      <c r="H90" s="13">
        <v>0.375</v>
      </c>
      <c r="I90" s="26"/>
      <c r="J90" s="15"/>
      <c r="K90" s="22">
        <v>9150</v>
      </c>
      <c r="L90" s="15" t="s">
        <v>310</v>
      </c>
      <c r="M90" s="15"/>
    </row>
    <row r="91" spans="1:13" hidden="1">
      <c r="A91" s="14">
        <v>90</v>
      </c>
      <c r="B91" s="42">
        <v>46033</v>
      </c>
      <c r="C91" s="12" t="s">
        <v>306</v>
      </c>
      <c r="D91" s="12"/>
      <c r="E91" s="12" t="s">
        <v>318</v>
      </c>
      <c r="F91" s="13">
        <v>0.40625</v>
      </c>
      <c r="G91" s="12" t="s">
        <v>321</v>
      </c>
      <c r="H91" s="13">
        <v>0.4513888888888889</v>
      </c>
      <c r="I91" s="26"/>
      <c r="J91" s="15"/>
      <c r="K91" s="22">
        <v>5740</v>
      </c>
      <c r="L91" s="15" t="s">
        <v>310</v>
      </c>
      <c r="M91" s="15"/>
    </row>
    <row r="92" spans="1:13" hidden="1">
      <c r="A92" s="14">
        <v>91</v>
      </c>
      <c r="B92" s="42">
        <v>46033</v>
      </c>
      <c r="C92" s="12" t="s">
        <v>306</v>
      </c>
      <c r="D92" s="12"/>
      <c r="E92" s="12" t="s">
        <v>321</v>
      </c>
      <c r="F92" s="13">
        <v>0.47916666666666669</v>
      </c>
      <c r="G92" s="12" t="s">
        <v>318</v>
      </c>
      <c r="H92" s="13">
        <v>0.52083333333333337</v>
      </c>
      <c r="I92" s="26"/>
      <c r="J92" s="15"/>
      <c r="K92" s="22">
        <v>5740</v>
      </c>
      <c r="L92" s="15" t="s">
        <v>310</v>
      </c>
      <c r="M92" s="15"/>
    </row>
    <row r="93" spans="1:13" hidden="1">
      <c r="A93" s="14">
        <v>92</v>
      </c>
      <c r="B93" s="42">
        <v>46033</v>
      </c>
      <c r="C93" s="12" t="s">
        <v>306</v>
      </c>
      <c r="D93" s="12"/>
      <c r="E93" s="12" t="s">
        <v>318</v>
      </c>
      <c r="F93" s="13">
        <v>0.55208333333333337</v>
      </c>
      <c r="G93" s="12" t="s">
        <v>354</v>
      </c>
      <c r="H93" s="13">
        <v>0.57986111111111116</v>
      </c>
      <c r="I93" s="26"/>
      <c r="J93" s="15"/>
      <c r="K93" s="22">
        <v>12340</v>
      </c>
      <c r="L93" s="15" t="s">
        <v>310</v>
      </c>
      <c r="M93" s="15"/>
    </row>
    <row r="94" spans="1:13" hidden="1">
      <c r="A94" s="14">
        <v>93</v>
      </c>
      <c r="B94" s="42">
        <v>46033</v>
      </c>
      <c r="C94" s="12" t="s">
        <v>306</v>
      </c>
      <c r="D94" s="12"/>
      <c r="E94" s="12" t="s">
        <v>354</v>
      </c>
      <c r="F94" s="13">
        <v>0.60069444444444442</v>
      </c>
      <c r="G94" s="12" t="s">
        <v>318</v>
      </c>
      <c r="H94" s="13">
        <v>0.625</v>
      </c>
      <c r="I94" s="26"/>
      <c r="J94" s="15"/>
      <c r="K94" s="22">
        <v>12340</v>
      </c>
      <c r="L94" s="15" t="s">
        <v>310</v>
      </c>
      <c r="M94" s="15"/>
    </row>
    <row r="95" spans="1:13" hidden="1">
      <c r="A95" s="14">
        <v>94</v>
      </c>
      <c r="B95" s="42">
        <v>46033</v>
      </c>
      <c r="C95" s="12" t="s">
        <v>306</v>
      </c>
      <c r="D95" s="12"/>
      <c r="E95" s="12" t="s">
        <v>318</v>
      </c>
      <c r="F95" s="13">
        <v>0.65277777777777779</v>
      </c>
      <c r="G95" s="12" t="s">
        <v>344</v>
      </c>
      <c r="H95" s="13">
        <v>0.67708333333333337</v>
      </c>
      <c r="I95" s="26"/>
      <c r="J95" s="15"/>
      <c r="K95" s="22">
        <v>10910</v>
      </c>
      <c r="L95" s="15" t="s">
        <v>310</v>
      </c>
      <c r="M95" s="15"/>
    </row>
    <row r="96" spans="1:13" hidden="1">
      <c r="A96" s="14">
        <v>95</v>
      </c>
      <c r="B96" s="42">
        <v>46033</v>
      </c>
      <c r="C96" s="12" t="s">
        <v>306</v>
      </c>
      <c r="D96" s="12"/>
      <c r="E96" s="12" t="s">
        <v>344</v>
      </c>
      <c r="F96" s="13">
        <v>0.69791666666666663</v>
      </c>
      <c r="G96" s="12" t="s">
        <v>318</v>
      </c>
      <c r="H96" s="13">
        <v>0.72222222222222221</v>
      </c>
      <c r="I96" s="26"/>
      <c r="J96" s="15"/>
      <c r="K96" s="22">
        <v>4640</v>
      </c>
      <c r="L96" s="15" t="s">
        <v>310</v>
      </c>
      <c r="M96" s="15"/>
    </row>
    <row r="97" spans="1:13" hidden="1">
      <c r="A97" s="14">
        <v>96</v>
      </c>
      <c r="B97" s="42">
        <v>46033</v>
      </c>
      <c r="C97" s="12" t="s">
        <v>306</v>
      </c>
      <c r="D97" s="12"/>
      <c r="E97" s="12" t="s">
        <v>318</v>
      </c>
      <c r="F97" s="13">
        <v>0.79166666666666663</v>
      </c>
      <c r="G97" s="12" t="s">
        <v>307</v>
      </c>
      <c r="H97" s="13">
        <v>0.88194444444444442</v>
      </c>
      <c r="I97" s="26"/>
      <c r="J97" s="15"/>
      <c r="K97" s="22">
        <v>10590</v>
      </c>
      <c r="L97" s="15" t="s">
        <v>310</v>
      </c>
      <c r="M97" s="15"/>
    </row>
    <row r="98" spans="1:13" hidden="1">
      <c r="A98" s="14">
        <v>97</v>
      </c>
      <c r="B98" s="42">
        <v>46046</v>
      </c>
      <c r="C98" s="12" t="s">
        <v>306</v>
      </c>
      <c r="D98" s="12"/>
      <c r="E98" s="12" t="s">
        <v>307</v>
      </c>
      <c r="F98" s="13">
        <v>0.2638888888888889</v>
      </c>
      <c r="G98" s="12" t="s">
        <v>318</v>
      </c>
      <c r="H98" s="13">
        <v>0.38541666666666669</v>
      </c>
      <c r="I98" s="26"/>
      <c r="J98" s="15"/>
      <c r="K98" s="22">
        <v>10590</v>
      </c>
      <c r="L98" s="15" t="s">
        <v>310</v>
      </c>
      <c r="M98" s="15"/>
    </row>
    <row r="99" spans="1:13" hidden="1">
      <c r="A99" s="14">
        <v>98</v>
      </c>
      <c r="B99" s="42">
        <v>46046</v>
      </c>
      <c r="C99" s="12" t="s">
        <v>306</v>
      </c>
      <c r="D99" s="12"/>
      <c r="E99" s="12" t="s">
        <v>318</v>
      </c>
      <c r="F99" s="13">
        <v>0.4548611111111111</v>
      </c>
      <c r="G99" s="12" t="s">
        <v>325</v>
      </c>
      <c r="H99" s="13">
        <v>0.49305555555555558</v>
      </c>
      <c r="I99" s="26"/>
      <c r="J99" s="15"/>
      <c r="K99" s="22">
        <v>5740</v>
      </c>
      <c r="L99" s="15" t="s">
        <v>310</v>
      </c>
      <c r="M99" s="15"/>
    </row>
    <row r="100" spans="1:13" hidden="1">
      <c r="A100" s="14">
        <v>99</v>
      </c>
      <c r="B100" s="42">
        <v>46046</v>
      </c>
      <c r="C100" s="12" t="s">
        <v>306</v>
      </c>
      <c r="D100" s="12"/>
      <c r="E100" s="12" t="s">
        <v>325</v>
      </c>
      <c r="F100" s="13">
        <v>0.52083333333333337</v>
      </c>
      <c r="G100" s="12" t="s">
        <v>318</v>
      </c>
      <c r="H100" s="13">
        <v>0.55555555555555558</v>
      </c>
      <c r="I100" s="26"/>
      <c r="J100" s="15"/>
      <c r="K100" s="22">
        <v>5740</v>
      </c>
      <c r="L100" s="15" t="s">
        <v>310</v>
      </c>
      <c r="M100" s="15"/>
    </row>
    <row r="101" spans="1:13" hidden="1">
      <c r="A101" s="14">
        <v>100</v>
      </c>
      <c r="B101" s="42">
        <v>46046</v>
      </c>
      <c r="C101" s="12" t="s">
        <v>306</v>
      </c>
      <c r="D101" s="12"/>
      <c r="E101" s="12" t="s">
        <v>318</v>
      </c>
      <c r="F101" s="13">
        <v>0.59375</v>
      </c>
      <c r="G101" s="12" t="s">
        <v>355</v>
      </c>
      <c r="H101" s="13">
        <v>0.63541666666666663</v>
      </c>
      <c r="I101" s="26"/>
      <c r="J101" s="15"/>
      <c r="K101" s="22">
        <v>9040</v>
      </c>
      <c r="L101" s="15" t="s">
        <v>310</v>
      </c>
      <c r="M101" s="15"/>
    </row>
    <row r="102" spans="1:13" hidden="1">
      <c r="A102" s="14">
        <v>101</v>
      </c>
      <c r="B102" s="42">
        <v>46046</v>
      </c>
      <c r="C102" s="12" t="s">
        <v>306</v>
      </c>
      <c r="D102" s="12"/>
      <c r="E102" s="12" t="s">
        <v>355</v>
      </c>
      <c r="F102" s="13">
        <v>0.65625</v>
      </c>
      <c r="G102" s="12" t="s">
        <v>318</v>
      </c>
      <c r="H102" s="13">
        <v>0.70138888888888884</v>
      </c>
      <c r="I102" s="26"/>
      <c r="J102" s="15"/>
      <c r="K102" s="22">
        <v>9040</v>
      </c>
      <c r="L102" s="15" t="s">
        <v>310</v>
      </c>
      <c r="M102" s="15"/>
    </row>
    <row r="103" spans="1:13" hidden="1">
      <c r="A103" s="14">
        <v>102</v>
      </c>
      <c r="B103" s="42">
        <v>46046</v>
      </c>
      <c r="C103" s="12" t="s">
        <v>306</v>
      </c>
      <c r="D103" s="12"/>
      <c r="E103" s="12" t="s">
        <v>318</v>
      </c>
      <c r="F103" s="13">
        <v>0.87152777777777779</v>
      </c>
      <c r="G103" s="12" t="s">
        <v>307</v>
      </c>
      <c r="H103" s="13">
        <v>0.96180555555555558</v>
      </c>
      <c r="I103" s="26"/>
      <c r="J103" s="15"/>
      <c r="K103" s="22">
        <v>10590</v>
      </c>
      <c r="L103" s="15" t="s">
        <v>310</v>
      </c>
      <c r="M103" s="15"/>
    </row>
    <row r="104" spans="1:13" hidden="1">
      <c r="A104" s="14">
        <v>103</v>
      </c>
      <c r="B104" s="42">
        <v>45981</v>
      </c>
      <c r="C104" s="12" t="s">
        <v>306</v>
      </c>
      <c r="D104" s="12"/>
      <c r="E104" s="12" t="s">
        <v>307</v>
      </c>
      <c r="F104" s="13"/>
      <c r="G104" s="12" t="s">
        <v>356</v>
      </c>
      <c r="H104" s="13"/>
      <c r="I104" s="26"/>
      <c r="J104" s="15"/>
      <c r="K104" s="22">
        <v>0</v>
      </c>
      <c r="L104" s="15" t="s">
        <v>310</v>
      </c>
      <c r="M104" s="15"/>
    </row>
    <row r="105" spans="1:13" hidden="1">
      <c r="A105" s="14">
        <v>104</v>
      </c>
      <c r="B105" s="42">
        <v>45983</v>
      </c>
      <c r="C105" s="12" t="s">
        <v>306</v>
      </c>
      <c r="D105" s="12"/>
      <c r="E105" s="12" t="s">
        <v>356</v>
      </c>
      <c r="F105" s="13"/>
      <c r="G105" s="12" t="s">
        <v>307</v>
      </c>
      <c r="H105" s="13"/>
      <c r="I105" s="26"/>
      <c r="J105" s="15"/>
      <c r="K105" s="22">
        <v>0</v>
      </c>
      <c r="L105" s="15" t="s">
        <v>310</v>
      </c>
      <c r="M105" s="15"/>
    </row>
    <row r="106" spans="1:13" hidden="1">
      <c r="A106" s="14">
        <v>105</v>
      </c>
      <c r="B106" s="42">
        <v>45985</v>
      </c>
      <c r="C106" s="12" t="s">
        <v>306</v>
      </c>
      <c r="D106" s="12"/>
      <c r="E106" s="12" t="s">
        <v>307</v>
      </c>
      <c r="F106" s="13"/>
      <c r="G106" s="12" t="s">
        <v>308</v>
      </c>
      <c r="H106" s="13"/>
      <c r="I106" s="26"/>
      <c r="J106" s="15"/>
      <c r="K106" s="22">
        <v>0</v>
      </c>
      <c r="L106" s="15" t="s">
        <v>310</v>
      </c>
      <c r="M106" s="15"/>
    </row>
    <row r="107" spans="1:13" hidden="1">
      <c r="A107" s="14">
        <v>106</v>
      </c>
      <c r="B107" s="42">
        <v>45986</v>
      </c>
      <c r="C107" s="12" t="s">
        <v>306</v>
      </c>
      <c r="D107" s="12"/>
      <c r="E107" s="12" t="s">
        <v>308</v>
      </c>
      <c r="F107" s="13"/>
      <c r="G107" s="12" t="s">
        <v>307</v>
      </c>
      <c r="H107" s="13"/>
      <c r="I107" s="26"/>
      <c r="J107" s="15"/>
      <c r="K107" s="22">
        <v>0</v>
      </c>
      <c r="L107" s="15" t="s">
        <v>310</v>
      </c>
      <c r="M107" s="15"/>
    </row>
    <row r="108" spans="1:13" hidden="1">
      <c r="A108" s="14">
        <v>107</v>
      </c>
      <c r="B108" s="42">
        <v>45987</v>
      </c>
      <c r="C108" s="12" t="s">
        <v>306</v>
      </c>
      <c r="D108" s="12"/>
      <c r="E108" s="12" t="s">
        <v>307</v>
      </c>
      <c r="F108" s="13"/>
      <c r="G108" s="12" t="s">
        <v>340</v>
      </c>
      <c r="H108" s="13"/>
      <c r="I108" s="26"/>
      <c r="J108" s="15"/>
      <c r="K108" s="22">
        <v>0</v>
      </c>
      <c r="L108" s="15" t="s">
        <v>310</v>
      </c>
      <c r="M108" s="15"/>
    </row>
    <row r="109" spans="1:13" hidden="1">
      <c r="A109" s="14">
        <v>108</v>
      </c>
      <c r="B109" s="42">
        <v>45988</v>
      </c>
      <c r="C109" s="12" t="s">
        <v>306</v>
      </c>
      <c r="D109" s="12"/>
      <c r="E109" s="12" t="s">
        <v>340</v>
      </c>
      <c r="F109" s="13"/>
      <c r="G109" s="12" t="s">
        <v>307</v>
      </c>
      <c r="H109" s="13"/>
      <c r="I109" s="26"/>
      <c r="J109" s="15"/>
      <c r="K109" s="22">
        <v>0</v>
      </c>
      <c r="L109" s="15" t="s">
        <v>310</v>
      </c>
      <c r="M109" s="15"/>
    </row>
    <row r="110" spans="1:13" hidden="1">
      <c r="A110" s="14">
        <v>109</v>
      </c>
      <c r="B110" s="42">
        <v>45992</v>
      </c>
      <c r="C110" s="12" t="s">
        <v>306</v>
      </c>
      <c r="D110" s="12"/>
      <c r="E110" s="12" t="s">
        <v>307</v>
      </c>
      <c r="F110" s="13"/>
      <c r="G110" s="12" t="s">
        <v>308</v>
      </c>
      <c r="H110" s="13"/>
      <c r="I110" s="26"/>
      <c r="J110" s="15"/>
      <c r="K110" s="22">
        <v>0</v>
      </c>
      <c r="L110" s="15" t="s">
        <v>310</v>
      </c>
      <c r="M110" s="15"/>
    </row>
    <row r="111" spans="1:13" hidden="1">
      <c r="A111" s="14">
        <v>110</v>
      </c>
      <c r="B111" s="42">
        <v>45993</v>
      </c>
      <c r="C111" s="12" t="s">
        <v>306</v>
      </c>
      <c r="D111" s="12"/>
      <c r="E111" s="12" t="s">
        <v>308</v>
      </c>
      <c r="F111" s="13"/>
      <c r="G111" s="12" t="s">
        <v>307</v>
      </c>
      <c r="H111" s="13"/>
      <c r="I111" s="26"/>
      <c r="J111" s="15"/>
      <c r="K111" s="22">
        <v>0</v>
      </c>
      <c r="L111" s="15" t="s">
        <v>310</v>
      </c>
      <c r="M111" s="15"/>
    </row>
    <row r="112" spans="1:13" hidden="1">
      <c r="A112" s="14">
        <v>111</v>
      </c>
      <c r="B112" s="42">
        <v>46059</v>
      </c>
      <c r="C112" s="12" t="s">
        <v>306</v>
      </c>
      <c r="D112" s="12">
        <v>303</v>
      </c>
      <c r="E112" s="12" t="s">
        <v>307</v>
      </c>
      <c r="F112" s="13">
        <v>0.2673611111111111</v>
      </c>
      <c r="G112" s="12" t="s">
        <v>308</v>
      </c>
      <c r="H112" s="13">
        <v>0.35416666666666669</v>
      </c>
      <c r="I112" s="26"/>
      <c r="J112" s="15"/>
      <c r="K112" s="22">
        <v>9360</v>
      </c>
      <c r="L112" s="15" t="s">
        <v>310</v>
      </c>
      <c r="M112" s="15"/>
    </row>
    <row r="113" spans="1:13" hidden="1">
      <c r="A113" s="14">
        <v>112</v>
      </c>
      <c r="B113" s="42">
        <v>46059</v>
      </c>
      <c r="C113" s="12" t="s">
        <v>306</v>
      </c>
      <c r="D113" s="12">
        <v>3581</v>
      </c>
      <c r="E113" s="12" t="s">
        <v>308</v>
      </c>
      <c r="F113" s="13">
        <v>0.37847222222222221</v>
      </c>
      <c r="G113" s="12" t="s">
        <v>338</v>
      </c>
      <c r="H113" s="13">
        <v>0.41319444444444442</v>
      </c>
      <c r="I113" s="26"/>
      <c r="J113" s="15"/>
      <c r="K113" s="22">
        <v>8910</v>
      </c>
      <c r="L113" s="15" t="s">
        <v>310</v>
      </c>
      <c r="M113" s="15"/>
    </row>
    <row r="114" spans="1:13" hidden="1">
      <c r="A114" s="14">
        <v>113</v>
      </c>
      <c r="B114" s="42">
        <v>46059</v>
      </c>
      <c r="C114" s="12" t="s">
        <v>306</v>
      </c>
      <c r="D114" s="12">
        <v>3582</v>
      </c>
      <c r="E114" s="12" t="s">
        <v>338</v>
      </c>
      <c r="F114" s="13">
        <v>0.43402777777777779</v>
      </c>
      <c r="G114" s="12" t="s">
        <v>308</v>
      </c>
      <c r="H114" s="13">
        <v>0.47916666666666669</v>
      </c>
      <c r="I114" s="26"/>
      <c r="J114" s="15"/>
      <c r="K114" s="22">
        <v>8910</v>
      </c>
      <c r="L114" s="15" t="s">
        <v>310</v>
      </c>
      <c r="M114" s="15"/>
    </row>
    <row r="115" spans="1:13" hidden="1">
      <c r="A115" s="14">
        <v>114</v>
      </c>
      <c r="B115" s="42">
        <v>46059</v>
      </c>
      <c r="C115" s="12" t="s">
        <v>306</v>
      </c>
      <c r="D115" s="12"/>
      <c r="E115" s="12" t="s">
        <v>308</v>
      </c>
      <c r="F115" s="13">
        <v>0.49305555555555558</v>
      </c>
      <c r="G115" s="12" t="s">
        <v>315</v>
      </c>
      <c r="H115" s="13">
        <v>0.52777777777777779</v>
      </c>
      <c r="I115" s="26"/>
      <c r="J115" s="15"/>
      <c r="K115" s="22">
        <v>19238</v>
      </c>
      <c r="L115" s="15" t="s">
        <v>310</v>
      </c>
      <c r="M115" s="15"/>
    </row>
    <row r="116" spans="1:13" hidden="1">
      <c r="A116" s="14">
        <v>115</v>
      </c>
      <c r="B116" s="42">
        <v>46059</v>
      </c>
      <c r="C116" s="12" t="s">
        <v>306</v>
      </c>
      <c r="D116" s="12"/>
      <c r="E116" s="12" t="s">
        <v>315</v>
      </c>
      <c r="F116" s="13">
        <v>0.54861111111111116</v>
      </c>
      <c r="G116" s="12" t="s">
        <v>308</v>
      </c>
      <c r="H116" s="13">
        <v>0.58333333333333337</v>
      </c>
      <c r="I116" s="26"/>
      <c r="J116" s="15"/>
      <c r="K116" s="22">
        <v>0</v>
      </c>
      <c r="L116" s="15" t="s">
        <v>310</v>
      </c>
      <c r="M116" s="15"/>
    </row>
    <row r="117" spans="1:13" hidden="1">
      <c r="A117" s="14">
        <v>118</v>
      </c>
      <c r="B117" s="42">
        <v>46059</v>
      </c>
      <c r="C117" s="12" t="s">
        <v>317</v>
      </c>
      <c r="D117" s="12">
        <v>63</v>
      </c>
      <c r="E117" s="12" t="s">
        <v>308</v>
      </c>
      <c r="F117" s="13">
        <v>0.73263888888888884</v>
      </c>
      <c r="G117" s="12" t="s">
        <v>318</v>
      </c>
      <c r="H117" s="13">
        <v>0.80902777777777779</v>
      </c>
      <c r="I117" s="26"/>
      <c r="J117" s="15"/>
      <c r="K117" s="22">
        <v>9150</v>
      </c>
      <c r="L117" s="15" t="s">
        <v>310</v>
      </c>
      <c r="M117" s="15"/>
    </row>
    <row r="118" spans="1:13" hidden="1">
      <c r="A118" s="14">
        <v>126</v>
      </c>
      <c r="B118" s="42">
        <v>46060</v>
      </c>
      <c r="C118" s="12"/>
      <c r="D118" s="12"/>
      <c r="E118" s="12" t="s">
        <v>318</v>
      </c>
      <c r="F118" s="13">
        <v>0.60069444444444442</v>
      </c>
      <c r="G118" s="12" t="s">
        <v>325</v>
      </c>
      <c r="H118" s="13">
        <v>0.64236111111111116</v>
      </c>
      <c r="I118" s="26"/>
      <c r="J118" s="15"/>
      <c r="K118" s="22">
        <v>5740</v>
      </c>
      <c r="L118" s="15" t="s">
        <v>310</v>
      </c>
      <c r="M118" s="15"/>
    </row>
    <row r="119" spans="1:13" hidden="1">
      <c r="A119" s="14">
        <v>127</v>
      </c>
      <c r="B119" s="42">
        <v>46060</v>
      </c>
      <c r="C119" s="12"/>
      <c r="D119" s="12"/>
      <c r="E119" s="12" t="s">
        <v>325</v>
      </c>
      <c r="F119" s="13">
        <v>0.67013888888888884</v>
      </c>
      <c r="G119" s="12" t="s">
        <v>318</v>
      </c>
      <c r="H119" s="13">
        <v>0.70486111111111116</v>
      </c>
      <c r="I119" s="26"/>
      <c r="J119" s="15"/>
      <c r="K119" s="22">
        <v>5740</v>
      </c>
      <c r="L119" s="15" t="s">
        <v>310</v>
      </c>
      <c r="M119" s="15"/>
    </row>
    <row r="120" spans="1:13" hidden="1">
      <c r="A120" s="14">
        <v>128</v>
      </c>
      <c r="B120" s="42">
        <v>46060</v>
      </c>
      <c r="C120" s="12"/>
      <c r="D120" s="12"/>
      <c r="E120" s="12" t="s">
        <v>318</v>
      </c>
      <c r="F120" s="13">
        <v>0.72222222222222221</v>
      </c>
      <c r="G120" s="12" t="s">
        <v>344</v>
      </c>
      <c r="H120" s="13">
        <v>0.74652777777777779</v>
      </c>
      <c r="I120" s="26"/>
      <c r="J120" s="15"/>
      <c r="K120" s="22">
        <v>4640</v>
      </c>
      <c r="L120" s="15" t="s">
        <v>310</v>
      </c>
      <c r="M120" s="15"/>
    </row>
    <row r="121" spans="1:13" hidden="1">
      <c r="A121" s="14">
        <v>129</v>
      </c>
      <c r="B121" s="42">
        <v>46060</v>
      </c>
      <c r="C121" s="12"/>
      <c r="D121" s="12"/>
      <c r="E121" s="12" t="s">
        <v>344</v>
      </c>
      <c r="F121" s="13">
        <v>0.76736111111111116</v>
      </c>
      <c r="G121" s="12" t="s">
        <v>318</v>
      </c>
      <c r="H121" s="13">
        <v>0.79513888888888884</v>
      </c>
      <c r="I121" s="26"/>
      <c r="J121" s="15"/>
      <c r="K121" s="22">
        <v>9260</v>
      </c>
      <c r="L121" s="15" t="s">
        <v>310</v>
      </c>
      <c r="M121" s="15"/>
    </row>
    <row r="122" spans="1:13" hidden="1">
      <c r="A122" s="14">
        <v>130</v>
      </c>
      <c r="B122" s="42">
        <v>46060</v>
      </c>
      <c r="C122" s="12" t="s">
        <v>317</v>
      </c>
      <c r="D122" s="12">
        <v>62</v>
      </c>
      <c r="E122" s="12" t="s">
        <v>318</v>
      </c>
      <c r="F122" s="13">
        <v>0.82291666666666663</v>
      </c>
      <c r="G122" s="12" t="s">
        <v>308</v>
      </c>
      <c r="H122" s="13">
        <v>0.89236111111111116</v>
      </c>
      <c r="I122" s="26"/>
      <c r="J122" s="15"/>
      <c r="K122" s="22">
        <v>10250</v>
      </c>
      <c r="L122" s="15" t="s">
        <v>310</v>
      </c>
      <c r="M122" s="15"/>
    </row>
    <row r="123" spans="1:13" hidden="1">
      <c r="A123" s="14">
        <v>131</v>
      </c>
      <c r="B123" s="42">
        <v>46061</v>
      </c>
      <c r="C123" s="12"/>
      <c r="D123" s="12"/>
      <c r="E123" s="12" t="s">
        <v>308</v>
      </c>
      <c r="F123" s="13">
        <v>0.30208333333333331</v>
      </c>
      <c r="G123" s="12" t="s">
        <v>318</v>
      </c>
      <c r="H123" s="13">
        <v>0.37847222222222221</v>
      </c>
      <c r="I123" s="26"/>
      <c r="J123" s="15"/>
      <c r="K123" s="22">
        <v>10250</v>
      </c>
      <c r="L123" s="15" t="s">
        <v>310</v>
      </c>
      <c r="M123" s="15"/>
    </row>
    <row r="124" spans="1:13" hidden="1">
      <c r="A124" s="14">
        <v>132</v>
      </c>
      <c r="B124" s="42">
        <v>46061</v>
      </c>
      <c r="C124" s="12" t="s">
        <v>322</v>
      </c>
      <c r="D124" s="12">
        <v>873</v>
      </c>
      <c r="E124" s="12" t="s">
        <v>318</v>
      </c>
      <c r="F124" s="13">
        <v>0.41319444444444442</v>
      </c>
      <c r="G124" s="12" t="s">
        <v>344</v>
      </c>
      <c r="H124" s="13">
        <v>0.43402777777777779</v>
      </c>
      <c r="I124" s="26"/>
      <c r="J124" s="15"/>
      <c r="K124" s="22">
        <v>4640</v>
      </c>
      <c r="L124" s="15" t="s">
        <v>310</v>
      </c>
      <c r="M124" s="15"/>
    </row>
    <row r="125" spans="1:13" hidden="1">
      <c r="A125" s="14">
        <v>133</v>
      </c>
      <c r="B125" s="42">
        <v>46061</v>
      </c>
      <c r="C125" s="12" t="s">
        <v>322</v>
      </c>
      <c r="D125" s="12">
        <v>874</v>
      </c>
      <c r="E125" s="12" t="s">
        <v>344</v>
      </c>
      <c r="F125" s="13">
        <v>0.4548611111111111</v>
      </c>
      <c r="G125" s="12" t="s">
        <v>318</v>
      </c>
      <c r="H125" s="13">
        <v>0.4826388888888889</v>
      </c>
      <c r="I125" s="26"/>
      <c r="J125" s="15"/>
      <c r="K125" s="22">
        <v>6620</v>
      </c>
      <c r="L125" s="15" t="s">
        <v>310</v>
      </c>
      <c r="M125" s="15"/>
    </row>
    <row r="126" spans="1:13" hidden="1">
      <c r="A126" s="14">
        <v>134</v>
      </c>
      <c r="B126" s="42">
        <v>46061</v>
      </c>
      <c r="C126" s="12" t="s">
        <v>317</v>
      </c>
      <c r="D126" s="12">
        <v>559</v>
      </c>
      <c r="E126" s="12" t="s">
        <v>318</v>
      </c>
      <c r="F126" s="13">
        <v>0.50694444444444442</v>
      </c>
      <c r="G126" s="12" t="s">
        <v>325</v>
      </c>
      <c r="H126" s="13">
        <v>0.54861111111111116</v>
      </c>
      <c r="I126" s="26"/>
      <c r="J126" s="15"/>
      <c r="K126" s="22">
        <v>5740</v>
      </c>
      <c r="L126" s="15" t="s">
        <v>310</v>
      </c>
      <c r="M126" s="15"/>
    </row>
    <row r="127" spans="1:13" hidden="1">
      <c r="A127" s="14">
        <v>135</v>
      </c>
      <c r="B127" s="42">
        <v>46061</v>
      </c>
      <c r="C127" s="12"/>
      <c r="D127" s="12"/>
      <c r="E127" s="12" t="s">
        <v>325</v>
      </c>
      <c r="F127" s="13">
        <v>0.57291666666666663</v>
      </c>
      <c r="G127" s="12" t="s">
        <v>318</v>
      </c>
      <c r="H127" s="13">
        <v>0.60763888888888884</v>
      </c>
      <c r="I127" s="26"/>
      <c r="J127" s="15"/>
      <c r="K127" s="22">
        <v>5740</v>
      </c>
      <c r="L127" s="15" t="s">
        <v>310</v>
      </c>
      <c r="M127" s="15"/>
    </row>
    <row r="128" spans="1:13" hidden="1">
      <c r="A128" s="14">
        <v>136</v>
      </c>
      <c r="B128" s="42">
        <v>46061</v>
      </c>
      <c r="C128" s="12"/>
      <c r="D128" s="12"/>
      <c r="E128" s="12" t="s">
        <v>318</v>
      </c>
      <c r="F128" s="13">
        <v>0.625</v>
      </c>
      <c r="G128" s="12" t="s">
        <v>321</v>
      </c>
      <c r="H128" s="13">
        <v>0.67013888888888884</v>
      </c>
      <c r="I128" s="26"/>
      <c r="J128" s="15"/>
      <c r="K128" s="22">
        <v>5740</v>
      </c>
      <c r="L128" s="15" t="s">
        <v>310</v>
      </c>
      <c r="M128" s="15"/>
    </row>
    <row r="129" spans="1:13" hidden="1">
      <c r="A129" s="14">
        <v>137</v>
      </c>
      <c r="B129" s="42">
        <v>46061</v>
      </c>
      <c r="C129" s="12"/>
      <c r="D129" s="12"/>
      <c r="E129" s="12" t="s">
        <v>321</v>
      </c>
      <c r="F129" s="13">
        <v>0.73958333333333337</v>
      </c>
      <c r="G129" s="12" t="s">
        <v>323</v>
      </c>
      <c r="H129" s="13">
        <v>0.76388888888888884</v>
      </c>
      <c r="I129" s="26"/>
      <c r="J129" s="15"/>
      <c r="K129" s="22">
        <v>6600</v>
      </c>
      <c r="L129" s="15" t="s">
        <v>310</v>
      </c>
      <c r="M129" s="15"/>
    </row>
    <row r="130" spans="1:13" hidden="1">
      <c r="A130" s="14">
        <v>138</v>
      </c>
      <c r="B130" s="42">
        <v>46061</v>
      </c>
      <c r="C130" s="12"/>
      <c r="D130" s="12"/>
      <c r="E130" s="12" t="s">
        <v>323</v>
      </c>
      <c r="F130" s="13">
        <v>0.78472222222222221</v>
      </c>
      <c r="G130" s="12" t="s">
        <v>318</v>
      </c>
      <c r="H130" s="13">
        <v>0.83680555555555558</v>
      </c>
      <c r="I130" s="26"/>
      <c r="J130" s="15"/>
      <c r="K130" s="22">
        <v>10140</v>
      </c>
      <c r="L130" s="15" t="s">
        <v>310</v>
      </c>
      <c r="M130" s="15"/>
    </row>
    <row r="131" spans="1:13" hidden="1">
      <c r="A131" s="14">
        <v>139</v>
      </c>
      <c r="B131" s="42">
        <v>46061</v>
      </c>
      <c r="C131" s="12"/>
      <c r="D131" s="12"/>
      <c r="E131" s="12" t="s">
        <v>318</v>
      </c>
      <c r="F131" s="13">
        <v>0.87152777777777779</v>
      </c>
      <c r="G131" s="12" t="s">
        <v>307</v>
      </c>
      <c r="H131" s="13">
        <v>0.96180555555555558</v>
      </c>
      <c r="I131" s="26"/>
      <c r="J131" s="15"/>
      <c r="K131" s="22">
        <v>10590</v>
      </c>
      <c r="L131" s="15" t="s">
        <v>310</v>
      </c>
      <c r="M131" s="15"/>
    </row>
    <row r="132" spans="1:13" hidden="1">
      <c r="A132" s="14">
        <v>140</v>
      </c>
      <c r="B132" s="42">
        <v>46063</v>
      </c>
      <c r="C132" s="12" t="s">
        <v>306</v>
      </c>
      <c r="D132" s="12">
        <v>331</v>
      </c>
      <c r="E132" s="12" t="s">
        <v>307</v>
      </c>
      <c r="F132" s="13">
        <v>0.77777777777777779</v>
      </c>
      <c r="G132" s="12" t="s">
        <v>308</v>
      </c>
      <c r="H132" s="13">
        <v>0.86111111111111116</v>
      </c>
      <c r="I132" s="26"/>
      <c r="J132" s="15"/>
      <c r="K132" s="22">
        <v>9360</v>
      </c>
      <c r="L132" s="15" t="s">
        <v>310</v>
      </c>
      <c r="M132" s="15"/>
    </row>
    <row r="133" spans="1:13" hidden="1">
      <c r="A133" s="14">
        <v>141</v>
      </c>
      <c r="B133" s="42">
        <v>46064</v>
      </c>
      <c r="C133" s="12" t="s">
        <v>317</v>
      </c>
      <c r="D133" s="12">
        <v>51</v>
      </c>
      <c r="E133" s="12" t="s">
        <v>308</v>
      </c>
      <c r="F133" s="13">
        <v>0.30208333333333331</v>
      </c>
      <c r="G133" s="12" t="s">
        <v>318</v>
      </c>
      <c r="H133" s="13">
        <v>0.37847222222222221</v>
      </c>
      <c r="I133" s="26"/>
      <c r="J133" s="15"/>
      <c r="K133" s="22">
        <v>10800</v>
      </c>
      <c r="L133" s="15" t="s">
        <v>310</v>
      </c>
      <c r="M133" s="15"/>
    </row>
    <row r="134" spans="1:13" hidden="1">
      <c r="A134" s="14">
        <v>142</v>
      </c>
      <c r="B134" s="42">
        <v>46064</v>
      </c>
      <c r="C134" s="12"/>
      <c r="D134" s="12"/>
      <c r="E134" s="12" t="s">
        <v>318</v>
      </c>
      <c r="F134" s="13">
        <v>0.41319444444444442</v>
      </c>
      <c r="G134" s="12" t="s">
        <v>321</v>
      </c>
      <c r="H134" s="13">
        <v>0.4548611111111111</v>
      </c>
      <c r="I134" s="26"/>
      <c r="J134" s="15"/>
      <c r="K134" s="22">
        <v>5740</v>
      </c>
      <c r="L134" s="15" t="s">
        <v>310</v>
      </c>
      <c r="M134" s="15"/>
    </row>
    <row r="135" spans="1:13" hidden="1">
      <c r="A135" s="14">
        <v>143</v>
      </c>
      <c r="B135" s="42">
        <v>46064</v>
      </c>
      <c r="C135" s="12"/>
      <c r="D135" s="12"/>
      <c r="E135" s="12" t="s">
        <v>321</v>
      </c>
      <c r="F135" s="13">
        <v>0.4826388888888889</v>
      </c>
      <c r="G135" s="12" t="s">
        <v>318</v>
      </c>
      <c r="H135" s="13">
        <v>0.52430555555555558</v>
      </c>
      <c r="I135" s="26"/>
      <c r="J135" s="15"/>
      <c r="K135" s="22">
        <v>5740</v>
      </c>
      <c r="L135" s="15" t="s">
        <v>310</v>
      </c>
      <c r="M135" s="15"/>
    </row>
    <row r="136" spans="1:13" hidden="1">
      <c r="A136" s="14">
        <v>144</v>
      </c>
      <c r="B136" s="42">
        <v>46064</v>
      </c>
      <c r="C136" s="12" t="s">
        <v>322</v>
      </c>
      <c r="D136" s="12">
        <v>727</v>
      </c>
      <c r="E136" s="12" t="s">
        <v>318</v>
      </c>
      <c r="F136" s="13">
        <v>0.61805555555555558</v>
      </c>
      <c r="G136" s="12" t="s">
        <v>323</v>
      </c>
      <c r="H136" s="13">
        <v>0.67708333333333337</v>
      </c>
      <c r="I136" s="26"/>
      <c r="J136" s="15"/>
      <c r="K136" s="22">
        <v>10140</v>
      </c>
      <c r="L136" s="15" t="s">
        <v>310</v>
      </c>
      <c r="M136" s="15"/>
    </row>
    <row r="137" spans="1:13" hidden="1">
      <c r="A137" s="14">
        <v>145</v>
      </c>
      <c r="B137" s="42">
        <v>46064</v>
      </c>
      <c r="C137" s="12"/>
      <c r="D137" s="12"/>
      <c r="E137" s="12" t="s">
        <v>323</v>
      </c>
      <c r="F137" s="13">
        <v>0.69791666666666663</v>
      </c>
      <c r="G137" s="12" t="s">
        <v>321</v>
      </c>
      <c r="H137" s="13">
        <v>0.71875</v>
      </c>
      <c r="I137" s="26"/>
      <c r="J137" s="15"/>
      <c r="K137" s="22">
        <v>7040</v>
      </c>
      <c r="L137" s="15" t="s">
        <v>310</v>
      </c>
      <c r="M137" s="15"/>
    </row>
    <row r="138" spans="1:13" hidden="1">
      <c r="A138" s="14">
        <v>146</v>
      </c>
      <c r="B138" s="42">
        <v>46064</v>
      </c>
      <c r="C138" s="12" t="s">
        <v>306</v>
      </c>
      <c r="D138" s="12">
        <v>974</v>
      </c>
      <c r="E138" s="12" t="s">
        <v>321</v>
      </c>
      <c r="F138" s="13">
        <v>0.80902777777777779</v>
      </c>
      <c r="G138" s="12" t="s">
        <v>307</v>
      </c>
      <c r="H138" s="13">
        <v>0.91666666666666663</v>
      </c>
      <c r="I138" s="26"/>
      <c r="J138" s="15"/>
      <c r="K138" s="22">
        <v>10900</v>
      </c>
      <c r="L138" s="15" t="s">
        <v>310</v>
      </c>
      <c r="M138" s="15"/>
    </row>
    <row r="139" spans="1:13" hidden="1">
      <c r="A139" s="14">
        <v>147</v>
      </c>
      <c r="B139" s="42">
        <v>46074</v>
      </c>
      <c r="C139" s="12" t="s">
        <v>306</v>
      </c>
      <c r="D139" s="12">
        <v>325</v>
      </c>
      <c r="E139" s="12" t="s">
        <v>307</v>
      </c>
      <c r="F139" s="13">
        <v>0.65972222222222221</v>
      </c>
      <c r="G139" s="12" t="s">
        <v>308</v>
      </c>
      <c r="H139" s="13">
        <v>0.74652777777777779</v>
      </c>
      <c r="I139" s="26"/>
      <c r="J139" s="15"/>
      <c r="K139" s="22">
        <f>10460+18600-10010</f>
        <v>19050</v>
      </c>
      <c r="L139" s="15" t="s">
        <v>310</v>
      </c>
      <c r="M139" s="15" t="s">
        <v>357</v>
      </c>
    </row>
    <row r="140" spans="1:13" hidden="1">
      <c r="A140" s="14">
        <v>148</v>
      </c>
      <c r="B140" s="42">
        <v>46074</v>
      </c>
      <c r="C140" s="12" t="s">
        <v>306</v>
      </c>
      <c r="D140" s="12">
        <v>3639</v>
      </c>
      <c r="E140" s="12" t="s">
        <v>308</v>
      </c>
      <c r="F140" s="13">
        <v>0.80208333333333337</v>
      </c>
      <c r="G140" s="12" t="s">
        <v>315</v>
      </c>
      <c r="H140" s="13">
        <v>0.83333333333333337</v>
      </c>
      <c r="I140" s="26"/>
      <c r="J140" s="15"/>
      <c r="K140" s="22">
        <v>11020</v>
      </c>
      <c r="L140" s="15" t="s">
        <v>310</v>
      </c>
      <c r="M140" s="15"/>
    </row>
    <row r="141" spans="1:13" hidden="1">
      <c r="A141" s="14">
        <v>149</v>
      </c>
      <c r="B141" s="42">
        <v>46074</v>
      </c>
      <c r="C141" s="12" t="s">
        <v>306</v>
      </c>
      <c r="D141" s="12">
        <v>3642</v>
      </c>
      <c r="E141" s="12" t="s">
        <v>315</v>
      </c>
      <c r="F141" s="13">
        <v>0.85763888888888884</v>
      </c>
      <c r="G141" s="12" t="s">
        <v>308</v>
      </c>
      <c r="H141" s="13">
        <v>0.89583333333333337</v>
      </c>
      <c r="I141" s="26"/>
      <c r="J141" s="15"/>
      <c r="K141" s="22">
        <v>0</v>
      </c>
      <c r="L141" s="15" t="s">
        <v>310</v>
      </c>
      <c r="M141" s="15"/>
    </row>
    <row r="142" spans="1:13" hidden="1">
      <c r="A142" s="14">
        <v>150</v>
      </c>
      <c r="B142" s="42">
        <v>46075</v>
      </c>
      <c r="C142" s="12" t="s">
        <v>317</v>
      </c>
      <c r="D142" s="12">
        <v>51</v>
      </c>
      <c r="E142" s="12" t="s">
        <v>308</v>
      </c>
      <c r="F142" s="13">
        <v>0.30208333333333331</v>
      </c>
      <c r="G142" s="12" t="s">
        <v>318</v>
      </c>
      <c r="H142" s="13">
        <v>0.37847222222222221</v>
      </c>
      <c r="I142" s="26"/>
      <c r="J142" s="15"/>
      <c r="K142" s="22">
        <v>12670</v>
      </c>
      <c r="L142" s="15" t="s">
        <v>310</v>
      </c>
      <c r="M142" s="15"/>
    </row>
    <row r="143" spans="1:13" hidden="1">
      <c r="A143" s="14">
        <v>151</v>
      </c>
      <c r="B143" s="42">
        <v>46075</v>
      </c>
      <c r="C143" s="12"/>
      <c r="D143" s="12"/>
      <c r="E143" s="12" t="s">
        <v>318</v>
      </c>
      <c r="F143" s="13">
        <v>0.44791666666666669</v>
      </c>
      <c r="G143" s="12" t="s">
        <v>321</v>
      </c>
      <c r="H143" s="13">
        <v>0.49305555555555558</v>
      </c>
      <c r="I143" s="26"/>
      <c r="J143" s="15"/>
      <c r="K143" s="22">
        <v>5740</v>
      </c>
      <c r="L143" s="15" t="s">
        <v>310</v>
      </c>
      <c r="M143" s="15"/>
    </row>
    <row r="144" spans="1:13" hidden="1">
      <c r="A144" s="14">
        <v>152</v>
      </c>
      <c r="B144" s="42">
        <v>46075</v>
      </c>
      <c r="C144" s="12"/>
      <c r="D144" s="12"/>
      <c r="E144" s="12" t="s">
        <v>321</v>
      </c>
      <c r="F144" s="13">
        <v>0.52083333333333337</v>
      </c>
      <c r="G144" s="12" t="s">
        <v>318</v>
      </c>
      <c r="H144" s="13">
        <v>0.5625</v>
      </c>
      <c r="I144" s="26"/>
      <c r="J144" s="15"/>
      <c r="K144" s="22">
        <v>5740</v>
      </c>
      <c r="L144" s="15" t="s">
        <v>310</v>
      </c>
      <c r="M144" s="15"/>
    </row>
    <row r="145" spans="1:13" hidden="1">
      <c r="A145" s="14">
        <v>153</v>
      </c>
      <c r="B145" s="42">
        <v>46075</v>
      </c>
      <c r="C145" s="12" t="s">
        <v>317</v>
      </c>
      <c r="D145" s="12">
        <v>563</v>
      </c>
      <c r="E145" s="12" t="s">
        <v>318</v>
      </c>
      <c r="F145" s="13">
        <v>0.60069444444444442</v>
      </c>
      <c r="G145" s="12" t="s">
        <v>325</v>
      </c>
      <c r="H145" s="13">
        <v>0.64236111111111116</v>
      </c>
      <c r="I145" s="26"/>
      <c r="J145" s="15"/>
      <c r="K145" s="22">
        <v>5740</v>
      </c>
      <c r="L145" s="15" t="s">
        <v>310</v>
      </c>
      <c r="M145" s="15"/>
    </row>
    <row r="146" spans="1:13" hidden="1">
      <c r="A146" s="14">
        <v>154</v>
      </c>
      <c r="B146" s="42">
        <v>46075</v>
      </c>
      <c r="C146" s="12" t="s">
        <v>322</v>
      </c>
      <c r="D146" s="12">
        <v>897</v>
      </c>
      <c r="E146" s="12" t="s">
        <v>325</v>
      </c>
      <c r="F146" s="13">
        <v>0.65972222222222221</v>
      </c>
      <c r="G146" s="12" t="s">
        <v>326</v>
      </c>
      <c r="H146" s="13">
        <v>0.67708333333333337</v>
      </c>
      <c r="I146" s="26"/>
      <c r="J146" s="15"/>
      <c r="K146" s="22">
        <v>9350</v>
      </c>
      <c r="L146" s="15" t="s">
        <v>310</v>
      </c>
      <c r="M146" s="15"/>
    </row>
    <row r="147" spans="1:13" hidden="1">
      <c r="A147" s="14">
        <v>155</v>
      </c>
      <c r="B147" s="42">
        <v>46075</v>
      </c>
      <c r="C147" s="12" t="s">
        <v>322</v>
      </c>
      <c r="D147" s="12">
        <v>898</v>
      </c>
      <c r="E147" s="12" t="s">
        <v>326</v>
      </c>
      <c r="F147" s="13">
        <v>0.70138888888888884</v>
      </c>
      <c r="G147" s="12" t="s">
        <v>325</v>
      </c>
      <c r="H147" s="13">
        <v>0.71875</v>
      </c>
      <c r="I147" s="26"/>
      <c r="J147" s="15"/>
      <c r="K147" s="22">
        <v>5500</v>
      </c>
      <c r="L147" s="15" t="s">
        <v>310</v>
      </c>
      <c r="M147" s="15"/>
    </row>
    <row r="148" spans="1:13" hidden="1">
      <c r="A148" s="14">
        <v>156</v>
      </c>
      <c r="B148" s="42">
        <v>46075</v>
      </c>
      <c r="C148" s="12" t="s">
        <v>322</v>
      </c>
      <c r="D148" s="12">
        <v>839</v>
      </c>
      <c r="E148" s="12" t="s">
        <v>325</v>
      </c>
      <c r="F148" s="13">
        <v>0.73958333333333337</v>
      </c>
      <c r="G148" s="12" t="s">
        <v>321</v>
      </c>
      <c r="H148" s="13">
        <v>0.76041666666666663</v>
      </c>
      <c r="I148" s="26"/>
      <c r="J148" s="15"/>
      <c r="K148" s="22">
        <v>14520</v>
      </c>
      <c r="L148" s="15" t="s">
        <v>310</v>
      </c>
      <c r="M148" s="15"/>
    </row>
    <row r="149" spans="1:13" hidden="1">
      <c r="A149" s="14">
        <v>157</v>
      </c>
      <c r="B149" s="42">
        <v>46075</v>
      </c>
      <c r="C149" s="12" t="s">
        <v>306</v>
      </c>
      <c r="D149" s="12">
        <v>974</v>
      </c>
      <c r="E149" s="12" t="s">
        <v>321</v>
      </c>
      <c r="F149" s="13">
        <v>0.80902777777777779</v>
      </c>
      <c r="G149" s="12" t="s">
        <v>307</v>
      </c>
      <c r="H149" s="13">
        <v>0.91666666666666663</v>
      </c>
      <c r="I149" s="26"/>
      <c r="J149" s="15"/>
      <c r="K149" s="22">
        <v>10900</v>
      </c>
      <c r="L149" s="15" t="s">
        <v>310</v>
      </c>
      <c r="M149" s="15"/>
    </row>
    <row r="150" spans="1:13" hidden="1">
      <c r="A150" s="14">
        <v>158</v>
      </c>
      <c r="B150" s="42">
        <v>46078</v>
      </c>
      <c r="C150" s="12" t="s">
        <v>306</v>
      </c>
      <c r="D150" s="12">
        <v>303</v>
      </c>
      <c r="E150" s="12" t="s">
        <v>307</v>
      </c>
      <c r="F150" s="13">
        <v>0.2673611111111111</v>
      </c>
      <c r="G150" s="12" t="s">
        <v>308</v>
      </c>
      <c r="H150" s="13">
        <v>0.35416666666666669</v>
      </c>
      <c r="I150" s="26"/>
      <c r="J150" s="15"/>
      <c r="K150" s="22">
        <v>9360</v>
      </c>
      <c r="L150" s="15" t="s">
        <v>310</v>
      </c>
      <c r="M150" s="15"/>
    </row>
    <row r="151" spans="1:13" hidden="1">
      <c r="A151" s="14">
        <v>159</v>
      </c>
      <c r="B151" s="42">
        <v>46078</v>
      </c>
      <c r="C151" s="12" t="s">
        <v>306</v>
      </c>
      <c r="D151" s="12">
        <v>3581</v>
      </c>
      <c r="E151" s="12" t="s">
        <v>308</v>
      </c>
      <c r="F151" s="13">
        <v>0.37847222222222221</v>
      </c>
      <c r="G151" s="12" t="s">
        <v>338</v>
      </c>
      <c r="H151" s="13">
        <v>0.41319444444444442</v>
      </c>
      <c r="I151" s="26"/>
      <c r="J151" s="15"/>
      <c r="K151" s="22">
        <v>8910</v>
      </c>
      <c r="L151" s="15" t="s">
        <v>310</v>
      </c>
      <c r="M151" s="15"/>
    </row>
    <row r="152" spans="1:13" hidden="1">
      <c r="A152" s="14">
        <v>160</v>
      </c>
      <c r="B152" s="42">
        <v>46078</v>
      </c>
      <c r="C152" s="12" t="s">
        <v>306</v>
      </c>
      <c r="D152" s="12">
        <v>3582</v>
      </c>
      <c r="E152" s="12" t="s">
        <v>338</v>
      </c>
      <c r="F152" s="13">
        <v>0.43402777777777779</v>
      </c>
      <c r="G152" s="12" t="s">
        <v>308</v>
      </c>
      <c r="H152" s="13">
        <v>0.47916666666666669</v>
      </c>
      <c r="I152" s="26"/>
      <c r="J152" s="15"/>
      <c r="K152" s="22">
        <v>8910</v>
      </c>
      <c r="L152" s="15" t="s">
        <v>310</v>
      </c>
      <c r="M152" s="15"/>
    </row>
    <row r="153" spans="1:13" hidden="1">
      <c r="A153" s="14">
        <v>161</v>
      </c>
      <c r="B153" s="42">
        <v>46078</v>
      </c>
      <c r="C153" s="12" t="s">
        <v>317</v>
      </c>
      <c r="D153" s="12">
        <v>57</v>
      </c>
      <c r="E153" s="12" t="s">
        <v>308</v>
      </c>
      <c r="F153" s="13">
        <v>0.54166666666666663</v>
      </c>
      <c r="G153" s="12" t="s">
        <v>318</v>
      </c>
      <c r="H153" s="13">
        <v>0.625</v>
      </c>
      <c r="I153" s="26"/>
      <c r="J153" s="15"/>
      <c r="K153" s="22">
        <v>9150</v>
      </c>
      <c r="L153" s="15" t="s">
        <v>310</v>
      </c>
      <c r="M153" s="15"/>
    </row>
    <row r="154" spans="1:13" hidden="1">
      <c r="A154" s="14">
        <v>162</v>
      </c>
      <c r="B154" s="42">
        <v>46078</v>
      </c>
      <c r="C154" s="12" t="s">
        <v>317</v>
      </c>
      <c r="D154" s="12">
        <v>565</v>
      </c>
      <c r="E154" s="12" t="s">
        <v>318</v>
      </c>
      <c r="F154" s="13">
        <v>0.65277777777777779</v>
      </c>
      <c r="G154" s="12" t="s">
        <v>325</v>
      </c>
      <c r="H154" s="13">
        <v>0.69097222222222221</v>
      </c>
      <c r="I154" s="26"/>
      <c r="J154" s="15"/>
      <c r="K154" s="22">
        <v>4640</v>
      </c>
      <c r="L154" s="15" t="s">
        <v>310</v>
      </c>
      <c r="M154" s="15"/>
    </row>
    <row r="155" spans="1:13" hidden="1">
      <c r="A155" s="14">
        <v>163</v>
      </c>
      <c r="B155" s="42">
        <v>46078</v>
      </c>
      <c r="C155" s="12" t="s">
        <v>317</v>
      </c>
      <c r="D155" s="12">
        <v>564</v>
      </c>
      <c r="E155" s="12" t="s">
        <v>325</v>
      </c>
      <c r="F155" s="13">
        <v>0.71875</v>
      </c>
      <c r="G155" s="12" t="s">
        <v>318</v>
      </c>
      <c r="H155" s="13">
        <v>0.75347222222222221</v>
      </c>
      <c r="I155" s="26"/>
      <c r="J155" s="15"/>
      <c r="K155" s="22">
        <v>4640</v>
      </c>
      <c r="L155" s="15" t="s">
        <v>310</v>
      </c>
      <c r="M155" s="15"/>
    </row>
    <row r="156" spans="1:13" hidden="1">
      <c r="A156" s="14">
        <v>164</v>
      </c>
      <c r="B156" s="42">
        <v>46078</v>
      </c>
      <c r="C156" s="12" t="s">
        <v>306</v>
      </c>
      <c r="D156" s="12">
        <v>920</v>
      </c>
      <c r="E156" s="12" t="s">
        <v>318</v>
      </c>
      <c r="F156" s="13">
        <v>0.82986111111111116</v>
      </c>
      <c r="G156" s="12" t="s">
        <v>307</v>
      </c>
      <c r="H156" s="13">
        <v>0.92013888888888884</v>
      </c>
      <c r="I156" s="26"/>
      <c r="J156" s="15"/>
      <c r="K156" s="22">
        <v>10590</v>
      </c>
      <c r="L156" s="15" t="s">
        <v>310</v>
      </c>
      <c r="M156" s="15"/>
    </row>
    <row r="157" spans="1:13" hidden="1">
      <c r="A157" s="14">
        <v>165</v>
      </c>
      <c r="B157" s="42">
        <v>46012</v>
      </c>
      <c r="C157" s="12" t="s">
        <v>306</v>
      </c>
      <c r="D157" s="12"/>
      <c r="E157" s="12" t="s">
        <v>307</v>
      </c>
      <c r="F157" s="13"/>
      <c r="G157" s="12" t="s">
        <v>308</v>
      </c>
      <c r="H157" s="13"/>
      <c r="I157" s="26"/>
      <c r="J157" s="15"/>
      <c r="K157" s="22">
        <v>0</v>
      </c>
      <c r="L157" s="15" t="s">
        <v>310</v>
      </c>
      <c r="M157" s="15"/>
    </row>
    <row r="158" spans="1:13" hidden="1">
      <c r="A158" s="14">
        <v>166</v>
      </c>
      <c r="B158" s="42">
        <v>46013</v>
      </c>
      <c r="C158" s="12" t="s">
        <v>306</v>
      </c>
      <c r="D158" s="12"/>
      <c r="E158" s="12" t="s">
        <v>308</v>
      </c>
      <c r="F158" s="13"/>
      <c r="G158" s="12" t="s">
        <v>307</v>
      </c>
      <c r="H158" s="13"/>
      <c r="I158" s="26"/>
      <c r="J158" s="15"/>
      <c r="K158" s="22">
        <v>0</v>
      </c>
      <c r="L158" s="15" t="s">
        <v>310</v>
      </c>
      <c r="M158" s="15"/>
    </row>
    <row r="159" spans="1:13" hidden="1">
      <c r="A159" s="14">
        <v>167</v>
      </c>
      <c r="B159" s="42">
        <v>46009</v>
      </c>
      <c r="C159" s="12" t="s">
        <v>306</v>
      </c>
      <c r="D159" s="12"/>
      <c r="E159" s="12" t="s">
        <v>307</v>
      </c>
      <c r="F159" s="13"/>
      <c r="G159" s="12" t="s">
        <v>318</v>
      </c>
      <c r="H159" s="13"/>
      <c r="I159" s="26"/>
      <c r="J159" s="15"/>
      <c r="K159" s="22">
        <v>0</v>
      </c>
      <c r="L159" s="15" t="s">
        <v>310</v>
      </c>
      <c r="M159" s="15"/>
    </row>
    <row r="160" spans="1:13" hidden="1">
      <c r="A160" s="14">
        <v>168</v>
      </c>
      <c r="B160" s="42">
        <v>46010</v>
      </c>
      <c r="C160" s="12" t="s">
        <v>306</v>
      </c>
      <c r="D160" s="12"/>
      <c r="E160" s="12" t="s">
        <v>318</v>
      </c>
      <c r="F160" s="13"/>
      <c r="G160" s="12" t="s">
        <v>307</v>
      </c>
      <c r="H160" s="13"/>
      <c r="I160" s="26"/>
      <c r="J160" s="15"/>
      <c r="K160" s="22">
        <v>0</v>
      </c>
      <c r="L160" s="15" t="s">
        <v>310</v>
      </c>
      <c r="M160" s="15"/>
    </row>
    <row r="161" spans="1:13" hidden="1">
      <c r="A161" s="14">
        <v>169</v>
      </c>
      <c r="B161" s="42">
        <v>46037</v>
      </c>
      <c r="C161" s="12" t="s">
        <v>306</v>
      </c>
      <c r="D161" s="12"/>
      <c r="E161" s="12" t="s">
        <v>307</v>
      </c>
      <c r="F161" s="13"/>
      <c r="G161" s="12" t="s">
        <v>340</v>
      </c>
      <c r="H161" s="13"/>
      <c r="I161" s="26"/>
      <c r="J161" s="15"/>
      <c r="K161" s="22">
        <v>0</v>
      </c>
      <c r="L161" s="15" t="s">
        <v>310</v>
      </c>
      <c r="M161" s="15"/>
    </row>
    <row r="162" spans="1:13" hidden="1">
      <c r="A162" s="14">
        <v>170</v>
      </c>
      <c r="B162" s="42">
        <v>46037</v>
      </c>
      <c r="C162" s="12" t="s">
        <v>306</v>
      </c>
      <c r="D162" s="12"/>
      <c r="E162" s="12" t="s">
        <v>358</v>
      </c>
      <c r="F162" s="13"/>
      <c r="G162" s="12" t="s">
        <v>307</v>
      </c>
      <c r="H162" s="13"/>
      <c r="I162" s="26"/>
      <c r="J162" s="15"/>
      <c r="K162" s="22">
        <v>0</v>
      </c>
      <c r="L162" s="15" t="s">
        <v>310</v>
      </c>
      <c r="M162" s="15"/>
    </row>
    <row r="163" spans="1:13" hidden="1">
      <c r="A163" s="14">
        <v>171</v>
      </c>
      <c r="B163" s="42">
        <v>46028</v>
      </c>
      <c r="C163" s="12" t="s">
        <v>306</v>
      </c>
      <c r="D163" s="12"/>
      <c r="E163" s="12" t="s">
        <v>307</v>
      </c>
      <c r="F163" s="13"/>
      <c r="G163" s="12" t="s">
        <v>359</v>
      </c>
      <c r="H163" s="13"/>
      <c r="I163" s="26"/>
      <c r="J163" s="15"/>
      <c r="K163" s="22">
        <v>0</v>
      </c>
      <c r="L163" s="15" t="s">
        <v>310</v>
      </c>
      <c r="M163" s="15"/>
    </row>
    <row r="164" spans="1:13" hidden="1">
      <c r="A164" s="14">
        <v>172</v>
      </c>
      <c r="B164" s="42">
        <v>46030</v>
      </c>
      <c r="C164" s="12" t="s">
        <v>306</v>
      </c>
      <c r="D164" s="12"/>
      <c r="E164" s="12" t="s">
        <v>359</v>
      </c>
      <c r="F164" s="13"/>
      <c r="G164" s="12" t="s">
        <v>307</v>
      </c>
      <c r="H164" s="13"/>
      <c r="I164" s="26"/>
      <c r="J164" s="15"/>
      <c r="K164" s="22">
        <v>0</v>
      </c>
      <c r="L164" s="15" t="s">
        <v>310</v>
      </c>
      <c r="M164" s="15"/>
    </row>
    <row r="165" spans="1:13" hidden="1">
      <c r="A165" s="14">
        <v>173</v>
      </c>
      <c r="B165" s="42">
        <v>46091</v>
      </c>
      <c r="C165" s="12" t="s">
        <v>306</v>
      </c>
      <c r="D165" s="12" t="s">
        <v>360</v>
      </c>
      <c r="E165" s="12" t="s">
        <v>307</v>
      </c>
      <c r="F165" s="13">
        <v>0.2638888888888889</v>
      </c>
      <c r="G165" s="12" t="s">
        <v>318</v>
      </c>
      <c r="H165" s="13">
        <v>0.38194444444444442</v>
      </c>
      <c r="I165" s="26"/>
      <c r="J165" s="15"/>
      <c r="K165" s="22">
        <v>10590</v>
      </c>
      <c r="L165" s="15" t="s">
        <v>310</v>
      </c>
      <c r="M165" s="15"/>
    </row>
    <row r="166" spans="1:13" hidden="1">
      <c r="A166" s="14">
        <v>174</v>
      </c>
      <c r="B166" s="42">
        <v>46091</v>
      </c>
      <c r="C166" s="12" t="s">
        <v>317</v>
      </c>
      <c r="D166" s="12" t="s">
        <v>361</v>
      </c>
      <c r="E166" s="12" t="s">
        <v>318</v>
      </c>
      <c r="F166" s="13">
        <v>0.40625</v>
      </c>
      <c r="G166" s="12" t="s">
        <v>321</v>
      </c>
      <c r="H166" s="13">
        <v>0.44791666666666669</v>
      </c>
      <c r="I166" s="26"/>
      <c r="J166" s="15"/>
      <c r="K166" s="22">
        <v>4640</v>
      </c>
      <c r="L166" s="15" t="s">
        <v>310</v>
      </c>
      <c r="M166" s="15"/>
    </row>
    <row r="167" spans="1:13" hidden="1">
      <c r="A167" s="14">
        <v>175</v>
      </c>
      <c r="B167" s="42">
        <v>46091</v>
      </c>
      <c r="C167" s="12" t="s">
        <v>322</v>
      </c>
      <c r="D167" s="12" t="s">
        <v>362</v>
      </c>
      <c r="E167" s="12" t="s">
        <v>321</v>
      </c>
      <c r="F167" s="13">
        <v>0.52430555555555558</v>
      </c>
      <c r="G167" s="12" t="s">
        <v>323</v>
      </c>
      <c r="H167" s="13">
        <v>0.54513888888888884</v>
      </c>
      <c r="I167" s="26"/>
      <c r="J167" s="15"/>
      <c r="K167" s="22">
        <v>7150</v>
      </c>
      <c r="L167" s="15" t="s">
        <v>310</v>
      </c>
      <c r="M167" s="15"/>
    </row>
    <row r="168" spans="1:13" hidden="1">
      <c r="A168" s="14">
        <v>176</v>
      </c>
      <c r="B168" s="42">
        <v>46091</v>
      </c>
      <c r="C168" s="12" t="s">
        <v>322</v>
      </c>
      <c r="D168" s="12" t="s">
        <v>363</v>
      </c>
      <c r="E168" s="12" t="s">
        <v>323</v>
      </c>
      <c r="F168" s="13">
        <v>0.56597222222222221</v>
      </c>
      <c r="G168" s="12" t="s">
        <v>321</v>
      </c>
      <c r="H168" s="13">
        <v>0.58680555555555558</v>
      </c>
      <c r="I168" s="26"/>
      <c r="J168" s="15"/>
      <c r="K168" s="22">
        <v>7150</v>
      </c>
      <c r="L168" s="15" t="s">
        <v>310</v>
      </c>
      <c r="M168" s="15"/>
    </row>
    <row r="169" spans="1:13" hidden="1">
      <c r="A169" s="14">
        <v>177</v>
      </c>
      <c r="B169" s="42">
        <v>46091</v>
      </c>
      <c r="C169" s="12" t="s">
        <v>322</v>
      </c>
      <c r="D169" s="12" t="s">
        <v>364</v>
      </c>
      <c r="E169" s="12" t="s">
        <v>321</v>
      </c>
      <c r="F169" s="13">
        <v>0.61111111111111116</v>
      </c>
      <c r="G169" s="12" t="s">
        <v>325</v>
      </c>
      <c r="H169" s="13">
        <v>0.63541666666666663</v>
      </c>
      <c r="I169" s="26"/>
      <c r="J169" s="15"/>
      <c r="K169" s="22">
        <v>15510</v>
      </c>
      <c r="L169" s="15" t="s">
        <v>310</v>
      </c>
      <c r="M169" s="15"/>
    </row>
    <row r="170" spans="1:13" hidden="1">
      <c r="A170" s="14">
        <v>178</v>
      </c>
      <c r="B170" s="42">
        <v>46091</v>
      </c>
      <c r="C170" s="12" t="s">
        <v>322</v>
      </c>
      <c r="D170" s="12" t="s">
        <v>365</v>
      </c>
      <c r="E170" s="12" t="s">
        <v>325</v>
      </c>
      <c r="F170" s="13">
        <v>0.65625</v>
      </c>
      <c r="G170" s="12" t="s">
        <v>326</v>
      </c>
      <c r="H170" s="13">
        <v>0.67361111111111116</v>
      </c>
      <c r="I170" s="26"/>
      <c r="J170" s="15"/>
      <c r="K170" s="22">
        <v>6600</v>
      </c>
      <c r="L170" s="15" t="s">
        <v>310</v>
      </c>
      <c r="M170" s="15"/>
    </row>
    <row r="171" spans="1:13" hidden="1">
      <c r="A171" s="14">
        <v>179</v>
      </c>
      <c r="B171" s="42">
        <v>46091</v>
      </c>
      <c r="C171" s="12" t="s">
        <v>322</v>
      </c>
      <c r="D171" s="12" t="s">
        <v>366</v>
      </c>
      <c r="E171" s="12" t="s">
        <v>326</v>
      </c>
      <c r="F171" s="13">
        <v>0.69791666666666663</v>
      </c>
      <c r="G171" s="12" t="s">
        <v>325</v>
      </c>
      <c r="H171" s="13">
        <v>0.71527777777777779</v>
      </c>
      <c r="I171" s="26"/>
      <c r="J171" s="15"/>
      <c r="K171" s="22">
        <v>6600</v>
      </c>
      <c r="L171" s="15" t="s">
        <v>310</v>
      </c>
      <c r="M171" s="15"/>
    </row>
    <row r="172" spans="1:13" hidden="1">
      <c r="A172" s="14">
        <v>180</v>
      </c>
      <c r="B172" s="42">
        <v>46091</v>
      </c>
      <c r="C172" s="12" t="s">
        <v>322</v>
      </c>
      <c r="D172" s="12" t="s">
        <v>367</v>
      </c>
      <c r="E172" s="12" t="s">
        <v>325</v>
      </c>
      <c r="F172" s="13">
        <v>0.73611111111111116</v>
      </c>
      <c r="G172" s="12" t="s">
        <v>321</v>
      </c>
      <c r="H172" s="13">
        <v>0.75694444444444442</v>
      </c>
      <c r="I172" s="26"/>
      <c r="J172" s="15"/>
      <c r="K172" s="22">
        <v>6600</v>
      </c>
      <c r="L172" s="15" t="s">
        <v>310</v>
      </c>
      <c r="M172" s="15"/>
    </row>
    <row r="173" spans="1:13" hidden="1">
      <c r="A173" s="14">
        <v>181</v>
      </c>
      <c r="B173" s="42">
        <v>46091</v>
      </c>
      <c r="C173" s="12" t="s">
        <v>317</v>
      </c>
      <c r="D173" s="12" t="s">
        <v>368</v>
      </c>
      <c r="E173" s="12" t="s">
        <v>321</v>
      </c>
      <c r="F173" s="13">
        <v>0.78472222222222221</v>
      </c>
      <c r="G173" s="12" t="s">
        <v>318</v>
      </c>
      <c r="H173" s="13">
        <v>0.82638888888888884</v>
      </c>
      <c r="I173" s="26"/>
      <c r="J173" s="15"/>
      <c r="K173" s="22">
        <v>4640</v>
      </c>
      <c r="L173" s="15" t="s">
        <v>310</v>
      </c>
      <c r="M173" s="15"/>
    </row>
    <row r="174" spans="1:13" hidden="1">
      <c r="A174" s="14">
        <v>182</v>
      </c>
      <c r="B174" s="42">
        <v>46091</v>
      </c>
      <c r="C174" s="12" t="s">
        <v>306</v>
      </c>
      <c r="D174" s="12" t="s">
        <v>369</v>
      </c>
      <c r="E174" s="12" t="s">
        <v>318</v>
      </c>
      <c r="F174" s="13">
        <v>0.86805555555555558</v>
      </c>
      <c r="G174" s="12" t="s">
        <v>307</v>
      </c>
      <c r="H174" s="13">
        <v>0.96180555555555558</v>
      </c>
      <c r="I174" s="26"/>
      <c r="J174" s="15"/>
      <c r="K174" s="22">
        <v>10590</v>
      </c>
      <c r="L174" s="15" t="s">
        <v>310</v>
      </c>
      <c r="M174" s="15"/>
    </row>
    <row r="175" spans="1:13" hidden="1">
      <c r="A175" s="14">
        <v>183</v>
      </c>
      <c r="B175" s="42">
        <v>46049</v>
      </c>
      <c r="C175" s="12" t="s">
        <v>306</v>
      </c>
      <c r="D175" s="12"/>
      <c r="E175" s="12" t="s">
        <v>307</v>
      </c>
      <c r="F175" s="13">
        <v>0.40277777777777779</v>
      </c>
      <c r="G175" s="12" t="s">
        <v>318</v>
      </c>
      <c r="H175" s="13">
        <v>0.52777777777777779</v>
      </c>
      <c r="I175" s="26"/>
      <c r="J175" s="15"/>
      <c r="K175" s="22">
        <v>0</v>
      </c>
      <c r="L175" s="15" t="s">
        <v>310</v>
      </c>
      <c r="M175" s="15"/>
    </row>
    <row r="176" spans="1:13" hidden="1">
      <c r="A176" s="14">
        <v>184</v>
      </c>
      <c r="B176" s="42">
        <v>46050</v>
      </c>
      <c r="C176" s="12" t="s">
        <v>306</v>
      </c>
      <c r="D176" s="12"/>
      <c r="E176" s="12" t="s">
        <v>318</v>
      </c>
      <c r="F176" s="13">
        <v>0.47569444444444442</v>
      </c>
      <c r="G176" s="12" t="s">
        <v>307</v>
      </c>
      <c r="H176" s="13">
        <v>0.56597222222222221</v>
      </c>
      <c r="I176" s="26"/>
      <c r="J176" s="15"/>
      <c r="K176" s="22">
        <v>0</v>
      </c>
      <c r="L176" s="15" t="s">
        <v>310</v>
      </c>
      <c r="M176" s="15"/>
    </row>
    <row r="177" spans="1:13" hidden="1">
      <c r="A177" s="14">
        <v>185</v>
      </c>
      <c r="B177" s="42">
        <v>46055</v>
      </c>
      <c r="C177" s="12" t="s">
        <v>306</v>
      </c>
      <c r="D177" s="12"/>
      <c r="E177" s="12" t="s">
        <v>307</v>
      </c>
      <c r="F177" s="13">
        <v>0.49652777777777779</v>
      </c>
      <c r="G177" s="12" t="s">
        <v>318</v>
      </c>
      <c r="H177" s="13">
        <v>0.61805555555555558</v>
      </c>
      <c r="I177" s="26"/>
      <c r="J177" s="15"/>
      <c r="K177" s="22">
        <v>0</v>
      </c>
      <c r="L177" s="15" t="s">
        <v>310</v>
      </c>
      <c r="M177" s="15"/>
    </row>
    <row r="178" spans="1:13" hidden="1">
      <c r="A178" s="14">
        <v>186</v>
      </c>
      <c r="B178" s="42">
        <v>46057</v>
      </c>
      <c r="C178" s="12" t="s">
        <v>306</v>
      </c>
      <c r="D178" s="12"/>
      <c r="E178" s="12" t="s">
        <v>318</v>
      </c>
      <c r="F178" s="13">
        <v>0.47569444444444442</v>
      </c>
      <c r="G178" s="12" t="s">
        <v>307</v>
      </c>
      <c r="H178" s="13">
        <v>0.56597222222222221</v>
      </c>
      <c r="I178" s="26"/>
      <c r="J178" s="15"/>
      <c r="K178" s="22">
        <v>0</v>
      </c>
      <c r="L178" s="15" t="s">
        <v>310</v>
      </c>
      <c r="M178" s="15"/>
    </row>
    <row r="179" spans="1:13" hidden="1">
      <c r="A179" s="14">
        <v>187</v>
      </c>
      <c r="B179" s="42">
        <v>46062</v>
      </c>
      <c r="C179" s="12" t="s">
        <v>306</v>
      </c>
      <c r="D179" s="12"/>
      <c r="E179" s="12" t="s">
        <v>307</v>
      </c>
      <c r="F179" s="13">
        <v>0.32291666666666669</v>
      </c>
      <c r="G179" s="12" t="s">
        <v>351</v>
      </c>
      <c r="H179" s="13">
        <v>0.38194444444444442</v>
      </c>
      <c r="I179" s="26"/>
      <c r="J179" s="15"/>
      <c r="K179" s="22">
        <v>0</v>
      </c>
      <c r="L179" s="15" t="s">
        <v>310</v>
      </c>
      <c r="M179" s="15"/>
    </row>
    <row r="180" spans="1:13" hidden="1">
      <c r="A180" s="14">
        <v>188</v>
      </c>
      <c r="B180" s="42">
        <v>46063</v>
      </c>
      <c r="C180" s="12" t="s">
        <v>306</v>
      </c>
      <c r="D180" s="12"/>
      <c r="E180" s="12" t="s">
        <v>351</v>
      </c>
      <c r="F180" s="13">
        <v>0.2986111111111111</v>
      </c>
      <c r="G180" s="12" t="s">
        <v>307</v>
      </c>
      <c r="H180" s="13">
        <v>0.35069444444444442</v>
      </c>
      <c r="I180" s="26"/>
      <c r="J180" s="15"/>
      <c r="K180" s="22">
        <v>0</v>
      </c>
      <c r="L180" s="15" t="s">
        <v>310</v>
      </c>
      <c r="M180" s="15"/>
    </row>
    <row r="181" spans="1:13" hidden="1">
      <c r="A181" s="14">
        <v>189</v>
      </c>
      <c r="B181" s="42">
        <v>46125</v>
      </c>
      <c r="C181" s="12" t="s">
        <v>306</v>
      </c>
      <c r="D181" s="12">
        <v>585</v>
      </c>
      <c r="E181" s="12" t="s">
        <v>307</v>
      </c>
      <c r="F181" s="13">
        <v>0.3125</v>
      </c>
      <c r="G181" s="12" t="s">
        <v>370</v>
      </c>
      <c r="H181" s="13">
        <v>0.36805555555555558</v>
      </c>
      <c r="I181" s="26">
        <v>0.12152777777777778</v>
      </c>
      <c r="J181" s="15" t="s">
        <v>371</v>
      </c>
      <c r="K181" s="22">
        <v>9800</v>
      </c>
      <c r="L181" s="15" t="s">
        <v>310</v>
      </c>
      <c r="M181" s="15"/>
    </row>
    <row r="182" spans="1:13" hidden="1">
      <c r="A182" s="14">
        <v>190</v>
      </c>
      <c r="B182" s="42">
        <v>46125</v>
      </c>
      <c r="C182" s="12" t="s">
        <v>372</v>
      </c>
      <c r="D182" s="12">
        <v>2791</v>
      </c>
      <c r="E182" s="12" t="s">
        <v>370</v>
      </c>
      <c r="F182" s="13">
        <v>0.48958333333333331</v>
      </c>
      <c r="G182" s="12" t="s">
        <v>373</v>
      </c>
      <c r="H182" s="13">
        <v>0.51041666666666663</v>
      </c>
      <c r="I182" s="26">
        <v>2.0833333333333332E-2</v>
      </c>
      <c r="J182" s="15" t="s">
        <v>371</v>
      </c>
      <c r="K182" s="22">
        <v>11912</v>
      </c>
      <c r="L182" s="15" t="s">
        <v>310</v>
      </c>
      <c r="M182" s="15"/>
    </row>
    <row r="183" spans="1:13" hidden="1">
      <c r="A183" s="14">
        <v>191</v>
      </c>
      <c r="B183" s="42">
        <v>46125</v>
      </c>
      <c r="C183" s="12" t="s">
        <v>372</v>
      </c>
      <c r="D183" s="12">
        <v>2792</v>
      </c>
      <c r="E183" s="12" t="s">
        <v>373</v>
      </c>
      <c r="F183" s="13">
        <v>0.53125</v>
      </c>
      <c r="G183" s="12" t="s">
        <v>370</v>
      </c>
      <c r="H183" s="13">
        <v>0.55208333333333337</v>
      </c>
      <c r="I183" s="26">
        <v>2.0833333333333332E-2</v>
      </c>
      <c r="J183" s="15" t="s">
        <v>371</v>
      </c>
      <c r="K183" s="22">
        <v>0</v>
      </c>
      <c r="L183" s="15" t="s">
        <v>310</v>
      </c>
      <c r="M183" s="15"/>
    </row>
    <row r="184" spans="1:13" hidden="1">
      <c r="A184" s="14">
        <v>192</v>
      </c>
      <c r="B184" s="42">
        <v>46125</v>
      </c>
      <c r="C184" s="12" t="s">
        <v>372</v>
      </c>
      <c r="D184" s="12">
        <v>2748</v>
      </c>
      <c r="E184" s="12" t="s">
        <v>370</v>
      </c>
      <c r="F184" s="13">
        <v>0.57291666666666663</v>
      </c>
      <c r="G184" s="12" t="s">
        <v>374</v>
      </c>
      <c r="H184" s="13">
        <v>0.60069444444444442</v>
      </c>
      <c r="I184" s="26">
        <v>3.125E-2</v>
      </c>
      <c r="J184" s="15" t="s">
        <v>371</v>
      </c>
      <c r="K184" s="22">
        <v>13584</v>
      </c>
      <c r="L184" s="15" t="s">
        <v>310</v>
      </c>
      <c r="M184" s="15"/>
    </row>
    <row r="185" spans="1:13" hidden="1">
      <c r="A185" s="14">
        <v>193</v>
      </c>
      <c r="B185" s="42">
        <v>46125</v>
      </c>
      <c r="C185" s="12" t="s">
        <v>372</v>
      </c>
      <c r="D185" s="12">
        <v>2737</v>
      </c>
      <c r="E185" s="12" t="s">
        <v>374</v>
      </c>
      <c r="F185" s="13">
        <v>0.63194444444444442</v>
      </c>
      <c r="G185" s="12" t="s">
        <v>375</v>
      </c>
      <c r="H185" s="13">
        <v>0.66666666666666663</v>
      </c>
      <c r="I185" s="26">
        <v>2.0833333333333332E-2</v>
      </c>
      <c r="J185" s="15" t="s">
        <v>371</v>
      </c>
      <c r="K185" s="22">
        <v>5940</v>
      </c>
      <c r="L185" s="15" t="s">
        <v>310</v>
      </c>
      <c r="M185" s="15"/>
    </row>
    <row r="186" spans="1:13" hidden="1">
      <c r="A186" s="14">
        <v>194</v>
      </c>
      <c r="B186" s="42">
        <v>46125</v>
      </c>
      <c r="C186" s="12" t="s">
        <v>372</v>
      </c>
      <c r="D186" s="12">
        <v>2738</v>
      </c>
      <c r="E186" s="12" t="s">
        <v>375</v>
      </c>
      <c r="F186" s="13">
        <v>0.6875</v>
      </c>
      <c r="G186" s="12" t="s">
        <v>374</v>
      </c>
      <c r="H186" s="13">
        <v>0.72569444444444442</v>
      </c>
      <c r="I186" s="26">
        <v>2.7777777777777776E-2</v>
      </c>
      <c r="J186" s="15" t="s">
        <v>371</v>
      </c>
      <c r="K186" s="22">
        <v>5940</v>
      </c>
      <c r="L186" s="15" t="s">
        <v>310</v>
      </c>
      <c r="M186" s="15"/>
    </row>
    <row r="187" spans="1:13" hidden="1">
      <c r="A187" s="14">
        <v>195</v>
      </c>
      <c r="B187" s="42">
        <v>46125</v>
      </c>
      <c r="C187" s="12" t="s">
        <v>372</v>
      </c>
      <c r="D187" s="12">
        <v>2755</v>
      </c>
      <c r="E187" s="12" t="s">
        <v>374</v>
      </c>
      <c r="F187" s="13">
        <v>0.75347222222222221</v>
      </c>
      <c r="G187" s="12" t="s">
        <v>370</v>
      </c>
      <c r="H187" s="13">
        <v>0.78125</v>
      </c>
      <c r="I187" s="26">
        <v>3.125E-2</v>
      </c>
      <c r="J187" s="15" t="s">
        <v>371</v>
      </c>
      <c r="K187" s="22">
        <v>0</v>
      </c>
      <c r="L187" s="15" t="s">
        <v>310</v>
      </c>
      <c r="M187" s="15"/>
    </row>
    <row r="188" spans="1:13" hidden="1">
      <c r="A188" s="14">
        <v>196</v>
      </c>
      <c r="B188" s="42">
        <v>46125</v>
      </c>
      <c r="C188" s="12" t="s">
        <v>306</v>
      </c>
      <c r="D188" s="12">
        <v>588</v>
      </c>
      <c r="E188" s="12" t="s">
        <v>370</v>
      </c>
      <c r="F188" s="13">
        <v>0.8125</v>
      </c>
      <c r="G188" s="12" t="s">
        <v>307</v>
      </c>
      <c r="H188" s="13">
        <v>0.875</v>
      </c>
      <c r="I188" s="26"/>
      <c r="J188" s="15" t="s">
        <v>371</v>
      </c>
      <c r="K188" s="22">
        <v>9800</v>
      </c>
      <c r="L188" s="15" t="s">
        <v>310</v>
      </c>
      <c r="M188" s="15"/>
    </row>
    <row r="189" spans="1:13" hidden="1">
      <c r="A189" s="14">
        <v>197</v>
      </c>
      <c r="B189" s="42">
        <v>46137</v>
      </c>
      <c r="C189" s="12" t="s">
        <v>306</v>
      </c>
      <c r="D189" s="12">
        <v>553</v>
      </c>
      <c r="E189" s="12" t="s">
        <v>307</v>
      </c>
      <c r="F189" s="13">
        <v>0.46527777777777779</v>
      </c>
      <c r="G189" s="12" t="s">
        <v>376</v>
      </c>
      <c r="H189" s="13">
        <v>0.53125</v>
      </c>
      <c r="I189" s="26">
        <v>3.4722222222222224E-2</v>
      </c>
      <c r="J189" s="15" t="s">
        <v>371</v>
      </c>
      <c r="K189" s="22">
        <v>9800</v>
      </c>
      <c r="L189" s="15" t="s">
        <v>310</v>
      </c>
      <c r="M189" s="15"/>
    </row>
    <row r="190" spans="1:13" hidden="1">
      <c r="A190" s="14">
        <v>198</v>
      </c>
      <c r="B190" s="42">
        <v>46137</v>
      </c>
      <c r="C190" s="12" t="s">
        <v>306</v>
      </c>
      <c r="D190" s="12">
        <v>554</v>
      </c>
      <c r="E190" s="12" t="s">
        <v>376</v>
      </c>
      <c r="F190" s="13">
        <v>0.56597222222222221</v>
      </c>
      <c r="G190" s="12" t="s">
        <v>307</v>
      </c>
      <c r="H190" s="13">
        <v>0.64236111111111116</v>
      </c>
      <c r="I190" s="26">
        <v>4.1666666666666664E-2</v>
      </c>
      <c r="J190" s="15" t="s">
        <v>371</v>
      </c>
      <c r="K190" s="22">
        <v>9800</v>
      </c>
      <c r="L190" s="15" t="s">
        <v>310</v>
      </c>
      <c r="M190" s="15"/>
    </row>
    <row r="191" spans="1:13" hidden="1">
      <c r="A191" s="14">
        <v>199</v>
      </c>
      <c r="B191" s="42">
        <v>46137</v>
      </c>
      <c r="C191" s="12" t="s">
        <v>306</v>
      </c>
      <c r="D191" s="12">
        <v>695</v>
      </c>
      <c r="E191" s="12" t="s">
        <v>307</v>
      </c>
      <c r="F191" s="13">
        <v>0.68402777777777779</v>
      </c>
      <c r="G191" s="12" t="s">
        <v>315</v>
      </c>
      <c r="H191" s="13">
        <v>0.75694444444444442</v>
      </c>
      <c r="I191" s="26">
        <v>9.7222222222222224E-2</v>
      </c>
      <c r="J191" s="15" t="s">
        <v>371</v>
      </c>
      <c r="K191" s="22">
        <v>10900</v>
      </c>
      <c r="L191" s="15" t="s">
        <v>310</v>
      </c>
      <c r="M191" s="15"/>
    </row>
    <row r="192" spans="1:13" hidden="1">
      <c r="A192" s="14">
        <v>200</v>
      </c>
      <c r="B192" s="42">
        <v>46137</v>
      </c>
      <c r="C192" s="12" t="s">
        <v>306</v>
      </c>
      <c r="D192" s="12">
        <v>3642</v>
      </c>
      <c r="E192" s="12" t="s">
        <v>315</v>
      </c>
      <c r="F192" s="13">
        <v>0.85416666666666663</v>
      </c>
      <c r="G192" s="12" t="s">
        <v>308</v>
      </c>
      <c r="H192" s="13">
        <v>0.89583333333333337</v>
      </c>
      <c r="I192" s="26"/>
      <c r="J192" s="15" t="s">
        <v>371</v>
      </c>
      <c r="K192" s="22">
        <v>5610</v>
      </c>
      <c r="L192" s="15" t="s">
        <v>310</v>
      </c>
      <c r="M192" s="15"/>
    </row>
    <row r="193" spans="1:13" hidden="1">
      <c r="A193" s="14">
        <v>201</v>
      </c>
      <c r="B193" s="42">
        <v>46138</v>
      </c>
      <c r="C193" s="12" t="s">
        <v>317</v>
      </c>
      <c r="D193" s="12">
        <v>51</v>
      </c>
      <c r="E193" s="12" t="s">
        <v>308</v>
      </c>
      <c r="F193" s="13">
        <v>0.30208333333333331</v>
      </c>
      <c r="G193" s="12" t="s">
        <v>318</v>
      </c>
      <c r="H193" s="13">
        <v>0.37847222222222221</v>
      </c>
      <c r="I193" s="26">
        <v>2.7777777777777776E-2</v>
      </c>
      <c r="J193" s="15" t="s">
        <v>371</v>
      </c>
      <c r="K193" s="22">
        <v>10250</v>
      </c>
      <c r="L193" s="15" t="s">
        <v>310</v>
      </c>
      <c r="M193" s="15"/>
    </row>
    <row r="194" spans="1:13" hidden="1">
      <c r="A194" s="14">
        <v>202</v>
      </c>
      <c r="B194" s="42">
        <v>46138</v>
      </c>
      <c r="C194" s="12" t="s">
        <v>317</v>
      </c>
      <c r="D194" s="12">
        <v>605</v>
      </c>
      <c r="E194" s="12" t="s">
        <v>318</v>
      </c>
      <c r="F194" s="13">
        <v>0.40625</v>
      </c>
      <c r="G194" s="12" t="s">
        <v>321</v>
      </c>
      <c r="H194" s="13">
        <v>0.44791666666666669</v>
      </c>
      <c r="I194" s="26">
        <v>7.2916666666666671E-2</v>
      </c>
      <c r="J194" s="15" t="s">
        <v>371</v>
      </c>
      <c r="K194" s="22">
        <v>4640</v>
      </c>
      <c r="L194" s="15" t="s">
        <v>310</v>
      </c>
      <c r="M194" s="15"/>
    </row>
    <row r="195" spans="1:13" hidden="1">
      <c r="A195" s="14">
        <v>203</v>
      </c>
      <c r="B195" s="42">
        <v>46138</v>
      </c>
      <c r="C195" s="12" t="s">
        <v>317</v>
      </c>
      <c r="D195" s="12">
        <v>608</v>
      </c>
      <c r="E195" s="12" t="s">
        <v>321</v>
      </c>
      <c r="F195" s="13">
        <v>0.52083333333333337</v>
      </c>
      <c r="G195" s="12" t="s">
        <v>318</v>
      </c>
      <c r="H195" s="13">
        <v>0.5625</v>
      </c>
      <c r="I195" s="26">
        <v>2.7777777777777776E-2</v>
      </c>
      <c r="J195" s="15" t="s">
        <v>371</v>
      </c>
      <c r="K195" s="22">
        <v>5740</v>
      </c>
      <c r="L195" s="15" t="s">
        <v>310</v>
      </c>
      <c r="M195" s="15"/>
    </row>
    <row r="196" spans="1:13" hidden="1">
      <c r="A196" s="14">
        <v>204</v>
      </c>
      <c r="B196" s="42">
        <v>46138</v>
      </c>
      <c r="C196" s="12" t="s">
        <v>317</v>
      </c>
      <c r="D196" s="12">
        <v>211</v>
      </c>
      <c r="E196" s="12" t="s">
        <v>318</v>
      </c>
      <c r="F196" s="13">
        <v>0.59027777777777779</v>
      </c>
      <c r="G196" s="12" t="s">
        <v>344</v>
      </c>
      <c r="H196" s="13">
        <v>0.61458333333333337</v>
      </c>
      <c r="I196" s="26">
        <v>1.0416666666666666E-2</v>
      </c>
      <c r="J196" s="15" t="s">
        <v>371</v>
      </c>
      <c r="K196" s="22">
        <v>4640</v>
      </c>
      <c r="L196" s="15" t="s">
        <v>310</v>
      </c>
      <c r="M196" s="15"/>
    </row>
    <row r="197" spans="1:13" hidden="1">
      <c r="A197" s="14">
        <v>205</v>
      </c>
      <c r="B197" s="42">
        <v>46138</v>
      </c>
      <c r="C197" s="12" t="s">
        <v>317</v>
      </c>
      <c r="D197" s="12">
        <v>212</v>
      </c>
      <c r="E197" s="12" t="s">
        <v>344</v>
      </c>
      <c r="F197" s="13">
        <v>0.625</v>
      </c>
      <c r="G197" s="12" t="s">
        <v>318</v>
      </c>
      <c r="H197" s="13">
        <v>0.65277777777777779</v>
      </c>
      <c r="I197" s="26">
        <v>2.7777777777777776E-2</v>
      </c>
      <c r="J197" s="15" t="s">
        <v>371</v>
      </c>
      <c r="K197" s="22">
        <v>5190</v>
      </c>
      <c r="L197" s="15" t="s">
        <v>310</v>
      </c>
      <c r="M197" s="15"/>
    </row>
    <row r="198" spans="1:13" hidden="1">
      <c r="A198" s="14">
        <v>206</v>
      </c>
      <c r="B198" s="42">
        <v>46138</v>
      </c>
      <c r="C198" s="12" t="s">
        <v>317</v>
      </c>
      <c r="D198" s="12">
        <v>567</v>
      </c>
      <c r="E198" s="12" t="s">
        <v>318</v>
      </c>
      <c r="F198" s="13">
        <v>0.68055555555555558</v>
      </c>
      <c r="G198" s="12" t="s">
        <v>325</v>
      </c>
      <c r="H198" s="13">
        <v>0.71875</v>
      </c>
      <c r="I198" s="26">
        <v>2.7777777777777776E-2</v>
      </c>
      <c r="J198" s="15" t="s">
        <v>371</v>
      </c>
      <c r="K198" s="22">
        <v>5190</v>
      </c>
      <c r="L198" s="15" t="s">
        <v>310</v>
      </c>
      <c r="M198" s="15"/>
    </row>
    <row r="199" spans="1:13" hidden="1">
      <c r="A199" s="14">
        <v>207</v>
      </c>
      <c r="B199" s="42">
        <v>46138</v>
      </c>
      <c r="C199" s="12" t="s">
        <v>317</v>
      </c>
      <c r="D199" s="12">
        <v>566</v>
      </c>
      <c r="E199" s="12" t="s">
        <v>325</v>
      </c>
      <c r="F199" s="13">
        <v>0.74652777777777779</v>
      </c>
      <c r="G199" s="12" t="s">
        <v>318</v>
      </c>
      <c r="H199" s="13">
        <v>0.78125</v>
      </c>
      <c r="I199" s="26">
        <v>7.9861111111111105E-2</v>
      </c>
      <c r="J199" s="15" t="s">
        <v>371</v>
      </c>
      <c r="K199" s="22">
        <v>5190</v>
      </c>
      <c r="L199" s="15" t="s">
        <v>310</v>
      </c>
      <c r="M199" s="15"/>
    </row>
    <row r="200" spans="1:13" hidden="1">
      <c r="A200" s="14">
        <v>208</v>
      </c>
      <c r="B200" s="42">
        <v>46138</v>
      </c>
      <c r="C200" s="12" t="s">
        <v>306</v>
      </c>
      <c r="D200" s="12">
        <v>922</v>
      </c>
      <c r="E200" s="12" t="s">
        <v>318</v>
      </c>
      <c r="F200" s="13">
        <v>0.86111111111111116</v>
      </c>
      <c r="G200" s="12" t="s">
        <v>307</v>
      </c>
      <c r="H200" s="13">
        <v>0.95833333333333337</v>
      </c>
      <c r="I200" s="26"/>
      <c r="J200" s="15" t="s">
        <v>371</v>
      </c>
      <c r="K200" s="22">
        <v>10590</v>
      </c>
      <c r="L200" s="15" t="s">
        <v>310</v>
      </c>
      <c r="M200" s="15"/>
    </row>
    <row r="201" spans="1:13">
      <c r="A201" s="14">
        <v>209</v>
      </c>
      <c r="B201" s="42">
        <v>46429</v>
      </c>
      <c r="C201" s="12" t="s">
        <v>306</v>
      </c>
      <c r="D201" s="23" t="s">
        <v>377</v>
      </c>
      <c r="E201" s="12" t="s">
        <v>307</v>
      </c>
      <c r="F201" s="13">
        <v>0.91319444444444442</v>
      </c>
      <c r="G201" s="12" t="s">
        <v>378</v>
      </c>
      <c r="H201" s="13">
        <v>0.40277777777777779</v>
      </c>
      <c r="I201" s="26"/>
      <c r="J201" s="15" t="s">
        <v>371</v>
      </c>
      <c r="K201" s="22"/>
      <c r="L201" s="15"/>
      <c r="M201" s="15"/>
    </row>
    <row r="202" spans="1:13">
      <c r="A202" s="14">
        <v>210</v>
      </c>
      <c r="B202" s="42">
        <v>46431</v>
      </c>
      <c r="C202" s="12" t="s">
        <v>306</v>
      </c>
      <c r="D202" s="23" t="s">
        <v>379</v>
      </c>
      <c r="E202" s="12" t="s">
        <v>378</v>
      </c>
      <c r="F202" s="13">
        <v>0.4861111111111111</v>
      </c>
      <c r="G202" s="12" t="s">
        <v>307</v>
      </c>
      <c r="H202" s="13">
        <v>0.67013888888888884</v>
      </c>
      <c r="I202" s="26"/>
      <c r="J202" s="15" t="s">
        <v>371</v>
      </c>
      <c r="K202" s="22"/>
      <c r="L202" s="15"/>
      <c r="M202" s="15"/>
    </row>
    <row r="203" spans="1:13">
      <c r="A203" s="14">
        <v>211</v>
      </c>
      <c r="B203" s="42">
        <v>46301</v>
      </c>
      <c r="C203" s="12" t="s">
        <v>306</v>
      </c>
      <c r="D203" s="12">
        <v>8663</v>
      </c>
      <c r="E203" s="12" t="s">
        <v>380</v>
      </c>
      <c r="F203" s="13">
        <v>0.37152777777777779</v>
      </c>
      <c r="G203" s="12" t="s">
        <v>381</v>
      </c>
      <c r="H203" s="13">
        <v>0.4826388888888889</v>
      </c>
      <c r="I203" s="26"/>
      <c r="J203" s="15" t="s">
        <v>371</v>
      </c>
      <c r="K203" s="22"/>
      <c r="L203" s="15"/>
      <c r="M203" s="15"/>
    </row>
    <row r="204" spans="1:13">
      <c r="A204" s="14">
        <v>212</v>
      </c>
      <c r="B204" s="42">
        <v>46304</v>
      </c>
      <c r="C204" s="12" t="s">
        <v>306</v>
      </c>
      <c r="D204" s="12">
        <v>8664</v>
      </c>
      <c r="E204" s="12" t="s">
        <v>381</v>
      </c>
      <c r="F204" s="13">
        <v>0.53125</v>
      </c>
      <c r="G204" s="12" t="s">
        <v>380</v>
      </c>
      <c r="H204" s="13">
        <v>0.71875</v>
      </c>
      <c r="I204" s="26"/>
      <c r="J204" s="15" t="s">
        <v>371</v>
      </c>
      <c r="K204" s="22"/>
      <c r="L204" s="15"/>
      <c r="M204" s="15"/>
    </row>
    <row r="205" spans="1:13" hidden="1">
      <c r="A205" s="14">
        <v>213</v>
      </c>
      <c r="B205" s="42">
        <v>46081</v>
      </c>
      <c r="C205" s="12" t="s">
        <v>306</v>
      </c>
      <c r="D205" s="12">
        <v>189</v>
      </c>
      <c r="E205" s="12" t="s">
        <v>307</v>
      </c>
      <c r="F205" s="13">
        <v>0.69097222222222221</v>
      </c>
      <c r="G205" s="12" t="s">
        <v>340</v>
      </c>
      <c r="H205" s="13">
        <v>0.73958333333333337</v>
      </c>
      <c r="I205" s="26"/>
      <c r="J205" s="15" t="s">
        <v>371</v>
      </c>
      <c r="K205" s="22">
        <v>11000</v>
      </c>
      <c r="L205" s="15" t="s">
        <v>310</v>
      </c>
      <c r="M205" s="15"/>
    </row>
    <row r="206" spans="1:13" hidden="1">
      <c r="A206" s="14">
        <v>214</v>
      </c>
      <c r="B206" s="42">
        <v>46081</v>
      </c>
      <c r="C206" s="12" t="s">
        <v>306</v>
      </c>
      <c r="D206" s="12">
        <v>192</v>
      </c>
      <c r="E206" s="12" t="s">
        <v>340</v>
      </c>
      <c r="F206" s="13">
        <v>0.76736111111111116</v>
      </c>
      <c r="G206" s="12" t="s">
        <v>307</v>
      </c>
      <c r="H206" s="13">
        <v>0.81597222222222221</v>
      </c>
      <c r="I206" s="26"/>
      <c r="J206" s="15" t="s">
        <v>371</v>
      </c>
      <c r="K206" s="22">
        <v>11000</v>
      </c>
      <c r="L206" s="15" t="s">
        <v>310</v>
      </c>
      <c r="M206" s="15"/>
    </row>
    <row r="207" spans="1:13" hidden="1">
      <c r="A207" s="14">
        <v>215</v>
      </c>
      <c r="B207" s="42">
        <v>46110</v>
      </c>
      <c r="C207" s="12" t="s">
        <v>306</v>
      </c>
      <c r="D207" s="12" t="s">
        <v>382</v>
      </c>
      <c r="E207" s="12" t="s">
        <v>307</v>
      </c>
      <c r="F207" s="13">
        <v>0.63541666666666663</v>
      </c>
      <c r="G207" s="12" t="s">
        <v>308</v>
      </c>
      <c r="H207" s="13">
        <v>0.71527777777777779</v>
      </c>
      <c r="I207" s="26"/>
      <c r="J207" s="15"/>
      <c r="K207" s="22">
        <v>0</v>
      </c>
      <c r="L207" s="15" t="s">
        <v>310</v>
      </c>
      <c r="M207" s="15"/>
    </row>
    <row r="208" spans="1:13" hidden="1">
      <c r="A208" s="14">
        <v>216</v>
      </c>
      <c r="B208" s="42">
        <v>46111</v>
      </c>
      <c r="C208" s="12" t="s">
        <v>306</v>
      </c>
      <c r="D208" s="12" t="s">
        <v>383</v>
      </c>
      <c r="E208" s="12" t="s">
        <v>308</v>
      </c>
      <c r="F208" s="13">
        <v>0.76388888888888884</v>
      </c>
      <c r="G208" s="12" t="s">
        <v>307</v>
      </c>
      <c r="H208" s="13">
        <v>0.83680555555555558</v>
      </c>
      <c r="I208" s="26"/>
      <c r="J208" s="15"/>
      <c r="K208" s="22">
        <v>0</v>
      </c>
      <c r="L208" s="15" t="s">
        <v>310</v>
      </c>
      <c r="M208" s="15"/>
    </row>
    <row r="209" spans="1:13" hidden="1">
      <c r="A209" s="14">
        <v>217</v>
      </c>
      <c r="B209" s="42">
        <v>46119</v>
      </c>
      <c r="C209" s="12" t="s">
        <v>306</v>
      </c>
      <c r="D209" s="12" t="s">
        <v>382</v>
      </c>
      <c r="E209" s="12" t="s">
        <v>307</v>
      </c>
      <c r="F209" s="13">
        <v>0.35416666666666669</v>
      </c>
      <c r="G209" s="12" t="s">
        <v>384</v>
      </c>
      <c r="H209" s="13">
        <v>0.39930555555555558</v>
      </c>
      <c r="I209" s="26"/>
      <c r="J209" s="15"/>
      <c r="K209" s="22">
        <v>0</v>
      </c>
      <c r="L209" s="15" t="s">
        <v>310</v>
      </c>
      <c r="M209" s="15"/>
    </row>
    <row r="210" spans="1:13" hidden="1">
      <c r="A210" s="14">
        <v>218</v>
      </c>
      <c r="B210" s="42">
        <v>46121</v>
      </c>
      <c r="C210" s="12" t="s">
        <v>306</v>
      </c>
      <c r="D210" s="12" t="s">
        <v>383</v>
      </c>
      <c r="E210" s="12" t="s">
        <v>384</v>
      </c>
      <c r="F210" s="13">
        <v>0.76736111111111116</v>
      </c>
      <c r="G210" s="12" t="s">
        <v>307</v>
      </c>
      <c r="H210" s="13">
        <v>0.81944444444444442</v>
      </c>
      <c r="I210" s="26"/>
      <c r="J210" s="15"/>
      <c r="K210" s="22">
        <v>0</v>
      </c>
      <c r="L210" s="15" t="s">
        <v>310</v>
      </c>
      <c r="M210" s="15"/>
    </row>
    <row r="211" spans="1:13" hidden="1">
      <c r="A211" s="14">
        <v>219</v>
      </c>
      <c r="B211" s="42">
        <v>46042</v>
      </c>
      <c r="C211" s="12" t="s">
        <v>306</v>
      </c>
      <c r="D211" s="73"/>
      <c r="E211" s="12" t="s">
        <v>307</v>
      </c>
      <c r="F211" s="13"/>
      <c r="G211" s="12" t="s">
        <v>308</v>
      </c>
      <c r="H211" s="13"/>
      <c r="I211" s="26"/>
      <c r="J211" s="15"/>
      <c r="K211" s="22">
        <v>0</v>
      </c>
      <c r="L211" s="15" t="s">
        <v>310</v>
      </c>
      <c r="M211" s="15"/>
    </row>
    <row r="212" spans="1:13" hidden="1">
      <c r="A212" s="14">
        <v>220</v>
      </c>
      <c r="B212" s="42">
        <v>46042</v>
      </c>
      <c r="C212" s="12" t="s">
        <v>306</v>
      </c>
      <c r="D212" s="73"/>
      <c r="E212" s="12" t="s">
        <v>308</v>
      </c>
      <c r="F212" s="13"/>
      <c r="G212" s="12" t="s">
        <v>307</v>
      </c>
      <c r="H212" s="13"/>
      <c r="I212" s="26"/>
      <c r="J212" s="15"/>
      <c r="K212" s="22">
        <v>0</v>
      </c>
      <c r="L212" s="15" t="s">
        <v>310</v>
      </c>
      <c r="M212" s="15"/>
    </row>
    <row r="213" spans="1:13" ht="15.75" hidden="1">
      <c r="A213" s="14">
        <v>221</v>
      </c>
      <c r="B213" s="42">
        <v>46104</v>
      </c>
      <c r="C213" s="12" t="s">
        <v>306</v>
      </c>
      <c r="D213" s="12" t="s">
        <v>385</v>
      </c>
      <c r="E213" s="12" t="s">
        <v>307</v>
      </c>
      <c r="F213" s="13">
        <v>0.60763888888888884</v>
      </c>
      <c r="G213" s="71" t="s">
        <v>342</v>
      </c>
      <c r="H213" s="13">
        <v>0.65625</v>
      </c>
      <c r="I213" s="26"/>
      <c r="J213" s="15"/>
      <c r="K213" s="22">
        <v>0</v>
      </c>
      <c r="L213" s="15" t="s">
        <v>310</v>
      </c>
      <c r="M213" s="15"/>
    </row>
    <row r="214" spans="1:13" ht="15.75" hidden="1">
      <c r="A214" s="14">
        <v>222</v>
      </c>
      <c r="B214" s="42">
        <v>46105</v>
      </c>
      <c r="C214" s="12" t="s">
        <v>306</v>
      </c>
      <c r="D214" s="12" t="s">
        <v>386</v>
      </c>
      <c r="E214" s="72" t="s">
        <v>342</v>
      </c>
      <c r="F214" s="13">
        <v>0.69791666666666663</v>
      </c>
      <c r="G214" s="12" t="s">
        <v>307</v>
      </c>
      <c r="H214" s="13">
        <v>0.75</v>
      </c>
      <c r="I214" s="26"/>
      <c r="J214" s="15"/>
      <c r="K214" s="22">
        <v>0</v>
      </c>
      <c r="L214" s="15" t="s">
        <v>310</v>
      </c>
      <c r="M214" s="15"/>
    </row>
    <row r="215" spans="1:13" hidden="1">
      <c r="A215" s="14">
        <v>223</v>
      </c>
      <c r="B215" s="42">
        <v>46127</v>
      </c>
      <c r="C215" s="12" t="s">
        <v>306</v>
      </c>
      <c r="D215" s="12" t="s">
        <v>387</v>
      </c>
      <c r="E215" s="12" t="s">
        <v>307</v>
      </c>
      <c r="F215" s="13">
        <v>0.33333333333333331</v>
      </c>
      <c r="G215" s="12" t="s">
        <v>388</v>
      </c>
      <c r="H215" s="13">
        <v>0.40625</v>
      </c>
      <c r="I215" s="26"/>
      <c r="J215" s="15"/>
      <c r="K215" s="22">
        <v>0</v>
      </c>
      <c r="L215" s="15" t="s">
        <v>310</v>
      </c>
      <c r="M215" s="15"/>
    </row>
    <row r="216" spans="1:13" hidden="1">
      <c r="A216" s="14">
        <v>224</v>
      </c>
      <c r="B216" s="42">
        <v>46128</v>
      </c>
      <c r="C216" s="12" t="s">
        <v>306</v>
      </c>
      <c r="D216" s="12" t="s">
        <v>389</v>
      </c>
      <c r="E216" s="12" t="s">
        <v>351</v>
      </c>
      <c r="F216" s="13">
        <v>0.72222222222222221</v>
      </c>
      <c r="G216" s="12" t="s">
        <v>307</v>
      </c>
      <c r="H216" s="13">
        <v>0.78125</v>
      </c>
      <c r="I216" s="26"/>
      <c r="J216" s="15"/>
      <c r="K216" s="22">
        <v>0</v>
      </c>
      <c r="L216" s="15" t="s">
        <v>310</v>
      </c>
      <c r="M216" s="15"/>
    </row>
    <row r="217" spans="1:13" hidden="1">
      <c r="A217" s="14">
        <v>227</v>
      </c>
      <c r="B217" s="42">
        <v>46153</v>
      </c>
      <c r="C217" s="12" t="s">
        <v>306</v>
      </c>
      <c r="D217" s="12" t="s">
        <v>390</v>
      </c>
      <c r="E217" s="12" t="s">
        <v>307</v>
      </c>
      <c r="F217" s="13">
        <v>0.44791666666666669</v>
      </c>
      <c r="G217" s="12" t="s">
        <v>384</v>
      </c>
      <c r="H217" s="13">
        <v>0.49305555555555558</v>
      </c>
      <c r="I217" s="26"/>
      <c r="J217" s="15" t="s">
        <v>371</v>
      </c>
      <c r="K217" s="22">
        <v>0</v>
      </c>
      <c r="L217" s="15" t="s">
        <v>310</v>
      </c>
      <c r="M217" s="15"/>
    </row>
    <row r="218" spans="1:13" hidden="1">
      <c r="A218" s="14">
        <v>228</v>
      </c>
      <c r="B218" s="42">
        <v>46223</v>
      </c>
      <c r="C218" s="12" t="s">
        <v>306</v>
      </c>
      <c r="D218" s="12" t="s">
        <v>391</v>
      </c>
      <c r="E218" s="12" t="s">
        <v>307</v>
      </c>
      <c r="F218" s="13">
        <v>0.2951388888888889</v>
      </c>
      <c r="G218" s="12" t="s">
        <v>308</v>
      </c>
      <c r="H218" s="13">
        <v>0.36458333333333331</v>
      </c>
      <c r="I218" s="26"/>
      <c r="J218" s="15" t="s">
        <v>371</v>
      </c>
      <c r="K218" s="22">
        <v>27740</v>
      </c>
      <c r="L218" s="15" t="s">
        <v>310</v>
      </c>
      <c r="M218" s="15"/>
    </row>
    <row r="219" spans="1:13" hidden="1">
      <c r="A219" s="14">
        <v>229</v>
      </c>
      <c r="B219" s="42">
        <v>46229</v>
      </c>
      <c r="C219" s="12" t="s">
        <v>306</v>
      </c>
      <c r="D219" s="12" t="s">
        <v>392</v>
      </c>
      <c r="E219" s="12" t="s">
        <v>308</v>
      </c>
      <c r="F219" s="13">
        <v>0.41666666666666669</v>
      </c>
      <c r="G219" s="12" t="s">
        <v>307</v>
      </c>
      <c r="H219" s="13">
        <v>0.48958333333333331</v>
      </c>
      <c r="I219" s="26"/>
      <c r="J219" s="15" t="s">
        <v>371</v>
      </c>
      <c r="K219" s="22">
        <v>0</v>
      </c>
      <c r="L219" s="15" t="s">
        <v>310</v>
      </c>
      <c r="M219" s="15"/>
    </row>
    <row r="220" spans="1:13" hidden="1">
      <c r="A220" s="14">
        <v>230</v>
      </c>
      <c r="B220" s="42">
        <v>46182</v>
      </c>
      <c r="C220" s="12" t="s">
        <v>306</v>
      </c>
      <c r="D220" s="12" t="s">
        <v>393</v>
      </c>
      <c r="E220" s="12" t="s">
        <v>307</v>
      </c>
      <c r="F220" s="13">
        <v>0.60416666666666663</v>
      </c>
      <c r="G220" s="12" t="s">
        <v>359</v>
      </c>
      <c r="H220" s="13">
        <v>0.65625</v>
      </c>
      <c r="I220" s="26"/>
      <c r="J220" s="15" t="s">
        <v>371</v>
      </c>
      <c r="K220" s="22">
        <v>0</v>
      </c>
      <c r="L220" s="15" t="s">
        <v>310</v>
      </c>
      <c r="M220" s="15"/>
    </row>
    <row r="221" spans="1:13" hidden="1">
      <c r="A221" s="14">
        <v>231</v>
      </c>
      <c r="B221" s="42">
        <v>46183</v>
      </c>
      <c r="C221" s="12" t="s">
        <v>306</v>
      </c>
      <c r="D221" s="12" t="s">
        <v>392</v>
      </c>
      <c r="E221" s="12" t="s">
        <v>359</v>
      </c>
      <c r="F221" s="13">
        <v>0.72916666666666663</v>
      </c>
      <c r="G221" s="12" t="s">
        <v>307</v>
      </c>
      <c r="H221" s="13">
        <v>0.78125</v>
      </c>
      <c r="I221" s="26"/>
      <c r="J221" s="15" t="s">
        <v>371</v>
      </c>
      <c r="K221" s="22">
        <v>0</v>
      </c>
      <c r="L221" s="15" t="s">
        <v>310</v>
      </c>
      <c r="M221" s="15"/>
    </row>
    <row r="222" spans="1:13" hidden="1">
      <c r="A222" s="14">
        <v>232</v>
      </c>
      <c r="B222" s="42">
        <v>46170</v>
      </c>
      <c r="C222" s="12" t="s">
        <v>306</v>
      </c>
      <c r="D222" s="12" t="s">
        <v>394</v>
      </c>
      <c r="E222" s="12" t="s">
        <v>307</v>
      </c>
      <c r="F222" s="13">
        <v>0.46527777777777779</v>
      </c>
      <c r="G222" s="12" t="s">
        <v>351</v>
      </c>
      <c r="H222" s="13">
        <v>0.52083333333333337</v>
      </c>
      <c r="I222" s="26"/>
      <c r="J222" s="15"/>
      <c r="K222" s="22">
        <v>0</v>
      </c>
      <c r="L222" s="15" t="s">
        <v>310</v>
      </c>
      <c r="M222" s="15"/>
    </row>
    <row r="223" spans="1:13" hidden="1">
      <c r="A223" s="14">
        <v>233</v>
      </c>
      <c r="B223" s="42">
        <v>46171</v>
      </c>
      <c r="C223" s="12" t="s">
        <v>306</v>
      </c>
      <c r="D223" s="12" t="s">
        <v>395</v>
      </c>
      <c r="E223" s="12" t="s">
        <v>351</v>
      </c>
      <c r="F223" s="13">
        <v>0.63541666666666663</v>
      </c>
      <c r="G223" s="12" t="s">
        <v>307</v>
      </c>
      <c r="H223" s="13">
        <v>0.69444444444444442</v>
      </c>
      <c r="I223" s="26"/>
      <c r="J223" s="15"/>
      <c r="K223" s="22">
        <v>0</v>
      </c>
      <c r="L223" s="15" t="s">
        <v>310</v>
      </c>
      <c r="M223" s="15"/>
    </row>
    <row r="224" spans="1:13" ht="14.25" hidden="1">
      <c r="A224" s="14">
        <v>236</v>
      </c>
      <c r="B224" s="42">
        <v>46180</v>
      </c>
      <c r="C224" s="12" t="s">
        <v>306</v>
      </c>
      <c r="D224" s="12" t="s">
        <v>387</v>
      </c>
      <c r="E224" s="12" t="s">
        <v>307</v>
      </c>
      <c r="F224" s="13">
        <v>0.33333333333333331</v>
      </c>
      <c r="G224" s="12" t="s">
        <v>388</v>
      </c>
      <c r="H224" s="13">
        <v>0.40625</v>
      </c>
      <c r="I224" s="61"/>
      <c r="J224" s="15"/>
      <c r="K224" s="22">
        <v>0</v>
      </c>
      <c r="L224" s="15" t="s">
        <v>310</v>
      </c>
      <c r="M224" s="15"/>
    </row>
    <row r="225" spans="1:13" ht="14.25" hidden="1">
      <c r="A225" s="14">
        <v>237</v>
      </c>
      <c r="B225" s="42">
        <v>46181</v>
      </c>
      <c r="C225" s="12" t="s">
        <v>306</v>
      </c>
      <c r="D225" s="12" t="s">
        <v>396</v>
      </c>
      <c r="E225" s="12" t="s">
        <v>388</v>
      </c>
      <c r="F225" s="13">
        <v>0.72222222222222221</v>
      </c>
      <c r="G225" s="12" t="s">
        <v>307</v>
      </c>
      <c r="H225" s="13">
        <v>0.79513888888888884</v>
      </c>
      <c r="I225" s="61"/>
      <c r="J225" s="15"/>
      <c r="K225" s="22">
        <v>0</v>
      </c>
      <c r="L225" s="15" t="s">
        <v>310</v>
      </c>
      <c r="M225" s="15"/>
    </row>
    <row r="226" spans="1:13" hidden="1">
      <c r="A226" s="14">
        <v>241</v>
      </c>
      <c r="B226" s="42">
        <v>46199</v>
      </c>
      <c r="C226" s="12" t="s">
        <v>306</v>
      </c>
      <c r="D226" s="12" t="s">
        <v>395</v>
      </c>
      <c r="E226" s="12" t="s">
        <v>351</v>
      </c>
      <c r="F226" s="13">
        <v>0.85763888888888884</v>
      </c>
      <c r="G226" s="12" t="s">
        <v>307</v>
      </c>
      <c r="H226" s="13">
        <v>0.91319444444444442</v>
      </c>
      <c r="I226" s="26"/>
      <c r="J226" s="15" t="s">
        <v>371</v>
      </c>
      <c r="K226" s="22">
        <v>0</v>
      </c>
      <c r="L226" s="15" t="s">
        <v>310</v>
      </c>
      <c r="M226" s="15"/>
    </row>
    <row r="227" spans="1:13" hidden="1">
      <c r="A227" s="14">
        <v>242</v>
      </c>
      <c r="B227" s="42">
        <v>46215</v>
      </c>
      <c r="C227" s="12" t="s">
        <v>306</v>
      </c>
      <c r="D227" s="12" t="s">
        <v>397</v>
      </c>
      <c r="E227" s="12" t="s">
        <v>307</v>
      </c>
      <c r="F227" s="13">
        <v>0.54861111111111116</v>
      </c>
      <c r="G227" s="12" t="s">
        <v>351</v>
      </c>
      <c r="H227" s="13">
        <v>0.60069444444444442</v>
      </c>
      <c r="I227" s="26"/>
      <c r="J227" s="15" t="s">
        <v>371</v>
      </c>
      <c r="K227" s="22">
        <v>0</v>
      </c>
      <c r="L227" s="15" t="s">
        <v>310</v>
      </c>
      <c r="M227" s="15"/>
    </row>
    <row r="228" spans="1:13" hidden="1">
      <c r="A228" s="14">
        <v>243</v>
      </c>
      <c r="B228" s="42">
        <v>46218</v>
      </c>
      <c r="C228" s="12" t="s">
        <v>306</v>
      </c>
      <c r="D228" s="12" t="s">
        <v>398</v>
      </c>
      <c r="E228" s="12" t="s">
        <v>339</v>
      </c>
      <c r="F228" s="13">
        <v>0.59027777777777779</v>
      </c>
      <c r="G228" s="12" t="s">
        <v>307</v>
      </c>
      <c r="H228" s="13">
        <v>0.65972222222222221</v>
      </c>
      <c r="I228" s="26"/>
      <c r="J228" s="15" t="s">
        <v>371</v>
      </c>
      <c r="K228" s="22">
        <v>0</v>
      </c>
      <c r="L228" s="15" t="s">
        <v>310</v>
      </c>
      <c r="M228" s="15"/>
    </row>
    <row r="229" spans="1:13" hidden="1">
      <c r="A229" s="14">
        <v>244</v>
      </c>
      <c r="B229" s="42">
        <v>46204</v>
      </c>
      <c r="C229" s="12" t="s">
        <v>306</v>
      </c>
      <c r="D229" s="12" t="s">
        <v>399</v>
      </c>
      <c r="E229" s="12" t="s">
        <v>307</v>
      </c>
      <c r="F229" s="13">
        <v>0.30208333333333331</v>
      </c>
      <c r="G229" s="12" t="s">
        <v>400</v>
      </c>
      <c r="H229" s="13">
        <v>0.36805555555555558</v>
      </c>
      <c r="I229" s="26"/>
      <c r="J229" s="15" t="s">
        <v>371</v>
      </c>
      <c r="K229" s="22">
        <v>0</v>
      </c>
      <c r="L229" s="15" t="s">
        <v>310</v>
      </c>
      <c r="M229" s="15"/>
    </row>
    <row r="230" spans="1:13" hidden="1">
      <c r="A230" s="14">
        <v>245</v>
      </c>
      <c r="B230" s="42">
        <v>46204</v>
      </c>
      <c r="C230" s="12" t="s">
        <v>306</v>
      </c>
      <c r="D230" s="12" t="s">
        <v>401</v>
      </c>
      <c r="E230" s="12" t="s">
        <v>400</v>
      </c>
      <c r="F230" s="13">
        <v>0.80208333333333337</v>
      </c>
      <c r="G230" s="12" t="s">
        <v>307</v>
      </c>
      <c r="H230" s="13">
        <v>0.87152777777777779</v>
      </c>
      <c r="I230" s="26"/>
      <c r="J230" s="15" t="s">
        <v>371</v>
      </c>
      <c r="K230" s="22">
        <v>0</v>
      </c>
      <c r="L230" s="15" t="s">
        <v>310</v>
      </c>
      <c r="M230" s="15"/>
    </row>
    <row r="231" spans="1:13" hidden="1">
      <c r="A231" s="14">
        <v>246</v>
      </c>
      <c r="B231" s="42">
        <v>46177</v>
      </c>
      <c r="C231" s="12" t="s">
        <v>306</v>
      </c>
      <c r="D231" s="12" t="s">
        <v>402</v>
      </c>
      <c r="E231" s="12" t="s">
        <v>307</v>
      </c>
      <c r="F231" s="13">
        <v>0.30208333333333331</v>
      </c>
      <c r="G231" s="12" t="s">
        <v>403</v>
      </c>
      <c r="H231" s="13">
        <v>0.36805555555555558</v>
      </c>
      <c r="I231" s="26"/>
      <c r="J231" s="15" t="s">
        <v>371</v>
      </c>
      <c r="K231" s="22">
        <v>0</v>
      </c>
      <c r="L231" s="15" t="s">
        <v>310</v>
      </c>
      <c r="M231" s="15"/>
    </row>
    <row r="232" spans="1:13" hidden="1">
      <c r="A232" s="14">
        <v>247</v>
      </c>
      <c r="B232" s="42">
        <v>46177</v>
      </c>
      <c r="C232" s="12" t="s">
        <v>306</v>
      </c>
      <c r="D232" s="12" t="s">
        <v>404</v>
      </c>
      <c r="E232" s="12" t="s">
        <v>403</v>
      </c>
      <c r="F232" s="13">
        <v>0.80208333333333337</v>
      </c>
      <c r="G232" s="12" t="s">
        <v>307</v>
      </c>
      <c r="H232" s="13">
        <v>0.87152777777777779</v>
      </c>
      <c r="I232" s="26"/>
      <c r="J232" s="15" t="s">
        <v>371</v>
      </c>
      <c r="K232" s="22">
        <v>0</v>
      </c>
      <c r="L232" s="15" t="s">
        <v>310</v>
      </c>
      <c r="M232" s="15"/>
    </row>
    <row r="233" spans="1:13" hidden="1">
      <c r="A233" s="14">
        <v>248</v>
      </c>
      <c r="B233" s="42">
        <v>46265</v>
      </c>
      <c r="C233" s="12" t="s">
        <v>306</v>
      </c>
      <c r="D233" s="12" t="s">
        <v>405</v>
      </c>
      <c r="E233" s="12" t="s">
        <v>307</v>
      </c>
      <c r="F233" s="13">
        <v>0.43055555555555558</v>
      </c>
      <c r="G233" s="12" t="s">
        <v>359</v>
      </c>
      <c r="H233" s="13">
        <v>0.4826388888888889</v>
      </c>
      <c r="I233" s="26"/>
      <c r="J233" s="15" t="s">
        <v>371</v>
      </c>
      <c r="K233" s="22">
        <v>0</v>
      </c>
      <c r="L233" s="15" t="s">
        <v>310</v>
      </c>
      <c r="M233" s="15"/>
    </row>
    <row r="234" spans="1:13" hidden="1">
      <c r="A234" s="14">
        <v>249</v>
      </c>
      <c r="B234" s="42">
        <v>46266</v>
      </c>
      <c r="C234" s="12" t="s">
        <v>306</v>
      </c>
      <c r="D234" s="12" t="s">
        <v>392</v>
      </c>
      <c r="E234" s="12" t="s">
        <v>359</v>
      </c>
      <c r="F234" s="13">
        <v>0.72916666666666663</v>
      </c>
      <c r="G234" s="12" t="s">
        <v>307</v>
      </c>
      <c r="H234" s="13">
        <v>0.78125</v>
      </c>
      <c r="I234" s="26"/>
      <c r="J234" s="15" t="s">
        <v>371</v>
      </c>
      <c r="K234" s="22">
        <v>0</v>
      </c>
      <c r="L234" s="15" t="s">
        <v>310</v>
      </c>
      <c r="M234" s="15"/>
    </row>
    <row r="235" spans="1:13">
      <c r="A235" s="14">
        <v>250</v>
      </c>
      <c r="B235" s="42">
        <v>46281</v>
      </c>
      <c r="C235" s="12" t="s">
        <v>306</v>
      </c>
      <c r="D235" s="12" t="s">
        <v>405</v>
      </c>
      <c r="E235" s="12" t="s">
        <v>307</v>
      </c>
      <c r="F235" s="13">
        <v>0.43055555555555558</v>
      </c>
      <c r="G235" s="12" t="s">
        <v>359</v>
      </c>
      <c r="H235" s="13">
        <v>0.4861111111111111</v>
      </c>
      <c r="I235" s="26"/>
      <c r="J235" s="15" t="s">
        <v>371</v>
      </c>
      <c r="K235" s="22">
        <v>0</v>
      </c>
      <c r="L235" s="15" t="s">
        <v>310</v>
      </c>
      <c r="M235" s="15"/>
    </row>
    <row r="236" spans="1:13">
      <c r="A236" s="14">
        <v>251</v>
      </c>
      <c r="B236" s="42">
        <v>46282</v>
      </c>
      <c r="C236" s="12" t="s">
        <v>306</v>
      </c>
      <c r="D236" s="12" t="s">
        <v>406</v>
      </c>
      <c r="E236" s="12" t="s">
        <v>359</v>
      </c>
      <c r="F236" s="13">
        <v>0.72916666666666663</v>
      </c>
      <c r="G236" s="12" t="s">
        <v>307</v>
      </c>
      <c r="H236" s="13">
        <v>0.78125</v>
      </c>
      <c r="I236" s="26"/>
      <c r="J236" s="15" t="s">
        <v>371</v>
      </c>
      <c r="K236" s="22">
        <v>0</v>
      </c>
      <c r="L236" s="15" t="s">
        <v>310</v>
      </c>
      <c r="M236" s="15"/>
    </row>
    <row r="237" spans="1:13">
      <c r="A237" s="14">
        <v>252</v>
      </c>
      <c r="B237" s="42">
        <v>46311</v>
      </c>
      <c r="C237" s="12" t="s">
        <v>306</v>
      </c>
      <c r="D237" s="12" t="s">
        <v>390</v>
      </c>
      <c r="E237" s="12" t="s">
        <v>307</v>
      </c>
      <c r="F237" s="13">
        <v>0.4375</v>
      </c>
      <c r="G237" s="12" t="s">
        <v>342</v>
      </c>
      <c r="H237" s="13">
        <v>0.4826388888888889</v>
      </c>
      <c r="I237" s="26"/>
      <c r="J237" s="15" t="s">
        <v>371</v>
      </c>
      <c r="K237" s="22">
        <v>0</v>
      </c>
      <c r="L237" s="15"/>
      <c r="M237" s="15"/>
    </row>
    <row r="238" spans="1:13">
      <c r="A238" s="14">
        <v>253</v>
      </c>
      <c r="B238" s="42">
        <v>46312</v>
      </c>
      <c r="C238" s="12" t="s">
        <v>306</v>
      </c>
      <c r="D238" s="12" t="s">
        <v>407</v>
      </c>
      <c r="E238" s="12" t="s">
        <v>342</v>
      </c>
      <c r="F238" s="13">
        <v>0.35069444444444442</v>
      </c>
      <c r="G238" s="12" t="s">
        <v>307</v>
      </c>
      <c r="H238" s="13">
        <v>0.39930555555555558</v>
      </c>
      <c r="I238" s="26"/>
      <c r="J238" s="15" t="s">
        <v>371</v>
      </c>
      <c r="K238" s="22">
        <v>0</v>
      </c>
      <c r="L238" s="15"/>
      <c r="M238" s="15"/>
    </row>
    <row r="239" spans="1:13">
      <c r="A239" s="14">
        <v>254</v>
      </c>
      <c r="B239" s="42">
        <v>46320</v>
      </c>
      <c r="C239" s="12" t="s">
        <v>306</v>
      </c>
      <c r="D239" s="12" t="s">
        <v>405</v>
      </c>
      <c r="E239" s="12" t="s">
        <v>307</v>
      </c>
      <c r="F239" s="13">
        <v>0.43055555555555558</v>
      </c>
      <c r="G239" s="12" t="s">
        <v>359</v>
      </c>
      <c r="H239" s="13">
        <v>0.4861111111111111</v>
      </c>
      <c r="I239" s="26"/>
      <c r="J239" s="15" t="s">
        <v>371</v>
      </c>
      <c r="K239" s="22">
        <v>0</v>
      </c>
      <c r="L239" s="15" t="s">
        <v>310</v>
      </c>
      <c r="M239" s="15"/>
    </row>
    <row r="240" spans="1:13">
      <c r="A240" s="14">
        <v>255</v>
      </c>
      <c r="B240" s="42">
        <v>46286</v>
      </c>
      <c r="C240" s="12" t="s">
        <v>306</v>
      </c>
      <c r="D240" s="12" t="s">
        <v>406</v>
      </c>
      <c r="E240" s="12" t="s">
        <v>359</v>
      </c>
      <c r="F240" s="13">
        <v>0.72916666666666663</v>
      </c>
      <c r="G240" s="12" t="s">
        <v>307</v>
      </c>
      <c r="H240" s="13">
        <v>0.78125</v>
      </c>
      <c r="I240" s="26"/>
      <c r="J240" s="15" t="s">
        <v>371</v>
      </c>
      <c r="K240" s="22">
        <v>0</v>
      </c>
      <c r="L240" s="15" t="s">
        <v>310</v>
      </c>
      <c r="M240" s="15"/>
    </row>
    <row r="241" spans="1:13" ht="14.25">
      <c r="A241" s="14">
        <v>256</v>
      </c>
      <c r="B241" s="42"/>
      <c r="C241" s="61"/>
      <c r="D241" s="61"/>
      <c r="E241" s="61"/>
      <c r="F241" s="62"/>
      <c r="G241" s="61"/>
      <c r="H241" s="62"/>
      <c r="I241" s="61"/>
      <c r="J241" s="15"/>
      <c r="K241" s="22"/>
      <c r="L241" s="15"/>
      <c r="M241" s="15"/>
    </row>
    <row r="242" spans="1:13" ht="14.25">
      <c r="A242" s="14">
        <v>257</v>
      </c>
      <c r="B242" s="42"/>
      <c r="C242" s="61"/>
      <c r="D242" s="61"/>
      <c r="E242" s="61"/>
      <c r="F242" s="62"/>
      <c r="G242" s="61"/>
      <c r="H242" s="62"/>
      <c r="I242" s="61"/>
      <c r="J242" s="15"/>
      <c r="K242" s="22"/>
      <c r="L242" s="15"/>
      <c r="M242" s="15"/>
    </row>
    <row r="243" spans="1:13" ht="14.25">
      <c r="A243" s="14">
        <v>258</v>
      </c>
      <c r="B243" s="42"/>
      <c r="C243" s="61"/>
      <c r="D243" s="61"/>
      <c r="E243" s="61"/>
      <c r="F243" s="62"/>
      <c r="G243" s="61"/>
      <c r="H243" s="62"/>
      <c r="I243" s="61"/>
      <c r="J243" s="15"/>
      <c r="K243" s="22"/>
      <c r="L243" s="15"/>
      <c r="M243" s="15"/>
    </row>
    <row r="244" spans="1:13" ht="14.25">
      <c r="A244" s="14">
        <v>259</v>
      </c>
      <c r="B244" s="42"/>
      <c r="C244" s="61"/>
      <c r="D244" s="61"/>
      <c r="E244" s="61"/>
      <c r="F244" s="62"/>
      <c r="G244" s="61"/>
      <c r="H244" s="62"/>
      <c r="I244" s="61"/>
      <c r="J244" s="15"/>
      <c r="K244" s="22"/>
      <c r="L244" s="15"/>
      <c r="M244" s="15"/>
    </row>
    <row r="245" spans="1:13" ht="14.25">
      <c r="A245" s="14">
        <v>260</v>
      </c>
      <c r="B245" s="42"/>
      <c r="C245" s="61"/>
      <c r="D245" s="61"/>
      <c r="E245" s="61"/>
      <c r="F245" s="62"/>
      <c r="G245" s="61"/>
      <c r="H245" s="62"/>
      <c r="I245" s="61"/>
      <c r="J245" s="15"/>
      <c r="K245" s="22"/>
      <c r="L245" s="15"/>
      <c r="M245" s="15"/>
    </row>
    <row r="246" spans="1:13" ht="14.25">
      <c r="A246" s="14">
        <v>261</v>
      </c>
      <c r="B246" s="42"/>
      <c r="C246" s="61"/>
      <c r="D246" s="61"/>
      <c r="E246" s="61"/>
      <c r="F246" s="62"/>
      <c r="G246" s="61"/>
      <c r="H246" s="62"/>
      <c r="I246" s="61"/>
      <c r="J246" s="15"/>
      <c r="K246" s="22"/>
      <c r="L246" s="15"/>
      <c r="M246" s="15"/>
    </row>
    <row r="247" spans="1:13" ht="14.25">
      <c r="A247" s="14">
        <v>262</v>
      </c>
      <c r="B247" s="42"/>
      <c r="C247" s="61"/>
      <c r="D247" s="61"/>
      <c r="E247" s="61"/>
      <c r="F247" s="62"/>
      <c r="G247" s="61"/>
      <c r="H247" s="62"/>
      <c r="I247" s="61"/>
      <c r="J247" s="15"/>
      <c r="K247" s="22"/>
      <c r="L247" s="15"/>
      <c r="M247" s="15"/>
    </row>
    <row r="248" spans="1:13" ht="14.25">
      <c r="A248" s="14">
        <v>263</v>
      </c>
      <c r="B248" s="42"/>
      <c r="C248" s="61"/>
      <c r="D248" s="61"/>
      <c r="E248" s="61"/>
      <c r="F248" s="62"/>
      <c r="G248" s="61"/>
      <c r="H248" s="62"/>
      <c r="I248" s="61"/>
      <c r="J248" s="15"/>
      <c r="K248" s="22"/>
      <c r="L248" s="15"/>
      <c r="M248" s="15"/>
    </row>
    <row r="249" spans="1:13" ht="14.25">
      <c r="A249" s="14">
        <v>264</v>
      </c>
      <c r="B249" s="42"/>
      <c r="C249" s="61"/>
      <c r="D249" s="61"/>
      <c r="E249" s="61"/>
      <c r="F249" s="62"/>
      <c r="G249" s="61"/>
      <c r="H249" s="62"/>
      <c r="I249" s="61"/>
      <c r="J249" s="15"/>
      <c r="K249" s="22"/>
      <c r="L249" s="15"/>
      <c r="M249" s="15"/>
    </row>
    <row r="250" spans="1:13" ht="14.25">
      <c r="A250" s="14">
        <v>265</v>
      </c>
      <c r="B250" s="42"/>
      <c r="C250" s="61"/>
      <c r="D250" s="61"/>
      <c r="E250" s="61"/>
      <c r="F250" s="62"/>
      <c r="G250" s="61"/>
      <c r="H250" s="62"/>
      <c r="I250" s="61"/>
      <c r="J250" s="15"/>
      <c r="K250" s="22"/>
      <c r="L250" s="15"/>
      <c r="M250" s="15"/>
    </row>
    <row r="251" spans="1:13" ht="14.25">
      <c r="A251" s="14">
        <v>266</v>
      </c>
      <c r="B251" s="42"/>
      <c r="C251" s="61"/>
      <c r="D251" s="61"/>
      <c r="E251" s="61"/>
      <c r="F251" s="62"/>
      <c r="G251" s="61"/>
      <c r="H251" s="62"/>
      <c r="I251" s="61"/>
      <c r="J251" s="15"/>
      <c r="K251" s="22"/>
      <c r="L251" s="15"/>
      <c r="M251" s="15"/>
    </row>
    <row r="252" spans="1:13" ht="14.25">
      <c r="A252" s="14">
        <v>267</v>
      </c>
      <c r="B252" s="42"/>
      <c r="C252" s="61"/>
      <c r="D252" s="61"/>
      <c r="E252" s="61"/>
      <c r="F252" s="62"/>
      <c r="G252" s="61"/>
      <c r="H252" s="62"/>
      <c r="I252" s="61"/>
      <c r="J252" s="15"/>
      <c r="K252" s="22"/>
      <c r="L252" s="15"/>
      <c r="M252" s="15"/>
    </row>
    <row r="253" spans="1:13" ht="14.25">
      <c r="A253" s="14">
        <v>268</v>
      </c>
      <c r="B253" s="42"/>
      <c r="C253" s="61"/>
      <c r="D253" s="61"/>
      <c r="E253" s="61"/>
      <c r="F253" s="62"/>
      <c r="G253" s="61"/>
      <c r="H253" s="62"/>
      <c r="I253" s="61"/>
      <c r="J253" s="15"/>
      <c r="K253" s="22"/>
      <c r="L253" s="15"/>
      <c r="M253" s="15"/>
    </row>
    <row r="254" spans="1:13" ht="14.25">
      <c r="A254" s="14">
        <v>269</v>
      </c>
      <c r="B254" s="42"/>
      <c r="C254" s="61"/>
      <c r="D254" s="61"/>
      <c r="E254" s="61"/>
      <c r="F254" s="62"/>
      <c r="G254" s="61"/>
      <c r="H254" s="62"/>
      <c r="I254" s="61"/>
      <c r="J254" s="15"/>
      <c r="K254" s="22"/>
      <c r="L254" s="15"/>
      <c r="M254" s="15"/>
    </row>
    <row r="255" spans="1:13" ht="14.25">
      <c r="A255" s="14">
        <v>270</v>
      </c>
      <c r="B255" s="42"/>
      <c r="C255" s="61"/>
      <c r="D255" s="61"/>
      <c r="E255" s="61"/>
      <c r="F255" s="62"/>
      <c r="G255" s="61"/>
      <c r="H255" s="62"/>
      <c r="I255" s="61"/>
      <c r="J255" s="15"/>
      <c r="K255" s="22"/>
      <c r="L255" s="15"/>
      <c r="M255" s="15"/>
    </row>
    <row r="256" spans="1:13" ht="14.25">
      <c r="A256" s="14">
        <v>271</v>
      </c>
      <c r="B256" s="42"/>
      <c r="C256" s="61"/>
      <c r="D256" s="61"/>
      <c r="E256" s="61"/>
      <c r="F256" s="62"/>
      <c r="G256" s="61"/>
      <c r="H256" s="62"/>
      <c r="I256" s="61"/>
      <c r="J256" s="15"/>
      <c r="K256" s="22"/>
      <c r="L256" s="15"/>
      <c r="M256" s="15"/>
    </row>
    <row r="257" spans="1:13" ht="14.25">
      <c r="A257" s="14">
        <v>272</v>
      </c>
      <c r="B257" s="42"/>
      <c r="C257" s="61"/>
      <c r="D257" s="61"/>
      <c r="E257" s="61"/>
      <c r="F257" s="62"/>
      <c r="G257" s="61"/>
      <c r="H257" s="62"/>
      <c r="I257" s="61"/>
      <c r="J257" s="15"/>
      <c r="K257" s="22"/>
      <c r="L257" s="15"/>
      <c r="M257" s="15"/>
    </row>
    <row r="258" spans="1:13" ht="14.25">
      <c r="A258" s="14">
        <v>273</v>
      </c>
      <c r="B258" s="42"/>
      <c r="C258" s="61"/>
      <c r="D258" s="61"/>
      <c r="E258" s="61"/>
      <c r="F258" s="62"/>
      <c r="G258" s="61"/>
      <c r="H258" s="62"/>
      <c r="I258" s="61"/>
      <c r="J258" s="15"/>
      <c r="K258" s="22"/>
      <c r="L258" s="15"/>
      <c r="M258" s="15"/>
    </row>
    <row r="259" spans="1:13" ht="14.25">
      <c r="A259" s="14">
        <v>274</v>
      </c>
      <c r="B259" s="42"/>
      <c r="C259" s="61"/>
      <c r="D259" s="61"/>
      <c r="E259" s="61"/>
      <c r="F259" s="62"/>
      <c r="G259" s="61"/>
      <c r="H259" s="62"/>
      <c r="I259" s="61"/>
      <c r="J259" s="15"/>
      <c r="K259" s="22"/>
      <c r="L259" s="15"/>
      <c r="M259" s="15"/>
    </row>
    <row r="260" spans="1:13" ht="14.25">
      <c r="A260" s="14">
        <v>275</v>
      </c>
      <c r="B260" s="42"/>
      <c r="C260" s="61"/>
      <c r="D260" s="61"/>
      <c r="E260" s="61"/>
      <c r="F260" s="62"/>
      <c r="G260" s="61"/>
      <c r="H260" s="62"/>
      <c r="I260" s="61"/>
      <c r="J260" s="15"/>
      <c r="K260" s="15"/>
      <c r="L260" s="15"/>
      <c r="M260" s="15"/>
    </row>
    <row r="261" spans="1:13">
      <c r="A261" s="14">
        <v>276</v>
      </c>
      <c r="B261" s="42"/>
      <c r="C261" s="12"/>
      <c r="D261" s="12"/>
      <c r="E261" s="12"/>
      <c r="F261" s="13"/>
      <c r="G261" s="12"/>
      <c r="H261" s="13"/>
      <c r="I261" s="15"/>
      <c r="J261" s="15"/>
      <c r="K261" s="15"/>
      <c r="L261" s="15"/>
      <c r="M261" s="15"/>
    </row>
    <row r="262" spans="1:13">
      <c r="A262" s="14">
        <v>277</v>
      </c>
      <c r="B262" s="42"/>
      <c r="C262" s="12"/>
      <c r="D262" s="12"/>
      <c r="E262" s="12"/>
      <c r="F262" s="13"/>
      <c r="G262" s="12"/>
      <c r="H262" s="13"/>
      <c r="I262" s="15"/>
      <c r="J262" s="15"/>
      <c r="K262" s="15"/>
      <c r="L262" s="15"/>
      <c r="M262" s="15"/>
    </row>
    <row r="263" spans="1:13">
      <c r="A263" s="14">
        <v>278</v>
      </c>
      <c r="B263" s="42"/>
      <c r="C263" s="19"/>
      <c r="D263" s="19"/>
      <c r="E263" s="19"/>
      <c r="F263" s="20"/>
      <c r="G263" s="19"/>
      <c r="H263" s="20"/>
      <c r="I263" s="21"/>
      <c r="J263" s="21"/>
      <c r="K263" s="21"/>
      <c r="L263" s="21"/>
      <c r="M263" s="21"/>
    </row>
    <row r="274" spans="10:11">
      <c r="J274" t="s">
        <v>408</v>
      </c>
      <c r="K274" s="11">
        <f>SUM(テーブル4[料金])</f>
        <v>1363524</v>
      </c>
    </row>
    <row r="275" spans="10:11">
      <c r="J275" t="s">
        <v>409</v>
      </c>
      <c r="K275">
        <f>COUNTA(テーブル4[料金])*5</f>
        <v>1175</v>
      </c>
    </row>
    <row r="276" spans="10:11">
      <c r="J276" t="s">
        <v>5</v>
      </c>
      <c r="K276">
        <f>COUNTA(テーブル4[料金])</f>
        <v>235</v>
      </c>
    </row>
    <row r="277" spans="10:11">
      <c r="J277" t="s">
        <v>410</v>
      </c>
      <c r="K277" s="41">
        <f>K274/K275</f>
        <v>1160.4459574468085</v>
      </c>
    </row>
    <row r="289" spans="1:8">
      <c r="A289" s="24" t="s">
        <v>294</v>
      </c>
      <c r="B289" s="24" t="s">
        <v>295</v>
      </c>
      <c r="C289" s="24" t="s">
        <v>296</v>
      </c>
      <c r="D289" s="24" t="s">
        <v>297</v>
      </c>
      <c r="E289" s="24" t="s">
        <v>298</v>
      </c>
      <c r="F289" s="24" t="s">
        <v>299</v>
      </c>
      <c r="G289" s="24" t="s">
        <v>300</v>
      </c>
      <c r="H289" s="24" t="s">
        <v>301</v>
      </c>
    </row>
    <row r="290" spans="1:8">
      <c r="A290">
        <v>1</v>
      </c>
      <c r="B290" t="s">
        <v>317</v>
      </c>
      <c r="C290">
        <v>51</v>
      </c>
      <c r="D290" t="s">
        <v>308</v>
      </c>
      <c r="E290" s="25">
        <v>0.2986111111111111</v>
      </c>
      <c r="F290" t="s">
        <v>318</v>
      </c>
      <c r="G290" s="25">
        <v>0.36805555555555558</v>
      </c>
      <c r="H290" t="s">
        <v>309</v>
      </c>
    </row>
    <row r="291" spans="1:8">
      <c r="A291">
        <v>2</v>
      </c>
      <c r="B291" t="s">
        <v>322</v>
      </c>
      <c r="C291">
        <v>873</v>
      </c>
      <c r="D291" t="s">
        <v>318</v>
      </c>
      <c r="E291" s="25">
        <v>0.41319444444444442</v>
      </c>
      <c r="F291" t="s">
        <v>344</v>
      </c>
      <c r="G291" s="25">
        <v>0.43402777777777779</v>
      </c>
      <c r="H291" t="s">
        <v>411</v>
      </c>
    </row>
    <row r="292" spans="1:8">
      <c r="A292">
        <v>3</v>
      </c>
      <c r="B292" t="s">
        <v>322</v>
      </c>
      <c r="C292">
        <v>874</v>
      </c>
      <c r="D292" t="s">
        <v>344</v>
      </c>
      <c r="E292" s="25">
        <v>0.45833333333333331</v>
      </c>
      <c r="F292" t="s">
        <v>318</v>
      </c>
      <c r="G292" s="25">
        <v>0.4826388888888889</v>
      </c>
      <c r="H292" t="s">
        <v>314</v>
      </c>
    </row>
    <row r="293" spans="1:8">
      <c r="A293">
        <v>4</v>
      </c>
      <c r="B293" t="s">
        <v>317</v>
      </c>
      <c r="C293">
        <v>609</v>
      </c>
      <c r="D293" t="s">
        <v>318</v>
      </c>
      <c r="E293" s="25">
        <v>0.53472222222222221</v>
      </c>
      <c r="F293" t="s">
        <v>321</v>
      </c>
      <c r="G293" s="25">
        <v>0.57291666666666663</v>
      </c>
      <c r="H293" t="s">
        <v>412</v>
      </c>
    </row>
    <row r="294" spans="1:8">
      <c r="A294">
        <v>5</v>
      </c>
      <c r="B294" t="s">
        <v>317</v>
      </c>
      <c r="C294">
        <v>614</v>
      </c>
      <c r="D294" t="s">
        <v>321</v>
      </c>
      <c r="E294" s="25">
        <v>0.60069444444444442</v>
      </c>
      <c r="F294" t="s">
        <v>318</v>
      </c>
      <c r="G294" s="25">
        <v>0.64583333333333337</v>
      </c>
      <c r="H294" t="s">
        <v>319</v>
      </c>
    </row>
    <row r="295" spans="1:8">
      <c r="A295">
        <v>6</v>
      </c>
      <c r="B295" t="s">
        <v>317</v>
      </c>
      <c r="C295">
        <v>567</v>
      </c>
      <c r="D295" t="s">
        <v>318</v>
      </c>
      <c r="E295" s="25">
        <v>0.67361111111111116</v>
      </c>
      <c r="F295" t="s">
        <v>325</v>
      </c>
      <c r="G295" s="25">
        <v>0.70833333333333337</v>
      </c>
      <c r="H295" t="s">
        <v>319</v>
      </c>
    </row>
    <row r="296" spans="1:8">
      <c r="A296">
        <v>7</v>
      </c>
      <c r="B296" t="s">
        <v>317</v>
      </c>
      <c r="C296">
        <v>566</v>
      </c>
      <c r="D296" t="s">
        <v>325</v>
      </c>
      <c r="E296" s="25">
        <v>0.73611111111111116</v>
      </c>
      <c r="F296" t="s">
        <v>318</v>
      </c>
      <c r="G296" s="25">
        <v>0.77430555555555558</v>
      </c>
      <c r="H296" t="s">
        <v>319</v>
      </c>
    </row>
    <row r="297" spans="1:8">
      <c r="A297">
        <v>8</v>
      </c>
      <c r="B297" t="s">
        <v>306</v>
      </c>
      <c r="C297">
        <v>920</v>
      </c>
      <c r="D297" t="s">
        <v>318</v>
      </c>
      <c r="E297" s="25">
        <v>0.80902777777777779</v>
      </c>
      <c r="F297" t="s">
        <v>307</v>
      </c>
      <c r="G297" s="25">
        <v>0.91666666666666663</v>
      </c>
      <c r="H297" t="s">
        <v>413</v>
      </c>
    </row>
    <row r="300" spans="1:8">
      <c r="A300" s="24" t="s">
        <v>294</v>
      </c>
      <c r="B300" s="24" t="s">
        <v>295</v>
      </c>
      <c r="C300" s="24" t="s">
        <v>296</v>
      </c>
      <c r="D300" s="24" t="s">
        <v>297</v>
      </c>
      <c r="E300" s="24" t="s">
        <v>298</v>
      </c>
      <c r="F300" s="24" t="s">
        <v>299</v>
      </c>
      <c r="G300" s="24" t="s">
        <v>300</v>
      </c>
      <c r="H300" s="24" t="s">
        <v>301</v>
      </c>
    </row>
    <row r="301" spans="1:8">
      <c r="A301">
        <v>1</v>
      </c>
      <c r="B301" t="s">
        <v>317</v>
      </c>
      <c r="C301">
        <v>51</v>
      </c>
      <c r="D301" t="s">
        <v>308</v>
      </c>
      <c r="E301" s="25">
        <v>0.2986111111111111</v>
      </c>
      <c r="F301" t="s">
        <v>318</v>
      </c>
      <c r="G301" s="25">
        <v>0.36805555555555558</v>
      </c>
      <c r="H301" t="s">
        <v>309</v>
      </c>
    </row>
    <row r="302" spans="1:8">
      <c r="A302">
        <v>2</v>
      </c>
      <c r="B302" t="s">
        <v>317</v>
      </c>
      <c r="C302">
        <v>605</v>
      </c>
      <c r="D302" t="s">
        <v>318</v>
      </c>
      <c r="E302" s="25">
        <v>0.39583333333333331</v>
      </c>
      <c r="F302" t="s">
        <v>321</v>
      </c>
      <c r="G302" s="25">
        <v>0.43402777777777779</v>
      </c>
      <c r="H302" t="s">
        <v>319</v>
      </c>
    </row>
    <row r="303" spans="1:8">
      <c r="A303">
        <v>3</v>
      </c>
      <c r="B303" t="s">
        <v>322</v>
      </c>
      <c r="C303">
        <v>743</v>
      </c>
      <c r="D303" t="s">
        <v>321</v>
      </c>
      <c r="E303" s="25">
        <v>0.52430555555555558</v>
      </c>
      <c r="F303" t="s">
        <v>323</v>
      </c>
      <c r="G303" s="25">
        <v>0.54513888888888884</v>
      </c>
      <c r="H303" t="s">
        <v>324</v>
      </c>
    </row>
    <row r="304" spans="1:8">
      <c r="A304">
        <v>4</v>
      </c>
      <c r="B304" t="s">
        <v>322</v>
      </c>
      <c r="C304">
        <v>744</v>
      </c>
      <c r="D304" t="s">
        <v>323</v>
      </c>
      <c r="E304" s="25">
        <v>0.56597222222222221</v>
      </c>
      <c r="F304" t="s">
        <v>321</v>
      </c>
      <c r="G304" s="25">
        <v>0.58680555555555558</v>
      </c>
      <c r="H304" t="s">
        <v>316</v>
      </c>
    </row>
    <row r="305" spans="1:9">
      <c r="A305">
        <v>5</v>
      </c>
      <c r="B305" t="s">
        <v>322</v>
      </c>
      <c r="C305">
        <v>834</v>
      </c>
      <c r="D305" t="s">
        <v>321</v>
      </c>
      <c r="E305" s="25">
        <v>0.61111111111111116</v>
      </c>
      <c r="F305" t="s">
        <v>325</v>
      </c>
      <c r="G305" s="25">
        <v>0.63194444444444442</v>
      </c>
      <c r="H305" t="s">
        <v>314</v>
      </c>
    </row>
    <row r="306" spans="1:9">
      <c r="A306">
        <v>6</v>
      </c>
      <c r="B306" t="s">
        <v>317</v>
      </c>
      <c r="C306">
        <v>564</v>
      </c>
      <c r="D306" t="s">
        <v>325</v>
      </c>
      <c r="E306" s="25">
        <v>0.69791666666666663</v>
      </c>
      <c r="F306" t="s">
        <v>318</v>
      </c>
      <c r="G306" s="25">
        <v>0.73611111111111116</v>
      </c>
      <c r="H306" t="s">
        <v>336</v>
      </c>
    </row>
    <row r="307" spans="1:9">
      <c r="A307">
        <v>7</v>
      </c>
      <c r="B307" t="s">
        <v>306</v>
      </c>
      <c r="C307">
        <v>920</v>
      </c>
      <c r="D307" t="s">
        <v>318</v>
      </c>
      <c r="E307" s="25">
        <v>0.80902777777777779</v>
      </c>
      <c r="F307" t="s">
        <v>307</v>
      </c>
      <c r="G307" s="25">
        <v>0.91666666666666663</v>
      </c>
      <c r="H307" t="s">
        <v>337</v>
      </c>
    </row>
    <row r="309" spans="1:9" ht="14.25">
      <c r="A309" s="48">
        <v>1</v>
      </c>
      <c r="B309" s="49" t="s">
        <v>306</v>
      </c>
      <c r="C309" s="49">
        <v>901</v>
      </c>
      <c r="D309" s="49" t="s">
        <v>307</v>
      </c>
      <c r="E309" s="50">
        <v>0.27083333333333331</v>
      </c>
      <c r="F309" s="49" t="s">
        <v>318</v>
      </c>
      <c r="G309" s="50">
        <v>0.375</v>
      </c>
      <c r="H309" s="51" t="s">
        <v>414</v>
      </c>
      <c r="I309" s="52"/>
    </row>
    <row r="310" spans="1:9" ht="14.25">
      <c r="A310" s="53">
        <v>2</v>
      </c>
      <c r="B310" s="54" t="s">
        <v>317</v>
      </c>
      <c r="C310" s="54">
        <v>605</v>
      </c>
      <c r="D310" s="54" t="s">
        <v>318</v>
      </c>
      <c r="E310" s="55">
        <v>0.39930555555555558</v>
      </c>
      <c r="F310" s="54" t="s">
        <v>321</v>
      </c>
      <c r="G310" s="55">
        <v>0.44097222222222221</v>
      </c>
      <c r="H310" s="54" t="s">
        <v>314</v>
      </c>
      <c r="I310" s="56"/>
    </row>
    <row r="311" spans="1:9" ht="14.25">
      <c r="A311" s="48">
        <v>3</v>
      </c>
      <c r="B311" s="49" t="s">
        <v>322</v>
      </c>
      <c r="C311" s="49">
        <v>743</v>
      </c>
      <c r="D311" s="49" t="s">
        <v>321</v>
      </c>
      <c r="E311" s="50">
        <v>0.52430555555555558</v>
      </c>
      <c r="F311" s="49" t="s">
        <v>323</v>
      </c>
      <c r="G311" s="50">
        <v>0.54513888888888884</v>
      </c>
      <c r="H311" s="49" t="s">
        <v>415</v>
      </c>
      <c r="I311" s="52"/>
    </row>
    <row r="312" spans="1:9" ht="14.25">
      <c r="A312" s="53">
        <v>4</v>
      </c>
      <c r="B312" s="54" t="s">
        <v>322</v>
      </c>
      <c r="C312" s="54">
        <v>744</v>
      </c>
      <c r="D312" s="54" t="s">
        <v>323</v>
      </c>
      <c r="E312" s="55">
        <v>0.56597222222222221</v>
      </c>
      <c r="F312" s="54" t="s">
        <v>321</v>
      </c>
      <c r="G312" s="55">
        <v>0.58680555555555558</v>
      </c>
      <c r="H312" s="54" t="s">
        <v>316</v>
      </c>
      <c r="I312" s="56"/>
    </row>
    <row r="313" spans="1:9" ht="14.25">
      <c r="A313" s="48">
        <v>5</v>
      </c>
      <c r="B313" s="49" t="s">
        <v>322</v>
      </c>
      <c r="C313" s="49">
        <v>834</v>
      </c>
      <c r="D313" s="49" t="s">
        <v>321</v>
      </c>
      <c r="E313" s="50">
        <v>0.61111111111111116</v>
      </c>
      <c r="F313" s="49" t="s">
        <v>325</v>
      </c>
      <c r="G313" s="50">
        <v>0.63194444444444442</v>
      </c>
      <c r="H313" s="49" t="s">
        <v>314</v>
      </c>
      <c r="I313" s="52"/>
    </row>
    <row r="314" spans="1:9" ht="14.25">
      <c r="A314" s="53">
        <v>6</v>
      </c>
      <c r="B314" s="54" t="s">
        <v>322</v>
      </c>
      <c r="C314" s="54">
        <v>897</v>
      </c>
      <c r="D314" s="54" t="s">
        <v>325</v>
      </c>
      <c r="E314" s="55">
        <v>0.65277777777777779</v>
      </c>
      <c r="F314" s="54" t="s">
        <v>326</v>
      </c>
      <c r="G314" s="55">
        <v>0.67013888888888884</v>
      </c>
      <c r="H314" s="54" t="s">
        <v>316</v>
      </c>
      <c r="I314" s="56"/>
    </row>
    <row r="315" spans="1:9" ht="14.25">
      <c r="A315" s="48">
        <v>7</v>
      </c>
      <c r="B315" s="49" t="s">
        <v>322</v>
      </c>
      <c r="C315" s="49">
        <v>898</v>
      </c>
      <c r="D315" s="49" t="s">
        <v>326</v>
      </c>
      <c r="E315" s="50">
        <v>0.69444444444444442</v>
      </c>
      <c r="F315" s="49" t="s">
        <v>325</v>
      </c>
      <c r="G315" s="50">
        <v>0.71180555555555558</v>
      </c>
      <c r="H315" s="49" t="s">
        <v>314</v>
      </c>
      <c r="I315" s="52"/>
    </row>
    <row r="316" spans="1:9" ht="14.25">
      <c r="A316" s="53">
        <v>8</v>
      </c>
      <c r="B316" s="54" t="s">
        <v>317</v>
      </c>
      <c r="C316" s="54">
        <v>572</v>
      </c>
      <c r="D316" s="54" t="s">
        <v>325</v>
      </c>
      <c r="E316" s="55">
        <v>0.74652777777777779</v>
      </c>
      <c r="F316" s="54" t="s">
        <v>318</v>
      </c>
      <c r="G316" s="55">
        <v>0.78472222222222221</v>
      </c>
      <c r="H316" s="54" t="s">
        <v>413</v>
      </c>
      <c r="I316" s="56"/>
    </row>
    <row r="317" spans="1:9" ht="14.25">
      <c r="A317" s="57">
        <v>9</v>
      </c>
      <c r="B317" s="58" t="s">
        <v>306</v>
      </c>
      <c r="C317" s="58">
        <v>920</v>
      </c>
      <c r="D317" s="58" t="s">
        <v>318</v>
      </c>
      <c r="E317" s="59">
        <v>0.8125</v>
      </c>
      <c r="F317" s="58" t="s">
        <v>307</v>
      </c>
      <c r="G317" s="59">
        <v>0.91666666666666663</v>
      </c>
      <c r="H317" s="58" t="s">
        <v>319</v>
      </c>
      <c r="I317" s="6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F528D9-979E-2B4B-9288-F53981AFF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賢一 大嶺</cp:lastModifiedBy>
  <cp:revision/>
  <dcterms:created xsi:type="dcterms:W3CDTF">2024-03-06T05:46:18Z</dcterms:created>
  <dcterms:modified xsi:type="dcterms:W3CDTF">2026-09-20T00:12:25Z</dcterms:modified>
  <cp:category/>
  <cp:contentStatus/>
</cp:coreProperties>
</file>