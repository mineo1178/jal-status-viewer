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19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hiraizumitatsuya/Desktop/"/>
    </mc:Choice>
  </mc:AlternateContent>
  <xr:revisionPtr revIDLastSave="0" documentId="8_{4E3CA0D5-3C34-4F5C-8CAB-440E563AAFAA}" xr6:coauthVersionLast="47" xr6:coauthVersionMax="47" xr10:uidLastSave="{00000000-0000-0000-0000-000000000000}"/>
  <bookViews>
    <workbookView xWindow="0" yWindow="500" windowWidth="33600" windowHeight="20500" firstSheet="2" activeTab="2" xr2:uid="{00000000-000D-0000-FFFF-FFFF00000000}"/>
  </bookViews>
  <sheets>
    <sheet name="マイル管理" sheetId="5" r:id="rId1"/>
    <sheet name="LSP管理" sheetId="8" r:id="rId2"/>
    <sheet name="計画" sheetId="6" r:id="rId3"/>
  </sheets>
  <definedNames>
    <definedName name="_xlnm._FilterDatabase" localSheetId="1" hidden="1">LSP管理!$B$2:$G$165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458" i="5" l="1"/>
  <c r="M458" i="5"/>
  <c r="L459" i="5"/>
  <c r="M459" i="5"/>
  <c r="L460" i="5"/>
  <c r="M460" i="5"/>
  <c r="L461" i="5"/>
  <c r="M461" i="5"/>
  <c r="L462" i="5"/>
  <c r="M462" i="5"/>
  <c r="L463" i="5"/>
  <c r="M463" i="5"/>
  <c r="L464" i="5"/>
  <c r="M464" i="5"/>
  <c r="L465" i="5"/>
  <c r="M465" i="5"/>
  <c r="L466" i="5"/>
  <c r="M466" i="5"/>
  <c r="L467" i="5"/>
  <c r="M467" i="5"/>
  <c r="L468" i="5"/>
  <c r="M468" i="5"/>
  <c r="L469" i="5"/>
  <c r="M469" i="5"/>
  <c r="L470" i="5"/>
  <c r="M470" i="5"/>
  <c r="L471" i="5"/>
  <c r="M471" i="5"/>
  <c r="L441" i="5"/>
  <c r="M441" i="5"/>
  <c r="L442" i="5"/>
  <c r="M442" i="5"/>
  <c r="L443" i="5"/>
  <c r="M443" i="5"/>
  <c r="L444" i="5"/>
  <c r="M444" i="5"/>
  <c r="L445" i="5"/>
  <c r="M445" i="5"/>
  <c r="L446" i="5"/>
  <c r="M446" i="5"/>
  <c r="L447" i="5"/>
  <c r="M447" i="5"/>
  <c r="L448" i="5"/>
  <c r="M448" i="5"/>
  <c r="L449" i="5"/>
  <c r="M449" i="5"/>
  <c r="L450" i="5"/>
  <c r="M450" i="5"/>
  <c r="L451" i="5"/>
  <c r="M451" i="5"/>
  <c r="L452" i="5"/>
  <c r="M452" i="5"/>
  <c r="L453" i="5"/>
  <c r="M453" i="5"/>
  <c r="L454" i="5"/>
  <c r="M454" i="5"/>
  <c r="L455" i="5"/>
  <c r="M455" i="5"/>
  <c r="L456" i="5"/>
  <c r="M456" i="5"/>
  <c r="L457" i="5"/>
  <c r="M457" i="5"/>
  <c r="L440" i="5"/>
  <c r="M440" i="5"/>
  <c r="L427" i="5"/>
  <c r="M427" i="5"/>
  <c r="L428" i="5"/>
  <c r="M428" i="5"/>
  <c r="L429" i="5"/>
  <c r="M429" i="5"/>
  <c r="L430" i="5"/>
  <c r="M430" i="5"/>
  <c r="L431" i="5"/>
  <c r="M431" i="5"/>
  <c r="L432" i="5"/>
  <c r="M432" i="5"/>
  <c r="L433" i="5"/>
  <c r="M433" i="5"/>
  <c r="L434" i="5"/>
  <c r="M434" i="5"/>
  <c r="L435" i="5"/>
  <c r="M435" i="5"/>
  <c r="L436" i="5"/>
  <c r="M436" i="5"/>
  <c r="L437" i="5"/>
  <c r="M437" i="5"/>
  <c r="L438" i="5"/>
  <c r="M438" i="5"/>
  <c r="L439" i="5"/>
  <c r="M439" i="5"/>
  <c r="L399" i="5"/>
  <c r="M399" i="5"/>
  <c r="L400" i="5"/>
  <c r="M400" i="5"/>
  <c r="L401" i="5"/>
  <c r="M401" i="5"/>
  <c r="L402" i="5"/>
  <c r="M402" i="5"/>
  <c r="L403" i="5"/>
  <c r="M403" i="5"/>
  <c r="L404" i="5"/>
  <c r="M404" i="5"/>
  <c r="L405" i="5"/>
  <c r="M405" i="5"/>
  <c r="L406" i="5"/>
  <c r="M406" i="5"/>
  <c r="L407" i="5"/>
  <c r="M407" i="5"/>
  <c r="L408" i="5"/>
  <c r="M408" i="5"/>
  <c r="L409" i="5"/>
  <c r="M409" i="5"/>
  <c r="L410" i="5"/>
  <c r="M410" i="5"/>
  <c r="L411" i="5"/>
  <c r="M411" i="5"/>
  <c r="L412" i="5"/>
  <c r="M412" i="5"/>
  <c r="L413" i="5"/>
  <c r="M413" i="5"/>
  <c r="L414" i="5"/>
  <c r="M414" i="5"/>
  <c r="L415" i="5"/>
  <c r="M415" i="5"/>
  <c r="L416" i="5"/>
  <c r="M416" i="5"/>
  <c r="L417" i="5"/>
  <c r="M417" i="5"/>
  <c r="L418" i="5"/>
  <c r="M418" i="5"/>
  <c r="L419" i="5"/>
  <c r="M419" i="5"/>
  <c r="L420" i="5"/>
  <c r="M420" i="5"/>
  <c r="L421" i="5"/>
  <c r="M421" i="5"/>
  <c r="L422" i="5"/>
  <c r="M422" i="5"/>
  <c r="L423" i="5"/>
  <c r="M423" i="5"/>
  <c r="L424" i="5"/>
  <c r="M424" i="5"/>
  <c r="L425" i="5"/>
  <c r="M425" i="5"/>
  <c r="L426" i="5"/>
  <c r="M426" i="5"/>
  <c r="J10" i="8"/>
  <c r="J9" i="8"/>
  <c r="J8" i="8"/>
  <c r="J7" i="8"/>
  <c r="J6" i="8"/>
  <c r="J5" i="8"/>
  <c r="J4" i="8"/>
  <c r="O19" i="5"/>
  <c r="O18" i="5"/>
  <c r="O17" i="5"/>
  <c r="O16" i="5"/>
  <c r="O15" i="5"/>
  <c r="O14" i="5"/>
  <c r="O13" i="5"/>
  <c r="O12" i="5"/>
  <c r="K139" i="6"/>
  <c r="K71" i="6"/>
  <c r="J11" i="8"/>
  <c r="J85" i="8"/>
  <c r="G163" i="8"/>
  <c r="G162" i="8" s="1"/>
  <c r="G161" i="8" s="1"/>
  <c r="G160" i="8" s="1"/>
  <c r="G159" i="8" s="1"/>
  <c r="G158" i="8" s="1"/>
  <c r="G157" i="8" s="1"/>
  <c r="G156" i="8" s="1"/>
  <c r="G155" i="8" s="1"/>
  <c r="G154" i="8" s="1"/>
  <c r="G153" i="8" s="1"/>
  <c r="G152" i="8" s="1"/>
  <c r="G151" i="8" s="1"/>
  <c r="G150" i="8" s="1"/>
  <c r="G149" i="8" s="1"/>
  <c r="G148" i="8" s="1"/>
  <c r="G147" i="8" s="1"/>
  <c r="G146" i="8" s="1"/>
  <c r="G145" i="8" s="1"/>
  <c r="G144" i="8" s="1"/>
  <c r="G143" i="8" s="1"/>
  <c r="G142" i="8" s="1"/>
  <c r="G141" i="8" s="1"/>
  <c r="G140" i="8" s="1"/>
  <c r="G139" i="8" s="1"/>
  <c r="G138" i="8" s="1"/>
  <c r="G137" i="8" s="1"/>
  <c r="G136" i="8" s="1"/>
  <c r="G135" i="8" s="1"/>
  <c r="G134" i="8" s="1"/>
  <c r="G133" i="8" s="1"/>
  <c r="G132" i="8" s="1"/>
  <c r="G131" i="8" s="1"/>
  <c r="G130" i="8" s="1"/>
  <c r="G129" i="8" s="1"/>
  <c r="G128" i="8" s="1"/>
  <c r="G127" i="8" s="1"/>
  <c r="G126" i="8" s="1"/>
  <c r="G125" i="8" s="1"/>
  <c r="G124" i="8" s="1"/>
  <c r="G123" i="8" s="1"/>
  <c r="K281" i="6"/>
  <c r="M10" i="5"/>
  <c r="M11" i="5"/>
  <c r="M12" i="5"/>
  <c r="M14" i="5"/>
  <c r="M15" i="5"/>
  <c r="M16" i="5"/>
  <c r="M17" i="5"/>
  <c r="M18" i="5"/>
  <c r="M19" i="5"/>
  <c r="M20" i="5"/>
  <c r="M21" i="5"/>
  <c r="M22" i="5"/>
  <c r="M23" i="5"/>
  <c r="M24" i="5"/>
  <c r="M25" i="5"/>
  <c r="M26" i="5"/>
  <c r="M27" i="5"/>
  <c r="M28" i="5"/>
  <c r="M29" i="5"/>
  <c r="M30" i="5"/>
  <c r="M31" i="5"/>
  <c r="M32" i="5"/>
  <c r="M33" i="5"/>
  <c r="M34" i="5"/>
  <c r="M35" i="5"/>
  <c r="M36" i="5"/>
  <c r="M37" i="5"/>
  <c r="M38" i="5"/>
  <c r="M39" i="5"/>
  <c r="M40" i="5"/>
  <c r="M41" i="5"/>
  <c r="M42" i="5"/>
  <c r="M43" i="5"/>
  <c r="M44" i="5"/>
  <c r="M45" i="5"/>
  <c r="M46" i="5"/>
  <c r="M47" i="5"/>
  <c r="M48" i="5"/>
  <c r="M49" i="5"/>
  <c r="M50" i="5"/>
  <c r="M51" i="5"/>
  <c r="M52" i="5"/>
  <c r="M53" i="5"/>
  <c r="M54" i="5"/>
  <c r="M55" i="5"/>
  <c r="M56" i="5"/>
  <c r="M57" i="5"/>
  <c r="M58" i="5"/>
  <c r="M59" i="5"/>
  <c r="M60" i="5"/>
  <c r="M61" i="5"/>
  <c r="M62" i="5"/>
  <c r="M63" i="5"/>
  <c r="M64" i="5"/>
  <c r="M65" i="5"/>
  <c r="M66" i="5"/>
  <c r="M67" i="5"/>
  <c r="M68" i="5"/>
  <c r="M69" i="5"/>
  <c r="M70" i="5"/>
  <c r="M71" i="5"/>
  <c r="M72" i="5"/>
  <c r="M73" i="5"/>
  <c r="M74" i="5"/>
  <c r="M75" i="5"/>
  <c r="M76" i="5"/>
  <c r="M77" i="5"/>
  <c r="M78" i="5"/>
  <c r="M79" i="5"/>
  <c r="M80" i="5"/>
  <c r="M81" i="5"/>
  <c r="M82" i="5"/>
  <c r="M83" i="5"/>
  <c r="M84" i="5"/>
  <c r="M85" i="5"/>
  <c r="M86" i="5"/>
  <c r="M87" i="5"/>
  <c r="M88" i="5"/>
  <c r="M89" i="5"/>
  <c r="M90" i="5"/>
  <c r="M91" i="5"/>
  <c r="M92" i="5"/>
  <c r="M93" i="5"/>
  <c r="M94" i="5"/>
  <c r="M95" i="5"/>
  <c r="M96" i="5"/>
  <c r="M97" i="5"/>
  <c r="M98" i="5"/>
  <c r="M99" i="5"/>
  <c r="M100" i="5"/>
  <c r="M101" i="5"/>
  <c r="M102" i="5"/>
  <c r="M103" i="5"/>
  <c r="M104" i="5"/>
  <c r="M105" i="5"/>
  <c r="M106" i="5"/>
  <c r="M107" i="5"/>
  <c r="M108" i="5"/>
  <c r="M109" i="5"/>
  <c r="M110" i="5"/>
  <c r="M111" i="5"/>
  <c r="M112" i="5"/>
  <c r="M113" i="5"/>
  <c r="M114" i="5"/>
  <c r="M115" i="5"/>
  <c r="M116" i="5"/>
  <c r="M117" i="5"/>
  <c r="M118" i="5"/>
  <c r="M119" i="5"/>
  <c r="M120" i="5"/>
  <c r="M121" i="5"/>
  <c r="M122" i="5"/>
  <c r="M123" i="5"/>
  <c r="M124" i="5" s="1"/>
  <c r="M125" i="5" s="1"/>
  <c r="M126" i="5" s="1"/>
  <c r="M127" i="5" s="1"/>
  <c r="M128" i="5" s="1"/>
  <c r="M129" i="5" s="1"/>
  <c r="M130" i="5" s="1"/>
  <c r="M131" i="5" s="1"/>
  <c r="M132" i="5" s="1"/>
  <c r="M133" i="5" s="1"/>
  <c r="M134" i="5" s="1"/>
  <c r="M135" i="5" s="1"/>
  <c r="M136" i="5" s="1"/>
  <c r="M137" i="5" s="1"/>
  <c r="M138" i="5" s="1"/>
  <c r="M139" i="5" s="1"/>
  <c r="M140" i="5" s="1"/>
  <c r="M141" i="5" s="1"/>
  <c r="M142" i="5" s="1"/>
  <c r="M143" i="5" s="1"/>
  <c r="M144" i="5" s="1"/>
  <c r="M145" i="5" s="1"/>
  <c r="M146" i="5" s="1"/>
  <c r="M147" i="5" s="1"/>
  <c r="M148" i="5" s="1"/>
  <c r="M149" i="5" s="1"/>
  <c r="M150" i="5" s="1"/>
  <c r="M151" i="5" s="1"/>
  <c r="M152" i="5" s="1"/>
  <c r="M153" i="5" s="1"/>
  <c r="M154" i="5" s="1"/>
  <c r="M155" i="5" s="1"/>
  <c r="M156" i="5" s="1"/>
  <c r="M157" i="5" s="1"/>
  <c r="M158" i="5" s="1"/>
  <c r="M159" i="5" s="1"/>
  <c r="M160" i="5" s="1"/>
  <c r="M161" i="5" s="1"/>
  <c r="M162" i="5" s="1"/>
  <c r="M163" i="5" s="1"/>
  <c r="M164" i="5" s="1"/>
  <c r="M165" i="5" s="1"/>
  <c r="M166" i="5" s="1"/>
  <c r="M167" i="5" s="1"/>
  <c r="M168" i="5" s="1"/>
  <c r="M169" i="5" s="1"/>
  <c r="M170" i="5" s="1"/>
  <c r="M171" i="5" s="1"/>
  <c r="M172" i="5" s="1"/>
  <c r="M173" i="5" s="1"/>
  <c r="M174" i="5" s="1"/>
  <c r="M175" i="5" s="1"/>
  <c r="M176" i="5" s="1"/>
  <c r="M177" i="5" s="1"/>
  <c r="M178" i="5" s="1"/>
  <c r="M179" i="5" s="1"/>
  <c r="M180" i="5" s="1"/>
  <c r="M181" i="5" s="1"/>
  <c r="M182" i="5" s="1"/>
  <c r="M183" i="5" s="1"/>
  <c r="M184" i="5" s="1"/>
  <c r="M185" i="5" s="1"/>
  <c r="M186" i="5" s="1"/>
  <c r="M187" i="5" s="1"/>
  <c r="M188" i="5" s="1"/>
  <c r="M189" i="5" s="1"/>
  <c r="M190" i="5" s="1"/>
  <c r="M191" i="5" s="1"/>
  <c r="M192" i="5" s="1"/>
  <c r="M193" i="5" s="1"/>
  <c r="M194" i="5" s="1"/>
  <c r="M195" i="5" s="1"/>
  <c r="M196" i="5" s="1"/>
  <c r="M197" i="5" s="1"/>
  <c r="M198" i="5" s="1"/>
  <c r="M199" i="5" s="1"/>
  <c r="M200" i="5" s="1"/>
  <c r="M201" i="5" s="1"/>
  <c r="M202" i="5" s="1"/>
  <c r="M203" i="5" s="1"/>
  <c r="M204" i="5" s="1"/>
  <c r="M205" i="5" s="1"/>
  <c r="M206" i="5" s="1"/>
  <c r="M207" i="5" s="1"/>
  <c r="M208" i="5" s="1"/>
  <c r="M209" i="5" s="1"/>
  <c r="M210" i="5" s="1"/>
  <c r="M211" i="5" s="1"/>
  <c r="M212" i="5" s="1"/>
  <c r="M213" i="5" s="1"/>
  <c r="M214" i="5" s="1"/>
  <c r="M215" i="5" s="1"/>
  <c r="M216" i="5" s="1"/>
  <c r="M217" i="5" s="1"/>
  <c r="M218" i="5" s="1"/>
  <c r="M219" i="5" s="1"/>
  <c r="M220" i="5" s="1"/>
  <c r="M221" i="5" s="1"/>
  <c r="M222" i="5" s="1"/>
  <c r="M223" i="5" s="1"/>
  <c r="M224" i="5" s="1"/>
  <c r="M225" i="5" s="1"/>
  <c r="M226" i="5" s="1"/>
  <c r="M227" i="5" s="1"/>
  <c r="M228" i="5" s="1"/>
  <c r="M229" i="5" s="1"/>
  <c r="M230" i="5" s="1"/>
  <c r="M231" i="5" s="1"/>
  <c r="M232" i="5" s="1"/>
  <c r="M233" i="5" s="1"/>
  <c r="M234" i="5" s="1"/>
  <c r="M235" i="5" s="1"/>
  <c r="M236" i="5" s="1"/>
  <c r="M237" i="5" s="1"/>
  <c r="M238" i="5" s="1"/>
  <c r="M239" i="5" s="1"/>
  <c r="M240" i="5" s="1"/>
  <c r="M241" i="5" s="1"/>
  <c r="M242" i="5" s="1"/>
  <c r="M243" i="5" s="1"/>
  <c r="M244" i="5" s="1"/>
  <c r="M245" i="5" s="1"/>
  <c r="M246" i="5" s="1"/>
  <c r="M247" i="5" s="1"/>
  <c r="M248" i="5" s="1"/>
  <c r="M249" i="5" s="1"/>
  <c r="M250" i="5" s="1"/>
  <c r="M251" i="5" s="1"/>
  <c r="M252" i="5" s="1"/>
  <c r="M253" i="5" s="1"/>
  <c r="M254" i="5" s="1"/>
  <c r="M255" i="5" s="1"/>
  <c r="M256" i="5" s="1"/>
  <c r="M257" i="5" s="1"/>
  <c r="M258" i="5" s="1"/>
  <c r="M259" i="5" s="1"/>
  <c r="M260" i="5" s="1"/>
  <c r="M261" i="5" s="1"/>
  <c r="M262" i="5" s="1"/>
  <c r="M263" i="5" s="1"/>
  <c r="M264" i="5" s="1"/>
  <c r="M265" i="5" s="1"/>
  <c r="M266" i="5" s="1"/>
  <c r="M267" i="5" s="1"/>
  <c r="M268" i="5" s="1"/>
  <c r="M269" i="5" s="1"/>
  <c r="M270" i="5" s="1"/>
  <c r="M271" i="5" s="1"/>
  <c r="M272" i="5" s="1"/>
  <c r="M273" i="5" s="1"/>
  <c r="M274" i="5" s="1"/>
  <c r="M275" i="5" s="1"/>
  <c r="M276" i="5" s="1"/>
  <c r="M277" i="5" s="1"/>
  <c r="M278" i="5" s="1"/>
  <c r="M279" i="5" s="1"/>
  <c r="M280" i="5" s="1"/>
  <c r="M281" i="5" s="1"/>
  <c r="M282" i="5" s="1"/>
  <c r="M283" i="5" s="1"/>
  <c r="M284" i="5" s="1"/>
  <c r="M285" i="5" s="1"/>
  <c r="M286" i="5" s="1"/>
  <c r="M287" i="5" s="1"/>
  <c r="M288" i="5" s="1"/>
  <c r="M289" i="5" s="1"/>
  <c r="M290" i="5" s="1"/>
  <c r="M291" i="5" s="1"/>
  <c r="M292" i="5" s="1"/>
  <c r="M293" i="5" s="1"/>
  <c r="M294" i="5" s="1"/>
  <c r="M295" i="5" s="1"/>
  <c r="M296" i="5" s="1"/>
  <c r="M297" i="5" s="1"/>
  <c r="M298" i="5" s="1"/>
  <c r="M299" i="5" s="1"/>
  <c r="M300" i="5" s="1"/>
  <c r="M301" i="5" s="1"/>
  <c r="M302" i="5" s="1"/>
  <c r="M303" i="5" s="1"/>
  <c r="M304" i="5" s="1"/>
  <c r="M305" i="5" s="1"/>
  <c r="M306" i="5" s="1"/>
  <c r="M307" i="5" s="1"/>
  <c r="M308" i="5" s="1"/>
  <c r="M309" i="5" s="1"/>
  <c r="M310" i="5" s="1"/>
  <c r="M311" i="5" s="1"/>
  <c r="M312" i="5" s="1"/>
  <c r="M313" i="5" s="1"/>
  <c r="M314" i="5" s="1"/>
  <c r="M315" i="5" s="1"/>
  <c r="M316" i="5" s="1"/>
  <c r="M317" i="5" s="1"/>
  <c r="M318" i="5" s="1"/>
  <c r="M319" i="5" s="1"/>
  <c r="M320" i="5" s="1"/>
  <c r="M321" i="5" s="1"/>
  <c r="M322" i="5" s="1"/>
  <c r="M323" i="5" s="1"/>
  <c r="M324" i="5" s="1"/>
  <c r="M325" i="5" s="1"/>
  <c r="M326" i="5" s="1"/>
  <c r="M327" i="5" s="1"/>
  <c r="M328" i="5" s="1"/>
  <c r="M329" i="5" s="1"/>
  <c r="M330" i="5" s="1"/>
  <c r="M331" i="5" s="1"/>
  <c r="M332" i="5" s="1"/>
  <c r="M333" i="5" s="1"/>
  <c r="M334" i="5" s="1"/>
  <c r="M335" i="5" s="1"/>
  <c r="M336" i="5" s="1"/>
  <c r="M337" i="5" s="1"/>
  <c r="M338" i="5" s="1"/>
  <c r="M339" i="5" s="1"/>
  <c r="M340" i="5" s="1"/>
  <c r="M341" i="5" s="1"/>
  <c r="M342" i="5" s="1"/>
  <c r="M343" i="5" s="1"/>
  <c r="M344" i="5" s="1"/>
  <c r="M345" i="5" s="1"/>
  <c r="M346" i="5" s="1"/>
  <c r="M347" i="5" s="1"/>
  <c r="M348" i="5" s="1"/>
  <c r="M349" i="5" s="1"/>
  <c r="M350" i="5" s="1"/>
  <c r="M351" i="5" s="1"/>
  <c r="M352" i="5" s="1"/>
  <c r="M353" i="5" s="1"/>
  <c r="M354" i="5" s="1"/>
  <c r="M355" i="5" s="1"/>
  <c r="M356" i="5" s="1"/>
  <c r="M357" i="5" s="1"/>
  <c r="M358" i="5" s="1"/>
  <c r="M359" i="5" s="1"/>
  <c r="M360" i="5" s="1"/>
  <c r="M361" i="5" s="1"/>
  <c r="M362" i="5" s="1"/>
  <c r="M363" i="5" s="1"/>
  <c r="M364" i="5" s="1"/>
  <c r="M365" i="5" s="1"/>
  <c r="M366" i="5" s="1"/>
  <c r="M367" i="5" s="1"/>
  <c r="M368" i="5" s="1"/>
  <c r="M369" i="5" s="1"/>
  <c r="M370" i="5" s="1"/>
  <c r="M371" i="5" s="1"/>
  <c r="M372" i="5" s="1"/>
  <c r="M373" i="5" s="1"/>
  <c r="M374" i="5" s="1"/>
  <c r="M375" i="5" s="1"/>
  <c r="M376" i="5" s="1"/>
  <c r="M377" i="5" s="1"/>
  <c r="M378" i="5" s="1"/>
  <c r="M379" i="5" s="1"/>
  <c r="M380" i="5" s="1"/>
  <c r="M381" i="5" s="1"/>
  <c r="M382" i="5" s="1"/>
  <c r="M383" i="5" s="1"/>
  <c r="M384" i="5" s="1"/>
  <c r="M385" i="5" s="1"/>
  <c r="M386" i="5" s="1"/>
  <c r="M387" i="5" s="1"/>
  <c r="M388" i="5" s="1"/>
  <c r="M389" i="5" s="1"/>
  <c r="M390" i="5" s="1"/>
  <c r="M391" i="5" s="1"/>
  <c r="M392" i="5" s="1"/>
  <c r="M393" i="5" s="1"/>
  <c r="M394" i="5" s="1"/>
  <c r="M395" i="5" s="1"/>
  <c r="M396" i="5" s="1"/>
  <c r="M397" i="5" s="1"/>
  <c r="M398" i="5" s="1"/>
  <c r="M2" i="5"/>
  <c r="M3" i="5" s="1"/>
  <c r="M4" i="5" s="1"/>
  <c r="M5" i="5" s="1"/>
  <c r="M6" i="5" s="1"/>
  <c r="M7" i="5" s="1"/>
  <c r="M8" i="5" s="1"/>
  <c r="L2" i="5"/>
  <c r="L3" i="5" s="1"/>
  <c r="L4" i="5" s="1"/>
  <c r="L5" i="5" s="1"/>
  <c r="L6" i="5" s="1"/>
  <c r="L7" i="5" s="1"/>
  <c r="L8" i="5" s="1"/>
  <c r="L9" i="5" s="1"/>
  <c r="L10" i="5" s="1"/>
  <c r="L11" i="5" s="1"/>
  <c r="L12" i="5" s="1"/>
  <c r="L14" i="5" s="1"/>
  <c r="L15" i="5" s="1"/>
  <c r="L16" i="5" s="1"/>
  <c r="L17" i="5" s="1"/>
  <c r="L18" i="5" s="1"/>
  <c r="L19" i="5" s="1"/>
  <c r="L20" i="5" s="1"/>
  <c r="L21" i="5" s="1"/>
  <c r="L22" i="5" s="1"/>
  <c r="L23" i="5" s="1"/>
  <c r="L24" i="5" s="1"/>
  <c r="L25" i="5" s="1"/>
  <c r="L26" i="5" s="1"/>
  <c r="L27" i="5" s="1"/>
  <c r="L28" i="5" s="1"/>
  <c r="L29" i="5" s="1"/>
  <c r="L30" i="5" s="1"/>
  <c r="L31" i="5" s="1"/>
  <c r="L32" i="5" s="1"/>
  <c r="L33" i="5" s="1"/>
  <c r="L34" i="5" s="1"/>
  <c r="L35" i="5" s="1"/>
  <c r="L36" i="5" s="1"/>
  <c r="L37" i="5" s="1"/>
  <c r="L38" i="5" s="1"/>
  <c r="L39" i="5" s="1"/>
  <c r="L40" i="5" s="1"/>
  <c r="L41" i="5" s="1"/>
  <c r="L42" i="5" s="1"/>
  <c r="L43" i="5" s="1"/>
  <c r="L44" i="5" s="1"/>
  <c r="L45" i="5" s="1"/>
  <c r="L46" i="5" s="1"/>
  <c r="L47" i="5" s="1"/>
  <c r="L48" i="5" s="1"/>
  <c r="L49" i="5" s="1"/>
  <c r="L50" i="5" s="1"/>
  <c r="L51" i="5" s="1"/>
  <c r="L52" i="5" s="1"/>
  <c r="L53" i="5" s="1"/>
  <c r="L54" i="5" s="1"/>
  <c r="L55" i="5" s="1"/>
  <c r="L56" i="5" s="1"/>
  <c r="L57" i="5" s="1"/>
  <c r="L58" i="5" s="1"/>
  <c r="L59" i="5" s="1"/>
  <c r="L60" i="5" s="1"/>
  <c r="L61" i="5" s="1"/>
  <c r="L62" i="5" s="1"/>
  <c r="L63" i="5" s="1"/>
  <c r="L64" i="5" s="1"/>
  <c r="L65" i="5" s="1"/>
  <c r="L66" i="5" s="1"/>
  <c r="L67" i="5" s="1"/>
  <c r="L68" i="5" s="1"/>
  <c r="L69" i="5" s="1"/>
  <c r="L70" i="5" s="1"/>
  <c r="L71" i="5" s="1"/>
  <c r="L72" i="5" s="1"/>
  <c r="L73" i="5" s="1"/>
  <c r="L74" i="5" s="1"/>
  <c r="L75" i="5" s="1"/>
  <c r="L76" i="5" s="1"/>
  <c r="L77" i="5" s="1"/>
  <c r="L78" i="5" s="1"/>
  <c r="L79" i="5" s="1"/>
  <c r="L80" i="5" s="1"/>
  <c r="L81" i="5" s="1"/>
  <c r="L82" i="5" s="1"/>
  <c r="L83" i="5" s="1"/>
  <c r="L84" i="5" s="1"/>
  <c r="L85" i="5" s="1"/>
  <c r="L86" i="5" s="1"/>
  <c r="L87" i="5" s="1"/>
  <c r="L88" i="5" s="1"/>
  <c r="L89" i="5" s="1"/>
  <c r="L90" i="5" s="1"/>
  <c r="L91" i="5" s="1"/>
  <c r="L92" i="5" s="1"/>
  <c r="L93" i="5" s="1"/>
  <c r="L94" i="5" s="1"/>
  <c r="L95" i="5" s="1"/>
  <c r="L96" i="5" s="1"/>
  <c r="L97" i="5" s="1"/>
  <c r="L98" i="5" s="1"/>
  <c r="L99" i="5" s="1"/>
  <c r="L100" i="5" s="1"/>
  <c r="L101" i="5" s="1"/>
  <c r="L102" i="5" s="1"/>
  <c r="L103" i="5" s="1"/>
  <c r="L104" i="5" s="1"/>
  <c r="L105" i="5" s="1"/>
  <c r="L106" i="5" s="1"/>
  <c r="L107" i="5" s="1"/>
  <c r="L108" i="5" s="1"/>
  <c r="L109" i="5" s="1"/>
  <c r="L110" i="5" s="1"/>
  <c r="L111" i="5" s="1"/>
  <c r="L112" i="5" s="1"/>
  <c r="L113" i="5" s="1"/>
  <c r="L114" i="5" s="1"/>
  <c r="L115" i="5" s="1"/>
  <c r="L116" i="5" s="1"/>
  <c r="L117" i="5" s="1"/>
  <c r="L118" i="5" s="1"/>
  <c r="L119" i="5" s="1"/>
  <c r="L120" i="5" s="1"/>
  <c r="L121" i="5" s="1"/>
  <c r="L122" i="5" s="1"/>
  <c r="L123" i="5" s="1"/>
  <c r="L124" i="5" s="1"/>
  <c r="L125" i="5" s="1"/>
  <c r="L126" i="5" s="1"/>
  <c r="L127" i="5" s="1"/>
  <c r="L128" i="5" s="1"/>
  <c r="L129" i="5" s="1"/>
  <c r="L130" i="5" s="1"/>
  <c r="L131" i="5" s="1"/>
  <c r="L132" i="5" s="1"/>
  <c r="L133" i="5" s="1"/>
  <c r="L134" i="5" s="1"/>
  <c r="L135" i="5" s="1"/>
  <c r="L136" i="5" s="1"/>
  <c r="L137" i="5" s="1"/>
  <c r="L138" i="5" s="1"/>
  <c r="L139" i="5" s="1"/>
  <c r="L140" i="5" s="1"/>
  <c r="L141" i="5" s="1"/>
  <c r="L142" i="5" s="1"/>
  <c r="L143" i="5" s="1"/>
  <c r="L144" i="5" s="1"/>
  <c r="L145" i="5" s="1"/>
  <c r="L146" i="5" s="1"/>
  <c r="L147" i="5" s="1"/>
  <c r="L148" i="5" s="1"/>
  <c r="L149" i="5" s="1"/>
  <c r="L150" i="5" s="1"/>
  <c r="L151" i="5" s="1"/>
  <c r="L152" i="5" s="1"/>
  <c r="L153" i="5" s="1"/>
  <c r="L154" i="5" s="1"/>
  <c r="L155" i="5" s="1"/>
  <c r="L156" i="5" s="1"/>
  <c r="L157" i="5" s="1"/>
  <c r="L158" i="5" s="1"/>
  <c r="L159" i="5" s="1"/>
  <c r="L160" i="5" s="1"/>
  <c r="L161" i="5" s="1"/>
  <c r="L162" i="5" s="1"/>
  <c r="L163" i="5" s="1"/>
  <c r="L164" i="5" s="1"/>
  <c r="L165" i="5" s="1"/>
  <c r="L166" i="5" s="1"/>
  <c r="L167" i="5" s="1"/>
  <c r="L168" i="5" s="1"/>
  <c r="L169" i="5" s="1"/>
  <c r="L170" i="5" s="1"/>
  <c r="L171" i="5" s="1"/>
  <c r="L172" i="5" s="1"/>
  <c r="L173" i="5" s="1"/>
  <c r="L174" i="5" s="1"/>
  <c r="L175" i="5" s="1"/>
  <c r="L176" i="5" s="1"/>
  <c r="L177" i="5" s="1"/>
  <c r="L178" i="5" s="1"/>
  <c r="L179" i="5" s="1"/>
  <c r="L180" i="5" s="1"/>
  <c r="L181" i="5" s="1"/>
  <c r="L182" i="5" s="1"/>
  <c r="L183" i="5" s="1"/>
  <c r="L184" i="5" s="1"/>
  <c r="L185" i="5" s="1"/>
  <c r="L186" i="5" s="1"/>
  <c r="L187" i="5" s="1"/>
  <c r="L188" i="5" s="1"/>
  <c r="L189" i="5" s="1"/>
  <c r="L190" i="5" s="1"/>
  <c r="L191" i="5" s="1"/>
  <c r="L192" i="5" s="1"/>
  <c r="L193" i="5" s="1"/>
  <c r="L194" i="5" s="1"/>
  <c r="L195" i="5" s="1"/>
  <c r="L196" i="5" s="1"/>
  <c r="L197" i="5" s="1"/>
  <c r="L198" i="5" s="1"/>
  <c r="L199" i="5" s="1"/>
  <c r="L200" i="5" s="1"/>
  <c r="L201" i="5" s="1"/>
  <c r="L202" i="5" s="1"/>
  <c r="L203" i="5" s="1"/>
  <c r="L204" i="5" s="1"/>
  <c r="L205" i="5" s="1"/>
  <c r="L206" i="5" s="1"/>
  <c r="L207" i="5" s="1"/>
  <c r="L208" i="5" s="1"/>
  <c r="L209" i="5" s="1"/>
  <c r="L210" i="5" s="1"/>
  <c r="L211" i="5" s="1"/>
  <c r="L212" i="5" s="1"/>
  <c r="L213" i="5" s="1"/>
  <c r="L214" i="5" s="1"/>
  <c r="L215" i="5" s="1"/>
  <c r="L216" i="5" s="1"/>
  <c r="L217" i="5" s="1"/>
  <c r="L218" i="5" s="1"/>
  <c r="L219" i="5" s="1"/>
  <c r="L220" i="5" s="1"/>
  <c r="L221" i="5" s="1"/>
  <c r="L222" i="5" s="1"/>
  <c r="L223" i="5" s="1"/>
  <c r="L224" i="5" s="1"/>
  <c r="L225" i="5" s="1"/>
  <c r="L226" i="5" s="1"/>
  <c r="L227" i="5" s="1"/>
  <c r="L228" i="5" s="1"/>
  <c r="L229" i="5" s="1"/>
  <c r="L230" i="5" s="1"/>
  <c r="L231" i="5" s="1"/>
  <c r="L232" i="5" s="1"/>
  <c r="L233" i="5" s="1"/>
  <c r="L234" i="5" s="1"/>
  <c r="L235" i="5" s="1"/>
  <c r="L236" i="5" s="1"/>
  <c r="L237" i="5" s="1"/>
  <c r="L238" i="5" s="1"/>
  <c r="L239" i="5" s="1"/>
  <c r="L240" i="5" s="1"/>
  <c r="L241" i="5" s="1"/>
  <c r="L242" i="5" s="1"/>
  <c r="L243" i="5" s="1"/>
  <c r="L244" i="5" s="1"/>
  <c r="L245" i="5" s="1"/>
  <c r="L246" i="5" s="1"/>
  <c r="L247" i="5" s="1"/>
  <c r="L248" i="5" s="1"/>
  <c r="L249" i="5" s="1"/>
  <c r="L250" i="5" s="1"/>
  <c r="L251" i="5" s="1"/>
  <c r="L252" i="5" s="1"/>
  <c r="L253" i="5" s="1"/>
  <c r="L254" i="5" s="1"/>
  <c r="L255" i="5" s="1"/>
  <c r="L256" i="5" s="1"/>
  <c r="L257" i="5" s="1"/>
  <c r="L258" i="5" s="1"/>
  <c r="L259" i="5" s="1"/>
  <c r="L260" i="5" s="1"/>
  <c r="L261" i="5" s="1"/>
  <c r="L262" i="5" s="1"/>
  <c r="L263" i="5" s="1"/>
  <c r="L264" i="5" s="1"/>
  <c r="L265" i="5" s="1"/>
  <c r="L266" i="5" s="1"/>
  <c r="L267" i="5" s="1"/>
  <c r="L268" i="5" s="1"/>
  <c r="L269" i="5" s="1"/>
  <c r="L270" i="5" s="1"/>
  <c r="L271" i="5" s="1"/>
  <c r="L272" i="5" s="1"/>
  <c r="L273" i="5" s="1"/>
  <c r="L274" i="5" s="1"/>
  <c r="L275" i="5" s="1"/>
  <c r="L276" i="5" s="1"/>
  <c r="L277" i="5" s="1"/>
  <c r="L278" i="5" s="1"/>
  <c r="L279" i="5" s="1"/>
  <c r="L280" i="5" s="1"/>
  <c r="L281" i="5" s="1"/>
  <c r="L282" i="5" s="1"/>
  <c r="L283" i="5" s="1"/>
  <c r="L284" i="5" s="1"/>
  <c r="L285" i="5" s="1"/>
  <c r="L286" i="5" s="1"/>
  <c r="L287" i="5" s="1"/>
  <c r="L288" i="5" s="1"/>
  <c r="L289" i="5" s="1"/>
  <c r="L290" i="5" s="1"/>
  <c r="L291" i="5" s="1"/>
  <c r="L292" i="5" s="1"/>
  <c r="L293" i="5" s="1"/>
  <c r="L294" i="5" s="1"/>
  <c r="L295" i="5" s="1"/>
  <c r="L296" i="5" s="1"/>
  <c r="L297" i="5" s="1"/>
  <c r="L298" i="5" s="1"/>
  <c r="L299" i="5" s="1"/>
  <c r="L300" i="5" s="1"/>
  <c r="L301" i="5" s="1"/>
  <c r="L302" i="5" s="1"/>
  <c r="L303" i="5" s="1"/>
  <c r="L304" i="5" s="1"/>
  <c r="L305" i="5" s="1"/>
  <c r="L306" i="5" s="1"/>
  <c r="L307" i="5" s="1"/>
  <c r="L308" i="5" s="1"/>
  <c r="L309" i="5" s="1"/>
  <c r="L310" i="5" s="1"/>
  <c r="L311" i="5" s="1"/>
  <c r="L312" i="5" s="1"/>
  <c r="L313" i="5" s="1"/>
  <c r="L314" i="5" s="1"/>
  <c r="L315" i="5" s="1"/>
  <c r="L316" i="5" s="1"/>
  <c r="L317" i="5" s="1"/>
  <c r="L318" i="5" s="1"/>
  <c r="L319" i="5" s="1"/>
  <c r="L320" i="5" s="1"/>
  <c r="L321" i="5" s="1"/>
  <c r="L322" i="5" s="1"/>
  <c r="L323" i="5" s="1"/>
  <c r="L324" i="5" s="1"/>
  <c r="L325" i="5" s="1"/>
  <c r="L326" i="5" s="1"/>
  <c r="L327" i="5" s="1"/>
  <c r="L328" i="5" s="1"/>
  <c r="L329" i="5" s="1"/>
  <c r="L330" i="5" s="1"/>
  <c r="L331" i="5" s="1"/>
  <c r="L332" i="5" s="1"/>
  <c r="L333" i="5" s="1"/>
  <c r="L334" i="5" s="1"/>
  <c r="L335" i="5" s="1"/>
  <c r="L336" i="5" s="1"/>
  <c r="L337" i="5" s="1"/>
  <c r="L338" i="5" s="1"/>
  <c r="L339" i="5" s="1"/>
  <c r="L340" i="5" s="1"/>
  <c r="L341" i="5" s="1"/>
  <c r="L342" i="5" s="1"/>
  <c r="L343" i="5" s="1"/>
  <c r="L344" i="5" s="1"/>
  <c r="L345" i="5" s="1"/>
  <c r="L346" i="5" s="1"/>
  <c r="L347" i="5" s="1"/>
  <c r="L348" i="5" s="1"/>
  <c r="L349" i="5" s="1"/>
  <c r="L350" i="5" s="1"/>
  <c r="L351" i="5" s="1"/>
  <c r="L352" i="5" s="1"/>
  <c r="L353" i="5" s="1"/>
  <c r="L354" i="5" s="1"/>
  <c r="L355" i="5" s="1"/>
  <c r="L356" i="5" s="1"/>
  <c r="L357" i="5" s="1"/>
  <c r="L358" i="5" s="1"/>
  <c r="L359" i="5" s="1"/>
  <c r="L360" i="5" s="1"/>
  <c r="L361" i="5" s="1"/>
  <c r="L362" i="5" s="1"/>
  <c r="L363" i="5" s="1"/>
  <c r="L364" i="5" s="1"/>
  <c r="L365" i="5" s="1"/>
  <c r="L366" i="5" s="1"/>
  <c r="L367" i="5" s="1"/>
  <c r="L368" i="5" s="1"/>
  <c r="L369" i="5" s="1"/>
  <c r="L370" i="5" s="1"/>
  <c r="L371" i="5" s="1"/>
  <c r="L372" i="5" s="1"/>
  <c r="L373" i="5" s="1"/>
  <c r="L374" i="5" s="1"/>
  <c r="L375" i="5" s="1"/>
  <c r="L376" i="5" s="1"/>
  <c r="L377" i="5" s="1"/>
  <c r="L378" i="5" s="1"/>
  <c r="L379" i="5" s="1"/>
  <c r="L380" i="5" s="1"/>
  <c r="L381" i="5" s="1"/>
  <c r="L382" i="5" s="1"/>
  <c r="L383" i="5" s="1"/>
  <c r="L384" i="5" s="1"/>
  <c r="L385" i="5" s="1"/>
  <c r="L386" i="5" s="1"/>
  <c r="L387" i="5" s="1"/>
  <c r="L388" i="5" s="1"/>
  <c r="L389" i="5" s="1"/>
  <c r="L390" i="5" s="1"/>
  <c r="L391" i="5" s="1"/>
  <c r="L392" i="5" s="1"/>
  <c r="L393" i="5" s="1"/>
  <c r="L394" i="5" s="1"/>
  <c r="L395" i="5" s="1"/>
  <c r="L396" i="5" s="1"/>
  <c r="L397" i="5" s="1"/>
  <c r="L398" i="5" s="1"/>
  <c r="O21" i="5"/>
  <c r="K282" i="6" l="1"/>
  <c r="K284" i="6" s="1"/>
  <c r="K283" i="6"/>
  <c r="G122" i="8"/>
  <c r="G121" i="8" s="1"/>
  <c r="G120" i="8" s="1"/>
  <c r="G119" i="8" s="1"/>
  <c r="G118" i="8" s="1"/>
  <c r="G117" i="8" s="1"/>
  <c r="G116" i="8" s="1"/>
  <c r="G115" i="8" s="1"/>
  <c r="G114" i="8" s="1"/>
  <c r="G113" i="8" s="1"/>
  <c r="G112" i="8" s="1"/>
  <c r="G111" i="8" s="1"/>
  <c r="G110" i="8" s="1"/>
  <c r="G109" i="8" s="1"/>
  <c r="G108" i="8" s="1"/>
  <c r="G107" i="8" s="1"/>
  <c r="G106" i="8" s="1"/>
  <c r="G105" i="8" s="1"/>
  <c r="G104" i="8" s="1"/>
  <c r="G103" i="8" s="1"/>
  <c r="G102" i="8" s="1"/>
  <c r="G101" i="8" s="1"/>
  <c r="G100" i="8" s="1"/>
  <c r="G99" i="8" s="1"/>
  <c r="G98" i="8" s="1"/>
  <c r="G97" i="8" s="1"/>
  <c r="G96" i="8" s="1"/>
  <c r="G95" i="8" s="1"/>
  <c r="G94" i="8" s="1"/>
  <c r="G93" i="8" s="1"/>
  <c r="G92" i="8" s="1"/>
  <c r="G91" i="8" s="1"/>
  <c r="G90" i="8" s="1"/>
  <c r="G89" i="8" s="1"/>
  <c r="G88" i="8" s="1"/>
  <c r="G87" i="8" s="1"/>
  <c r="G86" i="8" s="1"/>
  <c r="G85" i="8" s="1"/>
  <c r="G84" i="8" s="1"/>
  <c r="G83" i="8" s="1"/>
  <c r="G82" i="8" s="1"/>
  <c r="G81" i="8" s="1"/>
  <c r="G80" i="8" s="1"/>
  <c r="G79" i="8" s="1"/>
  <c r="G78" i="8" s="1"/>
  <c r="G77" i="8" s="1"/>
  <c r="G76" i="8" s="1"/>
  <c r="G75" i="8" s="1"/>
  <c r="G74" i="8" s="1"/>
  <c r="G73" i="8" s="1"/>
  <c r="G72" i="8" s="1"/>
  <c r="G71" i="8" s="1"/>
  <c r="G70" i="8" s="1"/>
  <c r="G69" i="8" l="1"/>
  <c r="G68" i="8" s="1"/>
  <c r="G67" i="8" s="1"/>
  <c r="G66" i="8" s="1"/>
  <c r="G65" i="8" s="1"/>
  <c r="G64" i="8" s="1"/>
  <c r="G63" i="8" s="1"/>
  <c r="G62" i="8" s="1"/>
  <c r="G61" i="8" s="1"/>
  <c r="G60" i="8" s="1"/>
  <c r="G59" i="8" s="1"/>
  <c r="G58" i="8" s="1"/>
  <c r="G57" i="8" s="1"/>
  <c r="G56" i="8" s="1"/>
  <c r="G55" i="8" s="1"/>
  <c r="G54" i="8" s="1"/>
  <c r="G53" i="8" s="1"/>
  <c r="G52" i="8" s="1"/>
  <c r="G51" i="8" s="1"/>
  <c r="G50" i="8" s="1"/>
  <c r="G11" i="8" s="1"/>
  <c r="G10" i="8" s="1"/>
  <c r="G9" i="8" s="1"/>
  <c r="G8" i="8" s="1"/>
  <c r="G7" i="8" s="1"/>
  <c r="G6" i="8" s="1"/>
  <c r="G5" i="8" s="1"/>
  <c r="G4" i="8"/>
  <c r="G3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5378116-19C3-694E-A306-25EE3C1813C9}" keepAlive="1" name="クエリ - newly_confirmed_cases_daily_japanese" description="ブック内の 'newly_confirmed_cases_daily_japanese' クエリへの接続です。" type="5" refreshedVersion="8" background="1" saveData="1">
    <dbPr connection="Provider=Microsoft.Mashup.OleDb.1;Data Source=$Workbook$;Location=newly_confirmed_cases_daily_japanese;Extended Properties=&quot;&quot;" command="SELECT * FROM [newly_confirmed_cases_daily_japanese]"/>
  </connection>
</connections>
</file>

<file path=xl/sharedStrings.xml><?xml version="1.0" encoding="utf-8"?>
<sst xmlns="http://schemas.openxmlformats.org/spreadsheetml/2006/main" count="2286" uniqueCount="324">
  <si>
    <t>日付</t>
  </si>
  <si>
    <t>内容</t>
  </si>
  <si>
    <t>獲得マイル</t>
  </si>
  <si>
    <t>有効マイル</t>
  </si>
  <si>
    <t>FLYONポイント</t>
  </si>
  <si>
    <t>搭乗回数</t>
  </si>
  <si>
    <t>JL0751</t>
  </si>
  <si>
    <t>TOKYO-HANOI</t>
  </si>
  <si>
    <t>JL0752</t>
  </si>
  <si>
    <t>HANOI-TOKYO</t>
  </si>
  <si>
    <t>JL0903</t>
  </si>
  <si>
    <t>羽田-沖縄</t>
  </si>
  <si>
    <t>JL0305</t>
  </si>
  <si>
    <t>羽田-福岡</t>
  </si>
  <si>
    <t>JL0082</t>
  </si>
  <si>
    <t>SHANGHAI-TOKYO</t>
  </si>
  <si>
    <t>JL6402</t>
  </si>
  <si>
    <t>TOKYO-HONOLULU</t>
  </si>
  <si>
    <t>JL0073</t>
  </si>
  <si>
    <t>HONOLULU-TOKYO</t>
  </si>
  <si>
    <t> </t>
  </si>
  <si>
    <t>～2024年06月30日まで</t>
  </si>
  <si>
    <t>JL0323</t>
  </si>
  <si>
    <t>JL0330</t>
  </si>
  <si>
    <t>福岡-羽田</t>
  </si>
  <si>
    <t>JALチケット</t>
  </si>
  <si>
    <t>ＪＡＬカードＴＯＫＹＵＰＯＩＮＴＣｌｕｂＱ</t>
  </si>
  <si>
    <t>JL0319</t>
  </si>
  <si>
    <t>ＪＡＬカード入会搭乗ボーナス</t>
  </si>
  <si>
    <t>JL0318</t>
  </si>
  <si>
    <t>ふるさと納税マイル</t>
  </si>
  <si>
    <t>JL0431</t>
  </si>
  <si>
    <t>羽田-松山</t>
  </si>
  <si>
    <t>ＪＡＬ　ＷＥＬＬＮＥＳＳ＆ＴＲＡＶＥＬ</t>
  </si>
  <si>
    <t>JL0434</t>
  </si>
  <si>
    <t>松山-羽田</t>
  </si>
  <si>
    <t xml:space="preserve">ＪＭＢアプリ	</t>
  </si>
  <si>
    <t>ＪＡＬ国内線特典航空券交換</t>
  </si>
  <si>
    <t>JL0432</t>
  </si>
  <si>
    <t>特典交換</t>
  </si>
  <si>
    <t>JL0335</t>
  </si>
  <si>
    <t>JL0307</t>
  </si>
  <si>
    <t>◆</t>
  </si>
  <si>
    <t>J</t>
  </si>
  <si>
    <t>JL0306</t>
  </si>
  <si>
    <t>JL0311</t>
  </si>
  <si>
    <t>JL0304</t>
  </si>
  <si>
    <t>JL0331</t>
  </si>
  <si>
    <t>JL0314</t>
  </si>
  <si>
    <t>ＪＭＢアプリ　マイルチャンス５等</t>
  </si>
  <si>
    <t>Y</t>
  </si>
  <si>
    <t>JL0300</t>
  </si>
  <si>
    <t>JL0183</t>
  </si>
  <si>
    <t>羽田-小松</t>
  </si>
  <si>
    <t>JL0190</t>
  </si>
  <si>
    <t>小松-羽田</t>
  </si>
  <si>
    <t>JL0225</t>
  </si>
  <si>
    <t>羽田-関西</t>
  </si>
  <si>
    <t>JL0134</t>
  </si>
  <si>
    <t>伊丹-羽田</t>
  </si>
  <si>
    <t>JL0487</t>
  </si>
  <si>
    <t>羽田-高松</t>
  </si>
  <si>
    <t>JL0482</t>
  </si>
  <si>
    <t>高松-羽田</t>
  </si>
  <si>
    <t>JL0327</t>
  </si>
  <si>
    <t>ＪＡＬカードＴＯＫＹＵ　ＰＯＩＮＴＣｌｕｂＱ</t>
  </si>
  <si>
    <t>JL0321</t>
  </si>
  <si>
    <t>JL0316</t>
  </si>
  <si>
    <t>NU0061</t>
  </si>
  <si>
    <t>福岡-沖縄</t>
  </si>
  <si>
    <t>NU0060</t>
  </si>
  <si>
    <t>沖縄-福岡</t>
  </si>
  <si>
    <t>JL3630</t>
  </si>
  <si>
    <t>宮崎-福岡</t>
  </si>
  <si>
    <t>JL3629</t>
  </si>
  <si>
    <t>福岡-宮崎</t>
  </si>
  <si>
    <t>JL3564</t>
  </si>
  <si>
    <t>徳島-福岡</t>
  </si>
  <si>
    <t>JL3563</t>
  </si>
  <si>
    <t>福岡-徳島</t>
  </si>
  <si>
    <t>NU0898</t>
  </si>
  <si>
    <t>多良間島-宮古</t>
  </si>
  <si>
    <t>NU0897</t>
  </si>
  <si>
    <t>宮古-多良間島</t>
  </si>
  <si>
    <t>NU0834</t>
  </si>
  <si>
    <t>石垣-宮古</t>
  </si>
  <si>
    <t>NU0744</t>
  </si>
  <si>
    <t>与那国-石垣</t>
  </si>
  <si>
    <t>NU0743</t>
  </si>
  <si>
    <t>石垣-与那国</t>
  </si>
  <si>
    <t>NU0605</t>
  </si>
  <si>
    <t>沖縄-石垣</t>
  </si>
  <si>
    <t>NU0572</t>
  </si>
  <si>
    <t>宮古-沖縄</t>
  </si>
  <si>
    <t>NU0062</t>
  </si>
  <si>
    <t>NU0051</t>
  </si>
  <si>
    <t>JL0481</t>
  </si>
  <si>
    <t>JL0333</t>
  </si>
  <si>
    <t>NU0564</t>
  </si>
  <si>
    <t>JL0920</t>
  </si>
  <si>
    <t>沖縄-羽田</t>
  </si>
  <si>
    <t>JL0313</t>
  </si>
  <si>
    <t>JL0464</t>
  </si>
  <si>
    <t>徳島-羽田</t>
  </si>
  <si>
    <t>JL0453</t>
  </si>
  <si>
    <t>羽田-徳島</t>
  </si>
  <si>
    <t>JL0107</t>
  </si>
  <si>
    <t>羽田-伊丹</t>
  </si>
  <si>
    <t>JL3592</t>
  </si>
  <si>
    <t>松山-福岡</t>
  </si>
  <si>
    <t>JL0168</t>
  </si>
  <si>
    <t>秋田-羽田</t>
  </si>
  <si>
    <t>JL0161</t>
  </si>
  <si>
    <t>羽田-秋田</t>
  </si>
  <si>
    <t>JL0257</t>
  </si>
  <si>
    <t>羽田-広島</t>
  </si>
  <si>
    <t>JL0256</t>
  </si>
  <si>
    <t>広島-羽田</t>
  </si>
  <si>
    <t>JL0187</t>
  </si>
  <si>
    <t>JL0328</t>
  </si>
  <si>
    <t>NU0874</t>
  </si>
  <si>
    <t>久米島-沖縄</t>
  </si>
  <si>
    <t>NU0873</t>
  </si>
  <si>
    <t>沖縄-久米島</t>
  </si>
  <si>
    <t>NU0609</t>
  </si>
  <si>
    <t>JL0901</t>
  </si>
  <si>
    <t>ＦＬＹ　ＯＮ　ポイントキャンペーン</t>
  </si>
  <si>
    <t>JL0905</t>
  </si>
  <si>
    <t>博多華味鳥　マイルプレゼント　キャンペーン</t>
  </si>
  <si>
    <t>楽天トラベル　ご利用分</t>
  </si>
  <si>
    <t>JL0237</t>
  </si>
  <si>
    <t>羽田-岡山</t>
  </si>
  <si>
    <t>ＪＡＬカード毎年初回搭乗ボーナス</t>
  </si>
  <si>
    <t>JL0234</t>
  </si>
  <si>
    <t>岡山-羽田</t>
  </si>
  <si>
    <t>NU0608</t>
  </si>
  <si>
    <t>石垣-沖縄</t>
  </si>
  <si>
    <t>NU0571</t>
  </si>
  <si>
    <t>沖縄-宮古</t>
  </si>
  <si>
    <t>NU0212</t>
  </si>
  <si>
    <t>NU0211</t>
  </si>
  <si>
    <t>JL3654</t>
  </si>
  <si>
    <t>鹿児島-福岡</t>
  </si>
  <si>
    <t>JL3653</t>
  </si>
  <si>
    <t>福岡-鹿児島</t>
  </si>
  <si>
    <t>JL3626</t>
  </si>
  <si>
    <t>JL3623</t>
  </si>
  <si>
    <t>NU0880</t>
  </si>
  <si>
    <t>NU0879</t>
  </si>
  <si>
    <t>NU0816</t>
  </si>
  <si>
    <t>与論島-沖縄</t>
  </si>
  <si>
    <t>NU0815</t>
  </si>
  <si>
    <t>沖縄-与論島</t>
  </si>
  <si>
    <t>JL0918</t>
  </si>
  <si>
    <t>JL0184</t>
  </si>
  <si>
    <t>NU0864</t>
  </si>
  <si>
    <t>南大東-沖縄</t>
  </si>
  <si>
    <t>NU0863</t>
  </si>
  <si>
    <t>沖縄-南大東</t>
  </si>
  <si>
    <t>NU0558</t>
  </si>
  <si>
    <t>NU0557</t>
  </si>
  <si>
    <t>JL0922</t>
  </si>
  <si>
    <t>ＪＭＢアプリ　リニューアルキャンペーン</t>
  </si>
  <si>
    <t>JL0909</t>
  </si>
  <si>
    <t>JL0900</t>
  </si>
  <si>
    <t>JL0908</t>
  </si>
  <si>
    <t>JL0915</t>
  </si>
  <si>
    <t>NU0063</t>
  </si>
  <si>
    <t>JL3625</t>
  </si>
  <si>
    <t>JL3582</t>
  </si>
  <si>
    <t>高知（高知龍馬）-福岡</t>
  </si>
  <si>
    <t>JL3581</t>
  </si>
  <si>
    <t>福岡-高知（高知龍馬）</t>
  </si>
  <si>
    <t>JL0303</t>
  </si>
  <si>
    <t>NU0882</t>
  </si>
  <si>
    <t>NU0881</t>
  </si>
  <si>
    <t>NU0563</t>
  </si>
  <si>
    <t>NU0562</t>
  </si>
  <si>
    <t>NU0747</t>
  </si>
  <si>
    <t>NU0728</t>
  </si>
  <si>
    <t>与那国-沖縄</t>
  </si>
  <si>
    <t>NU0617</t>
  </si>
  <si>
    <t>NU0560</t>
  </si>
  <si>
    <t>NU0559</t>
  </si>
  <si>
    <t>JL0475</t>
  </si>
  <si>
    <t>JL0474</t>
  </si>
  <si>
    <t>NU0746</t>
  </si>
  <si>
    <t>NU0727</t>
  </si>
  <si>
    <t>沖縄-与那国</t>
  </si>
  <si>
    <t>JL0974</t>
  </si>
  <si>
    <t>石垣-羽田</t>
  </si>
  <si>
    <t>JL3642</t>
  </si>
  <si>
    <t>JL3639</t>
  </si>
  <si>
    <t>JL0325</t>
  </si>
  <si>
    <t>FAM POOL FROM 411537675</t>
  </si>
  <si>
    <t>FAM POOL FROM 411537789</t>
  </si>
  <si>
    <t>FAM POOL FROM 411537824</t>
  </si>
  <si>
    <t>ＪＡＬ国際線特典航空券交換</t>
  </si>
  <si>
    <t>NU0565</t>
  </si>
  <si>
    <t>NU0057</t>
  </si>
  <si>
    <t>積算日</t>
  </si>
  <si>
    <t>カテゴリー</t>
  </si>
  <si>
    <t>サービス</t>
  </si>
  <si>
    <t>ポイント</t>
  </si>
  <si>
    <t>累積ポイント</t>
  </si>
  <si>
    <t>JAL国内線</t>
  </si>
  <si>
    <t>JAL海外線</t>
  </si>
  <si>
    <t>JALカード</t>
  </si>
  <si>
    <t>JALモバイル</t>
  </si>
  <si>
    <t>JAL Wellness &amp; Travel</t>
  </si>
  <si>
    <t>JALマイレージパーク</t>
  </si>
  <si>
    <t>その他</t>
  </si>
  <si>
    <t>合計</t>
  </si>
  <si>
    <t>航空</t>
  </si>
  <si>
    <t>JAL国内線利用</t>
  </si>
  <si>
    <t>ライフスタイルサービス</t>
  </si>
  <si>
    <t>JALマイレージパーク利用</t>
  </si>
  <si>
    <t>JAL Wellness &amp; Travel利用</t>
  </si>
  <si>
    <t>JALカード利用</t>
  </si>
  <si>
    <t>JAL ふるさと納税</t>
  </si>
  <si>
    <t>JMB eliteチャレンジ（カード）</t>
  </si>
  <si>
    <t>JMB eliteチャレンジ(ご搭乗)</t>
  </si>
  <si>
    <t>JAL国際線</t>
  </si>
  <si>
    <t>JAL国際線利用</t>
  </si>
  <si>
    <t>#</t>
  </si>
  <si>
    <t>運航会社</t>
  </si>
  <si>
    <t>便名</t>
  </si>
  <si>
    <t>出発地</t>
  </si>
  <si>
    <t>出発時刻</t>
  </si>
  <si>
    <t>到着地</t>
  </si>
  <si>
    <t>到着時刻</t>
  </si>
  <si>
    <t>乗継時間</t>
  </si>
  <si>
    <t>予約</t>
  </si>
  <si>
    <t>料金</t>
  </si>
  <si>
    <t>結果</t>
  </si>
  <si>
    <t>列1</t>
  </si>
  <si>
    <t>JAL</t>
  </si>
  <si>
    <t>東京（羽田）</t>
  </si>
  <si>
    <t>福岡</t>
  </si>
  <si>
    <t>–</t>
  </si>
  <si>
    <t>済</t>
  </si>
  <si>
    <t>J‑AIR</t>
  </si>
  <si>
    <t>徳島</t>
  </si>
  <si>
    <t>55分</t>
  </si>
  <si>
    <t>35分</t>
  </si>
  <si>
    <t>宮崎</t>
  </si>
  <si>
    <t>30分</t>
  </si>
  <si>
    <t>JTA</t>
  </si>
  <si>
    <t>沖縄（那覇）</t>
  </si>
  <si>
    <t>40分</t>
  </si>
  <si>
    <t>45分</t>
  </si>
  <si>
    <t>石垣</t>
  </si>
  <si>
    <t>RAC</t>
  </si>
  <si>
    <t>与那国</t>
  </si>
  <si>
    <t>130分</t>
  </si>
  <si>
    <t>宮古</t>
  </si>
  <si>
    <t>多良間</t>
  </si>
  <si>
    <t>60分</t>
  </si>
  <si>
    <t>奄美大島</t>
  </si>
  <si>
    <t>JAC</t>
  </si>
  <si>
    <t>喜界島</t>
  </si>
  <si>
    <t>70分</t>
  </si>
  <si>
    <t>徳之島</t>
  </si>
  <si>
    <t>20分</t>
  </si>
  <si>
    <t>沖永良部</t>
  </si>
  <si>
    <t>85分</t>
  </si>
  <si>
    <t>95分</t>
  </si>
  <si>
    <t>105分</t>
  </si>
  <si>
    <t>高知</t>
  </si>
  <si>
    <t>松山</t>
  </si>
  <si>
    <t>小松</t>
  </si>
  <si>
    <t>大阪（関西）</t>
  </si>
  <si>
    <t>大阪（伊丹）</t>
  </si>
  <si>
    <t>RAC873</t>
  </si>
  <si>
    <t>久米島</t>
  </si>
  <si>
    <t>RAC874</t>
  </si>
  <si>
    <t>JTA609</t>
  </si>
  <si>
    <t>RAC8３４</t>
  </si>
  <si>
    <t>RAC8９７</t>
  </si>
  <si>
    <t>RAC8９８</t>
  </si>
  <si>
    <t>JTA５７２</t>
  </si>
  <si>
    <t>高松</t>
  </si>
  <si>
    <t>伊丹</t>
  </si>
  <si>
    <t>沖縄 (那覇)</t>
  </si>
  <si>
    <t>鹿児島</t>
  </si>
  <si>
    <t>与論</t>
  </si>
  <si>
    <t>南大東</t>
  </si>
  <si>
    <t>広島</t>
  </si>
  <si>
    <t>東京(羽田)</t>
  </si>
  <si>
    <t>沖縄(那覇)</t>
  </si>
  <si>
    <t>ダメ</t>
  </si>
  <si>
    <t>沖縄</t>
  </si>
  <si>
    <t>小松空港</t>
  </si>
  <si>
    <t>岡山</t>
  </si>
  <si>
    <t>JAL901</t>
  </si>
  <si>
    <t>JTA605</t>
  </si>
  <si>
    <t>RAC743</t>
  </si>
  <si>
    <t>RAC744</t>
  </si>
  <si>
    <t>RAC834</t>
  </si>
  <si>
    <t>RAC897</t>
  </si>
  <si>
    <t>RAC898</t>
  </si>
  <si>
    <t>RAC839</t>
  </si>
  <si>
    <t>JTA626</t>
  </si>
  <si>
    <t>JAL922</t>
  </si>
  <si>
    <t>函館</t>
  </si>
  <si>
    <t>購入済</t>
  </si>
  <si>
    <t>HAC</t>
  </si>
  <si>
    <t>奥尻</t>
  </si>
  <si>
    <t>札幌(丘珠)</t>
  </si>
  <si>
    <t>根室中標津</t>
  </si>
  <si>
    <t>旭川</t>
  </si>
  <si>
    <t>0072</t>
  </si>
  <si>
    <t>ホノルル</t>
  </si>
  <si>
    <t>0073</t>
  </si>
  <si>
    <t>東京(成田)</t>
  </si>
  <si>
    <t>台湾（桃園）</t>
  </si>
  <si>
    <t>総額</t>
  </si>
  <si>
    <t>総SLP数</t>
  </si>
  <si>
    <t>LSP単価</t>
  </si>
  <si>
    <t>65分</t>
  </si>
  <si>
    <t>75分</t>
  </si>
  <si>
    <t>50分</t>
  </si>
  <si>
    <t>-</t>
  </si>
  <si>
    <t>120分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</si>
</sst>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_);[Red]\(0\)"/>
    <numFmt numFmtId="177" formatCode="#,##0.0_);[Red]\(#,##0.0\)"/>
    <numFmt numFmtId="178" formatCode="yyyy/m/d;@"/>
  </numFmts>
  <fonts count="10">
    <font>
      <sz val="11"/>
      <color theme="1"/>
      <name val="ＭＳ Ｐゴシック"/>
      <family val="2"/>
      <scheme val="minor"/>
    </font>
    <font>
      <u/>
      <sz val="11"/>
      <color theme="10"/>
      <name val="ＭＳ Ｐゴシック"/>
      <family val="2"/>
      <scheme val="minor"/>
    </font>
    <font>
      <sz val="9"/>
      <color rgb="FF000000"/>
      <name val="MS UI Gothic"/>
      <charset val="1"/>
    </font>
    <font>
      <b/>
      <sz val="11"/>
      <color theme="1"/>
      <name val="ＭＳ Ｐゴシック"/>
      <family val="2"/>
      <scheme val="minor"/>
    </font>
    <font>
      <b/>
      <sz val="12"/>
      <color rgb="FF333333"/>
      <name val="Noto Sans JP"/>
      <charset val="1"/>
    </font>
    <font>
      <sz val="11"/>
      <color rgb="FF000000"/>
      <name val="Noto Sans JP"/>
      <charset val="1"/>
    </font>
    <font>
      <sz val="12"/>
      <color rgb="FF333333"/>
      <name val="Noto Sans JP"/>
      <charset val="1"/>
    </font>
    <font>
      <sz val="9"/>
      <color rgb="FF666666"/>
      <name val="Hiragino Kaku Gothic ProN"/>
      <charset val="1"/>
    </font>
    <font>
      <sz val="9"/>
      <color rgb="FF333333"/>
      <name val="Hiragino Kaku Gothic ProN"/>
      <charset val="1"/>
    </font>
    <font>
      <sz val="11"/>
      <color rgb="FF1F1F1F"/>
      <name val="Google Sans Text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EEEEEE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AFBFC"/>
        <bgColor indexed="64"/>
      </patternFill>
    </fill>
  </fills>
  <borders count="27">
    <border>
      <left/>
      <right/>
      <top/>
      <bottom/>
      <diagonal/>
    </border>
    <border>
      <left/>
      <right style="thin">
        <color rgb="FFA8A8A8"/>
      </right>
      <top style="thin">
        <color rgb="FFD6D6D6"/>
      </top>
      <bottom/>
      <diagonal/>
    </border>
    <border>
      <left/>
      <right/>
      <top style="thin">
        <color rgb="FFD6D6D6"/>
      </top>
      <bottom/>
      <diagonal/>
    </border>
    <border>
      <left/>
      <right style="thin">
        <color rgb="FFA8A8A8"/>
      </right>
      <top/>
      <bottom/>
      <diagonal/>
    </border>
    <border>
      <left style="thin">
        <color rgb="FFA8A8A8"/>
      </left>
      <right/>
      <top style="thin">
        <color rgb="FFD6D6D6"/>
      </top>
      <bottom/>
      <diagonal/>
    </border>
    <border>
      <left/>
      <right/>
      <top style="thin">
        <color rgb="FFD6D6D6"/>
      </top>
      <bottom style="thin">
        <color rgb="FFD6D6D6"/>
      </bottom>
      <diagonal/>
    </border>
    <border>
      <left style="thin">
        <color rgb="FFD6D6D6"/>
      </left>
      <right style="thin">
        <color rgb="FFD6D6D6"/>
      </right>
      <top style="thin">
        <color rgb="FFD6D6D6"/>
      </top>
      <bottom/>
      <diagonal/>
    </border>
    <border>
      <left style="thin">
        <color rgb="FFD6D6D6"/>
      </left>
      <right style="thin">
        <color rgb="FFD6D6D6"/>
      </right>
      <top/>
      <bottom/>
      <diagonal/>
    </border>
    <border>
      <left style="medium">
        <color rgb="FFD6D6D6"/>
      </left>
      <right/>
      <top style="thin">
        <color rgb="FFD6D6D6"/>
      </top>
      <bottom style="thin">
        <color rgb="FFD6D6D6"/>
      </bottom>
      <diagonal/>
    </border>
    <border>
      <left/>
      <right style="medium">
        <color rgb="FFD6D6D6"/>
      </right>
      <top style="thin">
        <color rgb="FFD6D6D6"/>
      </top>
      <bottom/>
      <diagonal/>
    </border>
    <border>
      <left style="medium">
        <color rgb="FFD6D6D6"/>
      </left>
      <right style="thin">
        <color rgb="FFA8A8A8"/>
      </right>
      <top style="thin">
        <color rgb="FFD6D6D6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A8A8A8"/>
      </left>
      <right style="thin">
        <color rgb="FFA8A8A8"/>
      </right>
      <top style="thin">
        <color rgb="FFD6D6D6"/>
      </top>
      <bottom/>
      <diagonal/>
    </border>
    <border>
      <left style="thin">
        <color rgb="FFA8A8A8"/>
      </left>
      <right style="thin">
        <color rgb="FFA8A8A8"/>
      </right>
      <top style="thin">
        <color rgb="FFD6D6D6"/>
      </top>
      <bottom style="thin">
        <color rgb="FFA8A8A8"/>
      </bottom>
      <diagonal/>
    </border>
    <border>
      <left/>
      <right style="thin">
        <color rgb="FFA8A8A8"/>
      </right>
      <top style="thin">
        <color rgb="FFD6D6D6"/>
      </top>
      <bottom style="thin">
        <color rgb="FFA8A8A8"/>
      </bottom>
      <diagonal/>
    </border>
    <border>
      <left/>
      <right/>
      <top style="thin">
        <color rgb="FFD6D6D6"/>
      </top>
      <bottom style="thin">
        <color rgb="FFA8A8A8"/>
      </bottom>
      <diagonal/>
    </border>
    <border>
      <left style="thin">
        <color rgb="FFEEEEEE"/>
      </left>
      <right style="thin">
        <color rgb="FFEEEEEE"/>
      </right>
      <top style="thin">
        <color rgb="FFEEEEEE"/>
      </top>
      <bottom style="thin">
        <color rgb="FFE0E0E0"/>
      </bottom>
      <diagonal/>
    </border>
    <border>
      <left style="thin">
        <color rgb="FFEEEEEE"/>
      </left>
      <right style="thin">
        <color rgb="FFEEEEEE"/>
      </right>
      <top style="thin">
        <color rgb="FFEEEEEE"/>
      </top>
      <bottom/>
      <diagonal/>
    </border>
    <border>
      <left style="thin">
        <color rgb="FF1F1F1F"/>
      </left>
      <right style="thin">
        <color rgb="FF1F1F1F"/>
      </right>
      <top style="thin">
        <color rgb="FF1F1F1F"/>
      </top>
      <bottom style="thin">
        <color rgb="FF1F1F1F"/>
      </bottom>
      <diagonal/>
    </border>
    <border>
      <left style="thin">
        <color rgb="FFA8A8A8"/>
      </left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80">
    <xf numFmtId="0" fontId="0" fillId="0" borderId="0" xfId="0"/>
    <xf numFmtId="0" fontId="2" fillId="3" borderId="1" xfId="0" applyFont="1" applyFill="1" applyBorder="1"/>
    <xf numFmtId="3" fontId="2" fillId="3" borderId="1" xfId="0" applyNumberFormat="1" applyFont="1" applyFill="1" applyBorder="1"/>
    <xf numFmtId="0" fontId="2" fillId="3" borderId="2" xfId="0" applyFont="1" applyFill="1" applyBorder="1"/>
    <xf numFmtId="3" fontId="2" fillId="3" borderId="1" xfId="0" applyNumberFormat="1" applyFont="1" applyFill="1" applyBorder="1" applyAlignment="1"/>
    <xf numFmtId="0" fontId="2" fillId="3" borderId="4" xfId="0" applyFont="1" applyFill="1" applyBorder="1"/>
    <xf numFmtId="0" fontId="2" fillId="3" borderId="6" xfId="0" applyFont="1" applyFill="1" applyBorder="1"/>
    <xf numFmtId="0" fontId="2" fillId="3" borderId="7" xfId="0" applyFont="1" applyFill="1" applyBorder="1" applyAlignment="1"/>
    <xf numFmtId="14" fontId="2" fillId="3" borderId="4" xfId="0" applyNumberFormat="1" applyFont="1" applyFill="1" applyBorder="1"/>
    <xf numFmtId="0" fontId="2" fillId="3" borderId="10" xfId="0" applyFont="1" applyFill="1" applyBorder="1"/>
    <xf numFmtId="0" fontId="2" fillId="3" borderId="2" xfId="0" applyFont="1" applyFill="1" applyBorder="1" applyAlignment="1">
      <alignment wrapText="1"/>
    </xf>
    <xf numFmtId="3" fontId="0" fillId="0" borderId="0" xfId="0" applyNumberFormat="1"/>
    <xf numFmtId="0" fontId="0" fillId="0" borderId="11" xfId="0" applyBorder="1" applyAlignment="1">
      <alignment horizontal="center" vertical="center"/>
    </xf>
    <xf numFmtId="20" fontId="0" fillId="0" borderId="11" xfId="0" applyNumberFormat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20" fontId="0" fillId="0" borderId="17" xfId="0" applyNumberForma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3" fontId="0" fillId="0" borderId="13" xfId="0" applyNumberFormat="1" applyBorder="1" applyAlignment="1">
      <alignment horizontal="center" vertical="center"/>
    </xf>
    <xf numFmtId="0" fontId="0" fillId="0" borderId="11" xfId="0" quotePrefix="1" applyBorder="1" applyAlignment="1">
      <alignment horizontal="center" vertical="center"/>
    </xf>
    <xf numFmtId="0" fontId="3" fillId="0" borderId="0" xfId="0" applyFont="1"/>
    <xf numFmtId="20" fontId="0" fillId="0" borderId="0" xfId="0" applyNumberFormat="1"/>
    <xf numFmtId="20" fontId="0" fillId="0" borderId="13" xfId="0" applyNumberFormat="1" applyBorder="1" applyAlignment="1">
      <alignment horizontal="center" vertical="center"/>
    </xf>
    <xf numFmtId="14" fontId="2" fillId="3" borderId="19" xfId="0" applyNumberFormat="1" applyFont="1" applyFill="1" applyBorder="1"/>
    <xf numFmtId="0" fontId="1" fillId="3" borderId="1" xfId="1" applyFill="1" applyBorder="1" applyAlignment="1"/>
    <xf numFmtId="14" fontId="2" fillId="3" borderId="20" xfId="0" applyNumberFormat="1" applyFont="1" applyFill="1" applyBorder="1"/>
    <xf numFmtId="3" fontId="2" fillId="3" borderId="21" xfId="0" applyNumberFormat="1" applyFont="1" applyFill="1" applyBorder="1" applyAlignment="1"/>
    <xf numFmtId="0" fontId="0" fillId="0" borderId="0" xfId="0" applyAlignment="1">
      <alignment wrapText="1"/>
    </xf>
    <xf numFmtId="0" fontId="4" fillId="3" borderId="11" xfId="0" applyFont="1" applyFill="1" applyBorder="1" applyAlignment="1">
      <alignment wrapText="1"/>
    </xf>
    <xf numFmtId="0" fontId="5" fillId="3" borderId="11" xfId="0" applyFont="1" applyFill="1" applyBorder="1" applyAlignment="1">
      <alignment wrapText="1"/>
    </xf>
    <xf numFmtId="0" fontId="0" fillId="0" borderId="11" xfId="0" applyBorder="1"/>
    <xf numFmtId="14" fontId="4" fillId="3" borderId="11" xfId="0" applyNumberFormat="1" applyFont="1" applyFill="1" applyBorder="1" applyAlignment="1">
      <alignment wrapText="1"/>
    </xf>
    <xf numFmtId="176" fontId="2" fillId="3" borderId="1" xfId="0" applyNumberFormat="1" applyFont="1" applyFill="1" applyBorder="1" applyAlignment="1"/>
    <xf numFmtId="176" fontId="2" fillId="3" borderId="9" xfId="0" applyNumberFormat="1" applyFont="1" applyFill="1" applyBorder="1" applyAlignment="1"/>
    <xf numFmtId="176" fontId="2" fillId="3" borderId="1" xfId="0" applyNumberFormat="1" applyFont="1" applyFill="1" applyBorder="1"/>
    <xf numFmtId="176" fontId="2" fillId="3" borderId="9" xfId="0" applyNumberFormat="1" applyFont="1" applyFill="1" applyBorder="1"/>
    <xf numFmtId="176" fontId="2" fillId="3" borderId="21" xfId="0" applyNumberFormat="1" applyFont="1" applyFill="1" applyBorder="1" applyAlignment="1"/>
    <xf numFmtId="177" fontId="0" fillId="0" borderId="0" xfId="0" applyNumberFormat="1"/>
    <xf numFmtId="14" fontId="0" fillId="0" borderId="11" xfId="0" applyNumberFormat="1" applyBorder="1" applyAlignment="1">
      <alignment horizontal="center" vertical="center"/>
    </xf>
    <xf numFmtId="178" fontId="0" fillId="0" borderId="11" xfId="0" applyNumberFormat="1" applyBorder="1" applyAlignment="1">
      <alignment horizontal="center" vertical="center"/>
    </xf>
    <xf numFmtId="14" fontId="6" fillId="3" borderId="11" xfId="0" applyNumberFormat="1" applyFont="1" applyFill="1" applyBorder="1" applyAlignment="1">
      <alignment wrapText="1"/>
    </xf>
    <xf numFmtId="0" fontId="6" fillId="3" borderId="11" xfId="0" applyFont="1" applyFill="1" applyBorder="1" applyAlignment="1">
      <alignment wrapText="1"/>
    </xf>
    <xf numFmtId="14" fontId="5" fillId="3" borderId="11" xfId="0" applyNumberFormat="1" applyFont="1" applyFill="1" applyBorder="1" applyAlignment="1">
      <alignment wrapText="1"/>
    </xf>
    <xf numFmtId="3" fontId="0" fillId="0" borderId="13" xfId="0" applyNumberFormat="1" applyBorder="1" applyAlignment="1">
      <alignment horizontal="center" vertical="center" wrapText="1"/>
    </xf>
    <xf numFmtId="0" fontId="7" fillId="4" borderId="23" xfId="0" applyFont="1" applyFill="1" applyBorder="1" applyAlignment="1">
      <alignment wrapText="1"/>
    </xf>
    <xf numFmtId="0" fontId="8" fillId="4" borderId="23" xfId="0" applyFont="1" applyFill="1" applyBorder="1" applyAlignment="1">
      <alignment wrapText="1"/>
    </xf>
    <xf numFmtId="20" fontId="8" fillId="4" borderId="23" xfId="0" applyNumberFormat="1" applyFont="1" applyFill="1" applyBorder="1" applyAlignment="1">
      <alignment wrapText="1"/>
    </xf>
    <xf numFmtId="0" fontId="8" fillId="4" borderId="23" xfId="0" quotePrefix="1" applyFont="1" applyFill="1" applyBorder="1" applyAlignment="1">
      <alignment wrapText="1"/>
    </xf>
    <xf numFmtId="0" fontId="8" fillId="4" borderId="23" xfId="0" applyFont="1" applyFill="1" applyBorder="1" applyAlignment="1"/>
    <xf numFmtId="0" fontId="7" fillId="3" borderId="23" xfId="0" applyFont="1" applyFill="1" applyBorder="1" applyAlignment="1">
      <alignment wrapText="1"/>
    </xf>
    <xf numFmtId="0" fontId="8" fillId="3" borderId="23" xfId="0" applyFont="1" applyFill="1" applyBorder="1" applyAlignment="1">
      <alignment wrapText="1"/>
    </xf>
    <xf numFmtId="20" fontId="8" fillId="3" borderId="23" xfId="0" applyNumberFormat="1" applyFont="1" applyFill="1" applyBorder="1" applyAlignment="1">
      <alignment wrapText="1"/>
    </xf>
    <xf numFmtId="0" fontId="8" fillId="3" borderId="23" xfId="0" applyFont="1" applyFill="1" applyBorder="1" applyAlignment="1"/>
    <xf numFmtId="0" fontId="7" fillId="4" borderId="24" xfId="0" applyFont="1" applyFill="1" applyBorder="1" applyAlignment="1">
      <alignment wrapText="1"/>
    </xf>
    <xf numFmtId="0" fontId="8" fillId="4" borderId="24" xfId="0" applyFont="1" applyFill="1" applyBorder="1" applyAlignment="1">
      <alignment wrapText="1"/>
    </xf>
    <xf numFmtId="20" fontId="8" fillId="4" borderId="24" xfId="0" applyNumberFormat="1" applyFont="1" applyFill="1" applyBorder="1" applyAlignment="1">
      <alignment wrapText="1"/>
    </xf>
    <xf numFmtId="0" fontId="0" fillId="3" borderId="0" xfId="0" applyFill="1"/>
    <xf numFmtId="0" fontId="9" fillId="0" borderId="25" xfId="0" applyFont="1" applyBorder="1" applyAlignment="1">
      <alignment horizontal="center" readingOrder="1"/>
    </xf>
    <xf numFmtId="20" fontId="9" fillId="0" borderId="25" xfId="0" applyNumberFormat="1" applyFont="1" applyBorder="1" applyAlignment="1">
      <alignment horizontal="center" readingOrder="1"/>
    </xf>
    <xf numFmtId="0" fontId="0" fillId="0" borderId="16" xfId="0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6" xfId="0" applyFont="1" applyFill="1" applyBorder="1" applyAlignment="1">
      <alignment horizontal="center" vertical="center"/>
    </xf>
    <xf numFmtId="14" fontId="5" fillId="3" borderId="17" xfId="0" applyNumberFormat="1" applyFont="1" applyFill="1" applyBorder="1" applyAlignment="1">
      <alignment wrapText="1"/>
    </xf>
    <xf numFmtId="0" fontId="5" fillId="3" borderId="17" xfId="0" applyFont="1" applyFill="1" applyBorder="1" applyAlignment="1">
      <alignment wrapText="1"/>
    </xf>
    <xf numFmtId="0" fontId="0" fillId="0" borderId="17" xfId="0" applyBorder="1"/>
    <xf numFmtId="3" fontId="1" fillId="3" borderId="1" xfId="1" applyNumberFormat="1" applyFill="1" applyBorder="1" applyAlignment="1"/>
    <xf numFmtId="0" fontId="2" fillId="3" borderId="1" xfId="0" applyFont="1" applyFill="1" applyBorder="1" applyAlignment="1">
      <alignment wrapText="1"/>
    </xf>
    <xf numFmtId="0" fontId="2" fillId="3" borderId="21" xfId="0" applyFont="1" applyFill="1" applyBorder="1" applyAlignment="1"/>
    <xf numFmtId="0" fontId="2" fillId="3" borderId="1" xfId="0" applyFont="1" applyFill="1" applyBorder="1" applyAlignment="1"/>
    <xf numFmtId="0" fontId="2" fillId="3" borderId="2" xfId="0" applyFont="1" applyFill="1" applyBorder="1" applyAlignment="1"/>
    <xf numFmtId="0" fontId="2" fillId="3" borderId="1" xfId="0" applyFont="1" applyFill="1" applyBorder="1" applyAlignment="1"/>
    <xf numFmtId="0" fontId="2" fillId="3" borderId="22" xfId="0" applyFont="1" applyFill="1" applyBorder="1" applyAlignment="1"/>
    <xf numFmtId="0" fontId="2" fillId="3" borderId="21" xfId="0" applyFont="1" applyFill="1" applyBorder="1" applyAlignment="1"/>
    <xf numFmtId="0" fontId="2" fillId="3" borderId="8" xfId="0" applyFont="1" applyFill="1" applyBorder="1" applyAlignment="1"/>
    <xf numFmtId="0" fontId="2" fillId="3" borderId="5" xfId="0" applyFont="1" applyFill="1" applyBorder="1" applyAlignment="1"/>
  </cellXfs>
  <cellStyles count="2">
    <cellStyle name="Hyperlink" xfId="1" xr:uid="{00000000-000B-0000-0000-000008000000}"/>
    <cellStyle name="標準" xfId="0" builtinId="0"/>
  </cellStyles>
  <dxfs count="17"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numFmt numFmtId="25" formatCode="h:mm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numFmt numFmtId="25" formatCode="h:mm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numFmt numFmtId="25" formatCode="h:mm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numFmt numFmtId="47" formatCode="m&quot;月&quot;d&quot;日&quot;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ＭＳ Ｐゴシック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9" defaultPivotStyle="PivotStyleLight16"/>
  <colors>
    <mruColors>
      <color rgb="FFD6D6D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637CE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4E7-496F-A8E3-087936B870BF}"/>
              </c:ext>
            </c:extLst>
          </c:dPt>
          <c:dPt>
            <c:idx val="1"/>
            <c:bubble3D val="0"/>
            <c:spPr>
              <a:solidFill>
                <a:srgbClr val="E3008C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4E7-496F-A8E3-087936B870BF}"/>
              </c:ext>
            </c:extLst>
          </c:dPt>
          <c:dPt>
            <c:idx val="2"/>
            <c:bubble3D val="0"/>
            <c:spPr>
              <a:solidFill>
                <a:srgbClr val="2AA0A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4E7-496F-A8E3-087936B870BF}"/>
              </c:ext>
            </c:extLst>
          </c:dPt>
          <c:dPt>
            <c:idx val="3"/>
            <c:bubble3D val="0"/>
            <c:spPr>
              <a:solidFill>
                <a:srgbClr val="9373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4E7-496F-A8E3-087936B870BF}"/>
              </c:ext>
            </c:extLst>
          </c:dPt>
          <c:dPt>
            <c:idx val="4"/>
            <c:bubble3D val="0"/>
            <c:spPr>
              <a:solidFill>
                <a:srgbClr val="13A10E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4E7-496F-A8E3-087936B870BF}"/>
              </c:ext>
            </c:extLst>
          </c:dPt>
          <c:dPt>
            <c:idx val="5"/>
            <c:bubble3D val="0"/>
            <c:spPr>
              <a:solidFill>
                <a:srgbClr val="3A96DD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300A-4B99-9FF9-CBCB8AAB752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マイル管理!$N$12:$N$17</c:f>
              <c:strCache>
                <c:ptCount val="6"/>
                <c:pt idx="0">
                  <c:v>JALチケット</c:v>
                </c:pt>
                <c:pt idx="1">
                  <c:v>ＪＡＬカードＴＯＫＹＵＰＯＩＮＴＣｌｕｂＱ</c:v>
                </c:pt>
                <c:pt idx="2">
                  <c:v>ＪＡＬカード入会搭乗ボーナス</c:v>
                </c:pt>
                <c:pt idx="3">
                  <c:v>ふるさと納税マイル</c:v>
                </c:pt>
                <c:pt idx="4">
                  <c:v>ＪＡＬ　ＷＥＬＬＮＥＳＳ＆ＴＲＡＶＥＬ</c:v>
                </c:pt>
                <c:pt idx="5">
                  <c:v>ＪＭＢアプリ	</c:v>
                </c:pt>
              </c:strCache>
            </c:strRef>
          </c:cat>
          <c:val>
            <c:numRef>
              <c:f>マイル管理!$O$12:$O$17</c:f>
              <c:numCache>
                <c:formatCode>General</c:formatCode>
                <c:ptCount val="6"/>
                <c:pt idx="0" formatCode="#,##0">
                  <c:v>100272</c:v>
                </c:pt>
                <c:pt idx="1">
                  <c:v>36789</c:v>
                </c:pt>
                <c:pt idx="2">
                  <c:v>5000</c:v>
                </c:pt>
                <c:pt idx="3">
                  <c:v>2000</c:v>
                </c:pt>
                <c:pt idx="4">
                  <c:v>4942</c:v>
                </c:pt>
                <c:pt idx="5">
                  <c:v>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A174-442C-B99C-2ABF2CC7B085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有効マイル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マイル管理!#REF!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cat>
            <c:strRef>
              <c:f>マイル管理!$A$2:$A$302</c:f>
              <c:strCache>
                <c:ptCount val="301"/>
                <c:pt idx="0">
                  <c:v>2015/4/19</c:v>
                </c:pt>
                <c:pt idx="1">
                  <c:v>2015/4/22</c:v>
                </c:pt>
                <c:pt idx="2">
                  <c:v>2023/7/21</c:v>
                </c:pt>
                <c:pt idx="3">
                  <c:v>2023/7/24</c:v>
                </c:pt>
                <c:pt idx="4">
                  <c:v>2023/8/27</c:v>
                </c:pt>
                <c:pt idx="5">
                  <c:v>2023/9/6</c:v>
                </c:pt>
                <c:pt idx="6">
                  <c:v>2024/2/9</c:v>
                </c:pt>
                <c:pt idx="7">
                  <c:v>2024/2/11</c:v>
                </c:pt>
                <c:pt idx="8">
                  <c:v> </c:v>
                </c:pt>
                <c:pt idx="9">
                  <c:v>2024/8/7</c:v>
                </c:pt>
                <c:pt idx="10">
                  <c:v>2024/8/8</c:v>
                </c:pt>
                <c:pt idx="12">
                  <c:v>2024/10/24</c:v>
                </c:pt>
                <c:pt idx="13">
                  <c:v>2024/10/25</c:v>
                </c:pt>
                <c:pt idx="14">
                  <c:v>2024/11/15</c:v>
                </c:pt>
                <c:pt idx="15">
                  <c:v>2024/11/16</c:v>
                </c:pt>
                <c:pt idx="16">
                  <c:v>2024/12/20</c:v>
                </c:pt>
                <c:pt idx="17">
                  <c:v>2024/12/21</c:v>
                </c:pt>
                <c:pt idx="18">
                  <c:v>2024/12/24</c:v>
                </c:pt>
                <c:pt idx="19">
                  <c:v>2025/1/23</c:v>
                </c:pt>
                <c:pt idx="20">
                  <c:v>2025/1/25</c:v>
                </c:pt>
                <c:pt idx="21">
                  <c:v>2025/3/11</c:v>
                </c:pt>
                <c:pt idx="22">
                  <c:v>2025/3/11</c:v>
                </c:pt>
                <c:pt idx="23">
                  <c:v>2025/5/7</c:v>
                </c:pt>
                <c:pt idx="24">
                  <c:v>2025/5/10</c:v>
                </c:pt>
                <c:pt idx="25">
                  <c:v>2025/6/26</c:v>
                </c:pt>
                <c:pt idx="26">
                  <c:v>2025/6/28</c:v>
                </c:pt>
                <c:pt idx="27">
                  <c:v>2025/7/2</c:v>
                </c:pt>
                <c:pt idx="28">
                  <c:v>2025/7/3</c:v>
                </c:pt>
                <c:pt idx="29">
                  <c:v>2025/7/3</c:v>
                </c:pt>
                <c:pt idx="30">
                  <c:v>2025/7/4</c:v>
                </c:pt>
                <c:pt idx="31">
                  <c:v>2025/7/5</c:v>
                </c:pt>
                <c:pt idx="32">
                  <c:v>2025/7/6</c:v>
                </c:pt>
                <c:pt idx="33">
                  <c:v>2025/7/7</c:v>
                </c:pt>
                <c:pt idx="34">
                  <c:v>2025/7/8</c:v>
                </c:pt>
                <c:pt idx="35">
                  <c:v>2025/7/8</c:v>
                </c:pt>
                <c:pt idx="36">
                  <c:v>2025/7/9</c:v>
                </c:pt>
                <c:pt idx="37">
                  <c:v>2025/7/10</c:v>
                </c:pt>
                <c:pt idx="38">
                  <c:v>2025/7/10</c:v>
                </c:pt>
                <c:pt idx="39">
                  <c:v>2025/7/11</c:v>
                </c:pt>
                <c:pt idx="40">
                  <c:v>2025/7/11</c:v>
                </c:pt>
                <c:pt idx="41">
                  <c:v>2025/7/12</c:v>
                </c:pt>
                <c:pt idx="42">
                  <c:v>2025/7/12</c:v>
                </c:pt>
                <c:pt idx="43">
                  <c:v>2025/7/13</c:v>
                </c:pt>
                <c:pt idx="44">
                  <c:v>2025/7/13</c:v>
                </c:pt>
                <c:pt idx="45">
                  <c:v>2025/7/14</c:v>
                </c:pt>
                <c:pt idx="46">
                  <c:v>2025/7/15</c:v>
                </c:pt>
                <c:pt idx="47">
                  <c:v>2025/7/15</c:v>
                </c:pt>
                <c:pt idx="48">
                  <c:v>2025/7/16</c:v>
                </c:pt>
                <c:pt idx="49">
                  <c:v>2025/7/17</c:v>
                </c:pt>
                <c:pt idx="50">
                  <c:v>2025/7/18</c:v>
                </c:pt>
                <c:pt idx="51">
                  <c:v>2025/7/19</c:v>
                </c:pt>
                <c:pt idx="52">
                  <c:v>2025/7/20</c:v>
                </c:pt>
                <c:pt idx="53">
                  <c:v>2025/7/21</c:v>
                </c:pt>
                <c:pt idx="54">
                  <c:v>2025/7/22</c:v>
                </c:pt>
                <c:pt idx="55">
                  <c:v>2025/7/22</c:v>
                </c:pt>
                <c:pt idx="56">
                  <c:v>2025/7/22</c:v>
                </c:pt>
                <c:pt idx="57">
                  <c:v>2025/7/23</c:v>
                </c:pt>
                <c:pt idx="58">
                  <c:v>2025/7/24</c:v>
                </c:pt>
                <c:pt idx="59">
                  <c:v>2025/7/25</c:v>
                </c:pt>
                <c:pt idx="60">
                  <c:v>2025/7/26</c:v>
                </c:pt>
                <c:pt idx="61">
                  <c:v>2025/7/26</c:v>
                </c:pt>
                <c:pt idx="62">
                  <c:v>2025/7/27</c:v>
                </c:pt>
                <c:pt idx="63">
                  <c:v>2025/7/27</c:v>
                </c:pt>
                <c:pt idx="64">
                  <c:v>2025/7/28</c:v>
                </c:pt>
                <c:pt idx="65">
                  <c:v>2025/7/29</c:v>
                </c:pt>
                <c:pt idx="66">
                  <c:v>2025/7/29</c:v>
                </c:pt>
                <c:pt idx="67">
                  <c:v>2025/7/30</c:v>
                </c:pt>
                <c:pt idx="68">
                  <c:v>2025/7/30</c:v>
                </c:pt>
                <c:pt idx="69">
                  <c:v>2025/7/31</c:v>
                </c:pt>
                <c:pt idx="70">
                  <c:v>2025/8/1</c:v>
                </c:pt>
                <c:pt idx="71">
                  <c:v>2025/8/2</c:v>
                </c:pt>
                <c:pt idx="72">
                  <c:v>2025/8/2</c:v>
                </c:pt>
                <c:pt idx="73">
                  <c:v>2025/8/3</c:v>
                </c:pt>
                <c:pt idx="74">
                  <c:v>2025/8/3</c:v>
                </c:pt>
                <c:pt idx="75">
                  <c:v>2025/8/4</c:v>
                </c:pt>
                <c:pt idx="76">
                  <c:v>2025/8/5</c:v>
                </c:pt>
                <c:pt idx="77">
                  <c:v>2025/8/6</c:v>
                </c:pt>
                <c:pt idx="78">
                  <c:v>2025/8/6</c:v>
                </c:pt>
                <c:pt idx="79">
                  <c:v>2025/8/6</c:v>
                </c:pt>
                <c:pt idx="80">
                  <c:v>2025/8/7</c:v>
                </c:pt>
                <c:pt idx="81">
                  <c:v>2025/8/8</c:v>
                </c:pt>
                <c:pt idx="82">
                  <c:v>2025/8/9</c:v>
                </c:pt>
                <c:pt idx="83">
                  <c:v>2025/8/10</c:v>
                </c:pt>
                <c:pt idx="84">
                  <c:v>2025/8/10</c:v>
                </c:pt>
                <c:pt idx="85">
                  <c:v>2025/8/11</c:v>
                </c:pt>
                <c:pt idx="86">
                  <c:v>2025/8/12</c:v>
                </c:pt>
                <c:pt idx="87">
                  <c:v>2025/8/13</c:v>
                </c:pt>
                <c:pt idx="88">
                  <c:v>2025/8/14</c:v>
                </c:pt>
                <c:pt idx="89">
                  <c:v>2025/8/15</c:v>
                </c:pt>
                <c:pt idx="90">
                  <c:v>2025/8/16</c:v>
                </c:pt>
                <c:pt idx="91">
                  <c:v>2025/8/17</c:v>
                </c:pt>
                <c:pt idx="92">
                  <c:v>2025/8/18</c:v>
                </c:pt>
                <c:pt idx="93">
                  <c:v>2025/8/19</c:v>
                </c:pt>
                <c:pt idx="94">
                  <c:v>2025/8/20</c:v>
                </c:pt>
                <c:pt idx="95">
                  <c:v>2025/8/21</c:v>
                </c:pt>
                <c:pt idx="96">
                  <c:v>2025/8/21</c:v>
                </c:pt>
                <c:pt idx="97">
                  <c:v>2025/8/22</c:v>
                </c:pt>
                <c:pt idx="98">
                  <c:v>2025/8/22</c:v>
                </c:pt>
                <c:pt idx="99">
                  <c:v>2025/8/23</c:v>
                </c:pt>
                <c:pt idx="100">
                  <c:v>2025/8/24</c:v>
                </c:pt>
                <c:pt idx="101">
                  <c:v>2025/8/25</c:v>
                </c:pt>
                <c:pt idx="102">
                  <c:v>2025/8/26</c:v>
                </c:pt>
                <c:pt idx="103">
                  <c:v>2025/8/27</c:v>
                </c:pt>
                <c:pt idx="104">
                  <c:v>2025/8/27</c:v>
                </c:pt>
                <c:pt idx="105">
                  <c:v>2025/8/28</c:v>
                </c:pt>
                <c:pt idx="106">
                  <c:v>2025/8/28</c:v>
                </c:pt>
                <c:pt idx="107">
                  <c:v>2025/8/29</c:v>
                </c:pt>
                <c:pt idx="108">
                  <c:v>2025/8/30</c:v>
                </c:pt>
                <c:pt idx="109">
                  <c:v>2025/8/31</c:v>
                </c:pt>
                <c:pt idx="110">
                  <c:v>2025/8/31</c:v>
                </c:pt>
                <c:pt idx="111">
                  <c:v>2025/9/1</c:v>
                </c:pt>
                <c:pt idx="112">
                  <c:v>2025/9/1</c:v>
                </c:pt>
                <c:pt idx="113">
                  <c:v>2025/9/2</c:v>
                </c:pt>
                <c:pt idx="114">
                  <c:v>2025/9/3</c:v>
                </c:pt>
                <c:pt idx="115">
                  <c:v>2025/9/3</c:v>
                </c:pt>
                <c:pt idx="116">
                  <c:v>2025/9/4</c:v>
                </c:pt>
                <c:pt idx="117">
                  <c:v>2025/9/5</c:v>
                </c:pt>
                <c:pt idx="118">
                  <c:v>2025/9/6</c:v>
                </c:pt>
                <c:pt idx="119">
                  <c:v>2025/9/7</c:v>
                </c:pt>
                <c:pt idx="120">
                  <c:v>2025/9/8</c:v>
                </c:pt>
                <c:pt idx="121">
                  <c:v>2025/9/9</c:v>
                </c:pt>
                <c:pt idx="122">
                  <c:v>2025/9/10</c:v>
                </c:pt>
                <c:pt idx="123">
                  <c:v>2025/9/10</c:v>
                </c:pt>
                <c:pt idx="124">
                  <c:v>2025/9/11</c:v>
                </c:pt>
                <c:pt idx="125">
                  <c:v>2025/9/11</c:v>
                </c:pt>
                <c:pt idx="126">
                  <c:v>2025/9/12</c:v>
                </c:pt>
                <c:pt idx="127">
                  <c:v>2025/9/13</c:v>
                </c:pt>
                <c:pt idx="128">
                  <c:v>2025/9/14</c:v>
                </c:pt>
                <c:pt idx="129">
                  <c:v>2025/9/14</c:v>
                </c:pt>
                <c:pt idx="130">
                  <c:v>2025/9/14</c:v>
                </c:pt>
                <c:pt idx="131">
                  <c:v>2025/9/15</c:v>
                </c:pt>
                <c:pt idx="132">
                  <c:v>2025/9/15</c:v>
                </c:pt>
                <c:pt idx="133">
                  <c:v>2025/9/16</c:v>
                </c:pt>
                <c:pt idx="134">
                  <c:v>2025/9/17</c:v>
                </c:pt>
                <c:pt idx="135">
                  <c:v>2025/9/17</c:v>
                </c:pt>
                <c:pt idx="136">
                  <c:v>2025/9/18</c:v>
                </c:pt>
                <c:pt idx="137">
                  <c:v>2025/9/19</c:v>
                </c:pt>
                <c:pt idx="138">
                  <c:v>2025/9/19</c:v>
                </c:pt>
                <c:pt idx="139">
                  <c:v>2025/9/19</c:v>
                </c:pt>
                <c:pt idx="140">
                  <c:v>2025/9/19</c:v>
                </c:pt>
                <c:pt idx="141">
                  <c:v>2025/9/19</c:v>
                </c:pt>
                <c:pt idx="142">
                  <c:v>2025/9/20</c:v>
                </c:pt>
                <c:pt idx="143">
                  <c:v>2025/9/21</c:v>
                </c:pt>
                <c:pt idx="144">
                  <c:v>2025/9/22</c:v>
                </c:pt>
                <c:pt idx="145">
                  <c:v>2025/9/23</c:v>
                </c:pt>
                <c:pt idx="146">
                  <c:v>2025/9/24</c:v>
                </c:pt>
                <c:pt idx="147">
                  <c:v>2025/9/25</c:v>
                </c:pt>
                <c:pt idx="148">
                  <c:v>2025/9/26</c:v>
                </c:pt>
                <c:pt idx="149">
                  <c:v>2025/9/26</c:v>
                </c:pt>
                <c:pt idx="150">
                  <c:v>2025/9/26</c:v>
                </c:pt>
                <c:pt idx="151">
                  <c:v>2025/9/26</c:v>
                </c:pt>
                <c:pt idx="152">
                  <c:v>2025/9/26</c:v>
                </c:pt>
                <c:pt idx="153">
                  <c:v>2025/9/26</c:v>
                </c:pt>
                <c:pt idx="154">
                  <c:v>2025/9/26</c:v>
                </c:pt>
                <c:pt idx="155">
                  <c:v>2025/9/26</c:v>
                </c:pt>
                <c:pt idx="156">
                  <c:v>2025/9/27</c:v>
                </c:pt>
                <c:pt idx="157">
                  <c:v>2025/9/27</c:v>
                </c:pt>
                <c:pt idx="158">
                  <c:v>2025/9/27</c:v>
                </c:pt>
                <c:pt idx="159">
                  <c:v>2025/9/27</c:v>
                </c:pt>
                <c:pt idx="160">
                  <c:v>2025/9/27</c:v>
                </c:pt>
                <c:pt idx="161">
                  <c:v>2025/9/27</c:v>
                </c:pt>
                <c:pt idx="162">
                  <c:v>2025/9/27</c:v>
                </c:pt>
                <c:pt idx="163">
                  <c:v>2025/9/27</c:v>
                </c:pt>
                <c:pt idx="164">
                  <c:v>2025/9/27</c:v>
                </c:pt>
                <c:pt idx="165">
                  <c:v>2025/9/27</c:v>
                </c:pt>
                <c:pt idx="166">
                  <c:v>2025/9/28</c:v>
                </c:pt>
                <c:pt idx="167">
                  <c:v>2025/9/29</c:v>
                </c:pt>
                <c:pt idx="168">
                  <c:v>2025/9/30</c:v>
                </c:pt>
                <c:pt idx="169">
                  <c:v>2025/9/30</c:v>
                </c:pt>
                <c:pt idx="170">
                  <c:v>2025/10/1</c:v>
                </c:pt>
                <c:pt idx="171">
                  <c:v>2025/10/2</c:v>
                </c:pt>
                <c:pt idx="172">
                  <c:v>2025/10/2</c:v>
                </c:pt>
                <c:pt idx="173">
                  <c:v>2025/10/3</c:v>
                </c:pt>
                <c:pt idx="174">
                  <c:v>2025/10/3</c:v>
                </c:pt>
                <c:pt idx="175">
                  <c:v>2025/10/4</c:v>
                </c:pt>
                <c:pt idx="176">
                  <c:v>2025/10/4</c:v>
                </c:pt>
                <c:pt idx="177">
                  <c:v>2025/10/4</c:v>
                </c:pt>
                <c:pt idx="178">
                  <c:v>2025/10/5</c:v>
                </c:pt>
                <c:pt idx="179">
                  <c:v>2025/10/5</c:v>
                </c:pt>
                <c:pt idx="180">
                  <c:v>2025/10/5</c:v>
                </c:pt>
                <c:pt idx="181">
                  <c:v>2025/10/5</c:v>
                </c:pt>
                <c:pt idx="182">
                  <c:v>2025/10/5</c:v>
                </c:pt>
                <c:pt idx="183">
                  <c:v>2025/10/5</c:v>
                </c:pt>
                <c:pt idx="184">
                  <c:v>2025/10/5</c:v>
                </c:pt>
                <c:pt idx="185">
                  <c:v>2025/10/5</c:v>
                </c:pt>
                <c:pt idx="186">
                  <c:v>2025/10/5</c:v>
                </c:pt>
                <c:pt idx="187">
                  <c:v>2025/10/6</c:v>
                </c:pt>
                <c:pt idx="188">
                  <c:v>2025/10/7</c:v>
                </c:pt>
                <c:pt idx="189">
                  <c:v>2025/10/8</c:v>
                </c:pt>
                <c:pt idx="190">
                  <c:v>2025/10/9</c:v>
                </c:pt>
                <c:pt idx="191">
                  <c:v>2025/10/9</c:v>
                </c:pt>
                <c:pt idx="192">
                  <c:v>2025/10/10</c:v>
                </c:pt>
                <c:pt idx="193">
                  <c:v>2025/10/10</c:v>
                </c:pt>
                <c:pt idx="194">
                  <c:v>2025/10/11</c:v>
                </c:pt>
                <c:pt idx="195">
                  <c:v>2025/10/12</c:v>
                </c:pt>
                <c:pt idx="196">
                  <c:v>2025/10/13</c:v>
                </c:pt>
                <c:pt idx="197">
                  <c:v>2025/10/14</c:v>
                </c:pt>
                <c:pt idx="198">
                  <c:v>2025/10/14</c:v>
                </c:pt>
                <c:pt idx="199">
                  <c:v>2025/10/14</c:v>
                </c:pt>
                <c:pt idx="200">
                  <c:v>2025/10/15</c:v>
                </c:pt>
                <c:pt idx="201">
                  <c:v>2025/10/16</c:v>
                </c:pt>
                <c:pt idx="202">
                  <c:v>2025/10/17</c:v>
                </c:pt>
                <c:pt idx="203">
                  <c:v>2025/10/18</c:v>
                </c:pt>
                <c:pt idx="204">
                  <c:v>2025/10/19</c:v>
                </c:pt>
                <c:pt idx="205">
                  <c:v>2025/10/20</c:v>
                </c:pt>
                <c:pt idx="206">
                  <c:v>2025/10/21</c:v>
                </c:pt>
                <c:pt idx="207">
                  <c:v>2025/10/21</c:v>
                </c:pt>
                <c:pt idx="208">
                  <c:v>2025/10/22</c:v>
                </c:pt>
                <c:pt idx="209">
                  <c:v>2025/10/23</c:v>
                </c:pt>
                <c:pt idx="210">
                  <c:v>2025/10/23</c:v>
                </c:pt>
                <c:pt idx="211">
                  <c:v>2025/10/24</c:v>
                </c:pt>
                <c:pt idx="212">
                  <c:v>2025/10/24</c:v>
                </c:pt>
                <c:pt idx="213">
                  <c:v>2025/10/25</c:v>
                </c:pt>
                <c:pt idx="214">
                  <c:v>2025/10/26</c:v>
                </c:pt>
                <c:pt idx="215">
                  <c:v>2025/10/27</c:v>
                </c:pt>
                <c:pt idx="216">
                  <c:v>2025/10/28</c:v>
                </c:pt>
                <c:pt idx="217">
                  <c:v>2025/10/29</c:v>
                </c:pt>
                <c:pt idx="218">
                  <c:v>2025/10/30</c:v>
                </c:pt>
                <c:pt idx="219">
                  <c:v>2025/10/31</c:v>
                </c:pt>
                <c:pt idx="220">
                  <c:v>2025/11/1</c:v>
                </c:pt>
                <c:pt idx="221">
                  <c:v>2025/11/2</c:v>
                </c:pt>
                <c:pt idx="222">
                  <c:v>2025/11/3</c:v>
                </c:pt>
                <c:pt idx="223">
                  <c:v>2025/11/4</c:v>
                </c:pt>
                <c:pt idx="224">
                  <c:v>2025/11/5</c:v>
                </c:pt>
                <c:pt idx="225">
                  <c:v>2025/11/6</c:v>
                </c:pt>
                <c:pt idx="226">
                  <c:v>2025/11/7</c:v>
                </c:pt>
                <c:pt idx="227">
                  <c:v>2025/11/7</c:v>
                </c:pt>
                <c:pt idx="228">
                  <c:v>2025/11/8</c:v>
                </c:pt>
                <c:pt idx="229">
                  <c:v>2025/11/9</c:v>
                </c:pt>
                <c:pt idx="230">
                  <c:v>2025/11/9</c:v>
                </c:pt>
                <c:pt idx="231">
                  <c:v>2025/11/10</c:v>
                </c:pt>
                <c:pt idx="232">
                  <c:v>2025/11/10</c:v>
                </c:pt>
                <c:pt idx="233">
                  <c:v>2025/11/11</c:v>
                </c:pt>
                <c:pt idx="234">
                  <c:v>2025/11/12</c:v>
                </c:pt>
                <c:pt idx="235">
                  <c:v>2025/11/13</c:v>
                </c:pt>
                <c:pt idx="236">
                  <c:v>2025/11/14</c:v>
                </c:pt>
                <c:pt idx="237">
                  <c:v>2025/11/15</c:v>
                </c:pt>
                <c:pt idx="238">
                  <c:v>2025/11/16</c:v>
                </c:pt>
                <c:pt idx="239">
                  <c:v>2025/11/17</c:v>
                </c:pt>
                <c:pt idx="240">
                  <c:v>2025/11/18</c:v>
                </c:pt>
                <c:pt idx="241">
                  <c:v>2025/11/19</c:v>
                </c:pt>
                <c:pt idx="242">
                  <c:v>2025/11/19</c:v>
                </c:pt>
                <c:pt idx="243">
                  <c:v>2025/11/19</c:v>
                </c:pt>
                <c:pt idx="244">
                  <c:v>2025/11/20</c:v>
                </c:pt>
                <c:pt idx="245">
                  <c:v>2025/11/20</c:v>
                </c:pt>
                <c:pt idx="246">
                  <c:v>2025/11/21</c:v>
                </c:pt>
                <c:pt idx="247">
                  <c:v>2025/11/22</c:v>
                </c:pt>
                <c:pt idx="248">
                  <c:v>2025/11/22</c:v>
                </c:pt>
                <c:pt idx="249">
                  <c:v>2025/11/23</c:v>
                </c:pt>
                <c:pt idx="250">
                  <c:v>2025/11/24</c:v>
                </c:pt>
                <c:pt idx="251">
                  <c:v>2025/11/24</c:v>
                </c:pt>
                <c:pt idx="252">
                  <c:v>2025/11/25</c:v>
                </c:pt>
                <c:pt idx="253">
                  <c:v>2025/11/25</c:v>
                </c:pt>
                <c:pt idx="254">
                  <c:v>2025/11/26</c:v>
                </c:pt>
                <c:pt idx="255">
                  <c:v>2025/11/26</c:v>
                </c:pt>
                <c:pt idx="256">
                  <c:v>2025/11/27</c:v>
                </c:pt>
                <c:pt idx="257">
                  <c:v>2025/11/27</c:v>
                </c:pt>
                <c:pt idx="258">
                  <c:v>2025/11/28</c:v>
                </c:pt>
                <c:pt idx="259">
                  <c:v>2025/11/29</c:v>
                </c:pt>
                <c:pt idx="260">
                  <c:v>2025/11/30</c:v>
                </c:pt>
                <c:pt idx="261">
                  <c:v>2025/12/1</c:v>
                </c:pt>
                <c:pt idx="262">
                  <c:v>2025/12/1</c:v>
                </c:pt>
                <c:pt idx="263">
                  <c:v>2025/12/2</c:v>
                </c:pt>
                <c:pt idx="264">
                  <c:v>2025/12/2</c:v>
                </c:pt>
                <c:pt idx="265">
                  <c:v>2025/12/3</c:v>
                </c:pt>
                <c:pt idx="266">
                  <c:v>2025/12/3</c:v>
                </c:pt>
                <c:pt idx="267">
                  <c:v>2025/12/3</c:v>
                </c:pt>
                <c:pt idx="268">
                  <c:v>2025/12/3</c:v>
                </c:pt>
                <c:pt idx="269">
                  <c:v>2025/12/3</c:v>
                </c:pt>
                <c:pt idx="270">
                  <c:v>2025/12/3</c:v>
                </c:pt>
                <c:pt idx="271">
                  <c:v>2025/12/3</c:v>
                </c:pt>
                <c:pt idx="272">
                  <c:v>2025/12/3</c:v>
                </c:pt>
                <c:pt idx="273">
                  <c:v>2025/12/3</c:v>
                </c:pt>
                <c:pt idx="274">
                  <c:v>2025/12/3</c:v>
                </c:pt>
                <c:pt idx="275">
                  <c:v>2025/12/4</c:v>
                </c:pt>
                <c:pt idx="276">
                  <c:v>2025/12/5</c:v>
                </c:pt>
                <c:pt idx="277">
                  <c:v>2025/12/6</c:v>
                </c:pt>
                <c:pt idx="278">
                  <c:v>2025/12/7</c:v>
                </c:pt>
                <c:pt idx="279">
                  <c:v>2025/12/8</c:v>
                </c:pt>
                <c:pt idx="280">
                  <c:v>2025/12/9</c:v>
                </c:pt>
                <c:pt idx="281">
                  <c:v>2025/12/10</c:v>
                </c:pt>
                <c:pt idx="282">
                  <c:v>2025/12/10</c:v>
                </c:pt>
                <c:pt idx="283">
                  <c:v>2025/12/10</c:v>
                </c:pt>
                <c:pt idx="284">
                  <c:v>2025/12/10</c:v>
                </c:pt>
                <c:pt idx="285">
                  <c:v>2025/12/11</c:v>
                </c:pt>
                <c:pt idx="286">
                  <c:v>2025/12/12</c:v>
                </c:pt>
                <c:pt idx="287">
                  <c:v>2025/12/12</c:v>
                </c:pt>
                <c:pt idx="288">
                  <c:v>2025/12/13</c:v>
                </c:pt>
                <c:pt idx="289">
                  <c:v>2025/12/13</c:v>
                </c:pt>
                <c:pt idx="290">
                  <c:v>2025/12/14</c:v>
                </c:pt>
                <c:pt idx="291">
                  <c:v>2025/12/14</c:v>
                </c:pt>
                <c:pt idx="292">
                  <c:v>2025/12/15</c:v>
                </c:pt>
                <c:pt idx="293">
                  <c:v>2025/12/16</c:v>
                </c:pt>
                <c:pt idx="294">
                  <c:v>2025/12/16</c:v>
                </c:pt>
                <c:pt idx="295">
                  <c:v>2025/12/17</c:v>
                </c:pt>
                <c:pt idx="296">
                  <c:v>2025/12/18</c:v>
                </c:pt>
                <c:pt idx="297">
                  <c:v>2025/12/18</c:v>
                </c:pt>
                <c:pt idx="298">
                  <c:v>2025/12/18</c:v>
                </c:pt>
                <c:pt idx="299">
                  <c:v>2025/12/19</c:v>
                </c:pt>
                <c:pt idx="300">
                  <c:v>2025/12/20</c:v>
                </c:pt>
              </c:strCache>
            </c:strRef>
          </c:cat>
          <c:val>
            <c:numRef>
              <c:f>マイル管理!$I$2:$I$302</c:f>
              <c:numCache>
                <c:formatCode>#,##0</c:formatCode>
                <c:ptCount val="301"/>
                <c:pt idx="8">
                  <c:v>6265</c:v>
                </c:pt>
                <c:pt idx="9">
                  <c:v>6832</c:v>
                </c:pt>
                <c:pt idx="10">
                  <c:v>7399</c:v>
                </c:pt>
                <c:pt idx="12">
                  <c:v>7966</c:v>
                </c:pt>
                <c:pt idx="13">
                  <c:v>8533</c:v>
                </c:pt>
                <c:pt idx="14">
                  <c:v>9015</c:v>
                </c:pt>
                <c:pt idx="15">
                  <c:v>9497</c:v>
                </c:pt>
                <c:pt idx="16">
                  <c:v>9935</c:v>
                </c:pt>
                <c:pt idx="17">
                  <c:v>10417</c:v>
                </c:pt>
                <c:pt idx="18">
                  <c:v>10842</c:v>
                </c:pt>
                <c:pt idx="19">
                  <c:v>11466</c:v>
                </c:pt>
                <c:pt idx="20">
                  <c:v>12090</c:v>
                </c:pt>
                <c:pt idx="21">
                  <c:v>12714</c:v>
                </c:pt>
                <c:pt idx="22">
                  <c:v>13338</c:v>
                </c:pt>
                <c:pt idx="23">
                  <c:v>13962</c:v>
                </c:pt>
                <c:pt idx="24">
                  <c:v>14586</c:v>
                </c:pt>
                <c:pt idx="25">
                  <c:v>15210</c:v>
                </c:pt>
                <c:pt idx="26">
                  <c:v>15834</c:v>
                </c:pt>
                <c:pt idx="27">
                  <c:v>15851</c:v>
                </c:pt>
                <c:pt idx="28">
                  <c:v>15852</c:v>
                </c:pt>
                <c:pt idx="29">
                  <c:v>15869</c:v>
                </c:pt>
                <c:pt idx="30">
                  <c:v>15878</c:v>
                </c:pt>
                <c:pt idx="31">
                  <c:v>15887</c:v>
                </c:pt>
                <c:pt idx="32">
                  <c:v>15927</c:v>
                </c:pt>
                <c:pt idx="33">
                  <c:v>15935</c:v>
                </c:pt>
                <c:pt idx="34">
                  <c:v>15936</c:v>
                </c:pt>
                <c:pt idx="35">
                  <c:v>15944</c:v>
                </c:pt>
                <c:pt idx="36">
                  <c:v>15952</c:v>
                </c:pt>
                <c:pt idx="37">
                  <c:v>15953</c:v>
                </c:pt>
                <c:pt idx="38">
                  <c:v>15960</c:v>
                </c:pt>
                <c:pt idx="39">
                  <c:v>15961</c:v>
                </c:pt>
                <c:pt idx="40">
                  <c:v>15970</c:v>
                </c:pt>
                <c:pt idx="41">
                  <c:v>15971</c:v>
                </c:pt>
                <c:pt idx="42">
                  <c:v>15979</c:v>
                </c:pt>
                <c:pt idx="43">
                  <c:v>17979</c:v>
                </c:pt>
                <c:pt idx="44">
                  <c:v>18016</c:v>
                </c:pt>
                <c:pt idx="45">
                  <c:v>18024</c:v>
                </c:pt>
                <c:pt idx="46">
                  <c:v>18025</c:v>
                </c:pt>
                <c:pt idx="47">
                  <c:v>18033</c:v>
                </c:pt>
                <c:pt idx="48">
                  <c:v>18039</c:v>
                </c:pt>
                <c:pt idx="49">
                  <c:v>18046</c:v>
                </c:pt>
                <c:pt idx="50">
                  <c:v>18056</c:v>
                </c:pt>
                <c:pt idx="51">
                  <c:v>18063</c:v>
                </c:pt>
                <c:pt idx="52">
                  <c:v>18091</c:v>
                </c:pt>
                <c:pt idx="53">
                  <c:v>18103</c:v>
                </c:pt>
                <c:pt idx="54">
                  <c:v>18634</c:v>
                </c:pt>
                <c:pt idx="55">
                  <c:v>18690</c:v>
                </c:pt>
                <c:pt idx="56">
                  <c:v>23690</c:v>
                </c:pt>
                <c:pt idx="57">
                  <c:v>23803</c:v>
                </c:pt>
                <c:pt idx="58">
                  <c:v>23812</c:v>
                </c:pt>
                <c:pt idx="59">
                  <c:v>23821</c:v>
                </c:pt>
                <c:pt idx="60">
                  <c:v>23822</c:v>
                </c:pt>
                <c:pt idx="61">
                  <c:v>23827</c:v>
                </c:pt>
                <c:pt idx="62">
                  <c:v>24358</c:v>
                </c:pt>
                <c:pt idx="63">
                  <c:v>24387</c:v>
                </c:pt>
                <c:pt idx="64">
                  <c:v>24396</c:v>
                </c:pt>
                <c:pt idx="65">
                  <c:v>24397</c:v>
                </c:pt>
                <c:pt idx="66">
                  <c:v>24407</c:v>
                </c:pt>
                <c:pt idx="67">
                  <c:v>24408</c:v>
                </c:pt>
                <c:pt idx="68">
                  <c:v>24421</c:v>
                </c:pt>
                <c:pt idx="69">
                  <c:v>24429</c:v>
                </c:pt>
                <c:pt idx="70">
                  <c:v>24447</c:v>
                </c:pt>
                <c:pt idx="71">
                  <c:v>24645</c:v>
                </c:pt>
                <c:pt idx="72">
                  <c:v>24654</c:v>
                </c:pt>
                <c:pt idx="73">
                  <c:v>24852</c:v>
                </c:pt>
                <c:pt idx="74">
                  <c:v>24922</c:v>
                </c:pt>
                <c:pt idx="75">
                  <c:v>24971</c:v>
                </c:pt>
                <c:pt idx="76">
                  <c:v>24977</c:v>
                </c:pt>
                <c:pt idx="77">
                  <c:v>25362</c:v>
                </c:pt>
                <c:pt idx="78">
                  <c:v>25747</c:v>
                </c:pt>
                <c:pt idx="79">
                  <c:v>25757</c:v>
                </c:pt>
                <c:pt idx="80">
                  <c:v>25863</c:v>
                </c:pt>
                <c:pt idx="81">
                  <c:v>25869</c:v>
                </c:pt>
                <c:pt idx="82">
                  <c:v>25878</c:v>
                </c:pt>
                <c:pt idx="83">
                  <c:v>25879</c:v>
                </c:pt>
                <c:pt idx="84">
                  <c:v>25900</c:v>
                </c:pt>
                <c:pt idx="85">
                  <c:v>25909</c:v>
                </c:pt>
                <c:pt idx="86">
                  <c:v>25918</c:v>
                </c:pt>
                <c:pt idx="87">
                  <c:v>25977</c:v>
                </c:pt>
                <c:pt idx="88">
                  <c:v>26038</c:v>
                </c:pt>
                <c:pt idx="89">
                  <c:v>26046</c:v>
                </c:pt>
                <c:pt idx="90">
                  <c:v>26055</c:v>
                </c:pt>
                <c:pt idx="91">
                  <c:v>26082</c:v>
                </c:pt>
                <c:pt idx="92">
                  <c:v>28598</c:v>
                </c:pt>
                <c:pt idx="93">
                  <c:v>28606</c:v>
                </c:pt>
                <c:pt idx="94">
                  <c:v>28624</c:v>
                </c:pt>
                <c:pt idx="95">
                  <c:v>29160</c:v>
                </c:pt>
                <c:pt idx="96">
                  <c:v>29168</c:v>
                </c:pt>
                <c:pt idx="97">
                  <c:v>29704</c:v>
                </c:pt>
                <c:pt idx="98">
                  <c:v>29761</c:v>
                </c:pt>
                <c:pt idx="99">
                  <c:v>29767</c:v>
                </c:pt>
                <c:pt idx="100">
                  <c:v>29798</c:v>
                </c:pt>
                <c:pt idx="101">
                  <c:v>31355</c:v>
                </c:pt>
                <c:pt idx="102">
                  <c:v>31363</c:v>
                </c:pt>
                <c:pt idx="103">
                  <c:v>31364</c:v>
                </c:pt>
                <c:pt idx="104">
                  <c:v>31375</c:v>
                </c:pt>
                <c:pt idx="105">
                  <c:v>31376</c:v>
                </c:pt>
                <c:pt idx="106">
                  <c:v>31393</c:v>
                </c:pt>
                <c:pt idx="107">
                  <c:v>31400</c:v>
                </c:pt>
                <c:pt idx="108">
                  <c:v>31412</c:v>
                </c:pt>
                <c:pt idx="109">
                  <c:v>31413</c:v>
                </c:pt>
                <c:pt idx="110">
                  <c:v>31433</c:v>
                </c:pt>
                <c:pt idx="111">
                  <c:v>32263</c:v>
                </c:pt>
                <c:pt idx="112">
                  <c:v>32329</c:v>
                </c:pt>
                <c:pt idx="113">
                  <c:v>32337</c:v>
                </c:pt>
                <c:pt idx="114">
                  <c:v>33167</c:v>
                </c:pt>
                <c:pt idx="115">
                  <c:v>33177</c:v>
                </c:pt>
                <c:pt idx="116">
                  <c:v>33193</c:v>
                </c:pt>
                <c:pt idx="117">
                  <c:v>33206</c:v>
                </c:pt>
                <c:pt idx="118">
                  <c:v>33211</c:v>
                </c:pt>
                <c:pt idx="119">
                  <c:v>33230</c:v>
                </c:pt>
                <c:pt idx="120">
                  <c:v>33244</c:v>
                </c:pt>
                <c:pt idx="121">
                  <c:v>33253</c:v>
                </c:pt>
                <c:pt idx="122">
                  <c:v>35460</c:v>
                </c:pt>
                <c:pt idx="123">
                  <c:v>35468</c:v>
                </c:pt>
                <c:pt idx="124">
                  <c:v>35480</c:v>
                </c:pt>
                <c:pt idx="125">
                  <c:v>35489</c:v>
                </c:pt>
                <c:pt idx="126">
                  <c:v>35504</c:v>
                </c:pt>
                <c:pt idx="127">
                  <c:v>35516</c:v>
                </c:pt>
                <c:pt idx="128">
                  <c:v>35522</c:v>
                </c:pt>
                <c:pt idx="129">
                  <c:v>35593</c:v>
                </c:pt>
                <c:pt idx="130">
                  <c:v>34093</c:v>
                </c:pt>
                <c:pt idx="131">
                  <c:v>34923</c:v>
                </c:pt>
                <c:pt idx="132">
                  <c:v>34940</c:v>
                </c:pt>
                <c:pt idx="133">
                  <c:v>34948</c:v>
                </c:pt>
                <c:pt idx="134">
                  <c:v>35778</c:v>
                </c:pt>
                <c:pt idx="135">
                  <c:v>35788</c:v>
                </c:pt>
                <c:pt idx="136">
                  <c:v>35799</c:v>
                </c:pt>
                <c:pt idx="137">
                  <c:v>35808</c:v>
                </c:pt>
                <c:pt idx="138">
                  <c:v>28808</c:v>
                </c:pt>
                <c:pt idx="139">
                  <c:v>21808</c:v>
                </c:pt>
                <c:pt idx="140">
                  <c:v>14808</c:v>
                </c:pt>
                <c:pt idx="141">
                  <c:v>7808</c:v>
                </c:pt>
                <c:pt idx="142">
                  <c:v>7816</c:v>
                </c:pt>
                <c:pt idx="143">
                  <c:v>7847</c:v>
                </c:pt>
                <c:pt idx="144">
                  <c:v>7855</c:v>
                </c:pt>
                <c:pt idx="145">
                  <c:v>7865</c:v>
                </c:pt>
                <c:pt idx="146">
                  <c:v>7872</c:v>
                </c:pt>
                <c:pt idx="147">
                  <c:v>7927</c:v>
                </c:pt>
                <c:pt idx="148">
                  <c:v>8481</c:v>
                </c:pt>
                <c:pt idx="149">
                  <c:v>9035</c:v>
                </c:pt>
                <c:pt idx="150">
                  <c:v>9208</c:v>
                </c:pt>
                <c:pt idx="151">
                  <c:v>9381</c:v>
                </c:pt>
                <c:pt idx="152">
                  <c:v>9659</c:v>
                </c:pt>
                <c:pt idx="153">
                  <c:v>9937</c:v>
                </c:pt>
                <c:pt idx="154">
                  <c:v>10518</c:v>
                </c:pt>
                <c:pt idx="155">
                  <c:v>10525</c:v>
                </c:pt>
                <c:pt idx="156">
                  <c:v>10611</c:v>
                </c:pt>
                <c:pt idx="157">
                  <c:v>10697</c:v>
                </c:pt>
                <c:pt idx="158">
                  <c:v>10815</c:v>
                </c:pt>
                <c:pt idx="159">
                  <c:v>10940</c:v>
                </c:pt>
                <c:pt idx="160">
                  <c:v>11065</c:v>
                </c:pt>
                <c:pt idx="161">
                  <c:v>11346</c:v>
                </c:pt>
                <c:pt idx="162">
                  <c:v>11562</c:v>
                </c:pt>
                <c:pt idx="163">
                  <c:v>12116</c:v>
                </c:pt>
                <c:pt idx="164">
                  <c:v>12670</c:v>
                </c:pt>
                <c:pt idx="165">
                  <c:v>12830</c:v>
                </c:pt>
                <c:pt idx="166">
                  <c:v>13002</c:v>
                </c:pt>
                <c:pt idx="167">
                  <c:v>13221</c:v>
                </c:pt>
                <c:pt idx="168">
                  <c:v>15617</c:v>
                </c:pt>
                <c:pt idx="169">
                  <c:v>15621</c:v>
                </c:pt>
                <c:pt idx="170">
                  <c:v>15639</c:v>
                </c:pt>
                <c:pt idx="171">
                  <c:v>16292</c:v>
                </c:pt>
                <c:pt idx="172">
                  <c:v>16300</c:v>
                </c:pt>
                <c:pt idx="173">
                  <c:v>16301</c:v>
                </c:pt>
                <c:pt idx="174">
                  <c:v>16309</c:v>
                </c:pt>
                <c:pt idx="175">
                  <c:v>17018</c:v>
                </c:pt>
                <c:pt idx="176">
                  <c:v>17019</c:v>
                </c:pt>
                <c:pt idx="177">
                  <c:v>17026</c:v>
                </c:pt>
                <c:pt idx="178">
                  <c:v>17160</c:v>
                </c:pt>
                <c:pt idx="179">
                  <c:v>17303</c:v>
                </c:pt>
                <c:pt idx="180">
                  <c:v>17446</c:v>
                </c:pt>
                <c:pt idx="181">
                  <c:v>17783</c:v>
                </c:pt>
                <c:pt idx="182">
                  <c:v>18039</c:v>
                </c:pt>
                <c:pt idx="183">
                  <c:v>18714</c:v>
                </c:pt>
                <c:pt idx="184">
                  <c:v>19908</c:v>
                </c:pt>
                <c:pt idx="185">
                  <c:v>19909</c:v>
                </c:pt>
                <c:pt idx="186">
                  <c:v>19931</c:v>
                </c:pt>
                <c:pt idx="187">
                  <c:v>19940</c:v>
                </c:pt>
                <c:pt idx="188">
                  <c:v>19950</c:v>
                </c:pt>
                <c:pt idx="189">
                  <c:v>19957</c:v>
                </c:pt>
                <c:pt idx="190">
                  <c:v>21286</c:v>
                </c:pt>
                <c:pt idx="191">
                  <c:v>21294</c:v>
                </c:pt>
                <c:pt idx="192">
                  <c:v>28546</c:v>
                </c:pt>
                <c:pt idx="193">
                  <c:v>28553</c:v>
                </c:pt>
                <c:pt idx="194">
                  <c:v>28610</c:v>
                </c:pt>
                <c:pt idx="195">
                  <c:v>28633</c:v>
                </c:pt>
                <c:pt idx="196">
                  <c:v>29982</c:v>
                </c:pt>
                <c:pt idx="197">
                  <c:v>29982</c:v>
                </c:pt>
                <c:pt idx="198">
                  <c:v>29982</c:v>
                </c:pt>
                <c:pt idx="199">
                  <c:v>29993</c:v>
                </c:pt>
                <c:pt idx="200">
                  <c:v>30004</c:v>
                </c:pt>
                <c:pt idx="201">
                  <c:v>30011</c:v>
                </c:pt>
                <c:pt idx="202">
                  <c:v>30017</c:v>
                </c:pt>
                <c:pt idx="203">
                  <c:v>30025</c:v>
                </c:pt>
                <c:pt idx="204">
                  <c:v>30042</c:v>
                </c:pt>
                <c:pt idx="205">
                  <c:v>31102</c:v>
                </c:pt>
                <c:pt idx="206">
                  <c:v>31783</c:v>
                </c:pt>
                <c:pt idx="207">
                  <c:v>31800</c:v>
                </c:pt>
                <c:pt idx="208">
                  <c:v>31807</c:v>
                </c:pt>
                <c:pt idx="209">
                  <c:v>32126</c:v>
                </c:pt>
                <c:pt idx="210">
                  <c:v>32129</c:v>
                </c:pt>
                <c:pt idx="211">
                  <c:v>33458</c:v>
                </c:pt>
                <c:pt idx="212">
                  <c:v>33518</c:v>
                </c:pt>
                <c:pt idx="213">
                  <c:v>33526</c:v>
                </c:pt>
                <c:pt idx="214">
                  <c:v>33545</c:v>
                </c:pt>
                <c:pt idx="215">
                  <c:v>33554</c:v>
                </c:pt>
                <c:pt idx="216">
                  <c:v>33564</c:v>
                </c:pt>
                <c:pt idx="217">
                  <c:v>33573</c:v>
                </c:pt>
                <c:pt idx="218">
                  <c:v>33582</c:v>
                </c:pt>
                <c:pt idx="219">
                  <c:v>33593</c:v>
                </c:pt>
                <c:pt idx="220">
                  <c:v>33620</c:v>
                </c:pt>
                <c:pt idx="221">
                  <c:v>33641</c:v>
                </c:pt>
                <c:pt idx="222">
                  <c:v>33663</c:v>
                </c:pt>
                <c:pt idx="223">
                  <c:v>33673</c:v>
                </c:pt>
                <c:pt idx="224">
                  <c:v>33683</c:v>
                </c:pt>
                <c:pt idx="225">
                  <c:v>33692</c:v>
                </c:pt>
                <c:pt idx="226">
                  <c:v>33694</c:v>
                </c:pt>
                <c:pt idx="227">
                  <c:v>33701</c:v>
                </c:pt>
                <c:pt idx="228">
                  <c:v>33710</c:v>
                </c:pt>
                <c:pt idx="229">
                  <c:v>33711</c:v>
                </c:pt>
                <c:pt idx="230">
                  <c:v>33733</c:v>
                </c:pt>
                <c:pt idx="231">
                  <c:v>41190</c:v>
                </c:pt>
                <c:pt idx="232">
                  <c:v>41199</c:v>
                </c:pt>
                <c:pt idx="233">
                  <c:v>41207</c:v>
                </c:pt>
                <c:pt idx="234">
                  <c:v>41224</c:v>
                </c:pt>
                <c:pt idx="235">
                  <c:v>41239</c:v>
                </c:pt>
                <c:pt idx="236">
                  <c:v>41246</c:v>
                </c:pt>
                <c:pt idx="237">
                  <c:v>41253</c:v>
                </c:pt>
                <c:pt idx="238">
                  <c:v>41285</c:v>
                </c:pt>
                <c:pt idx="239">
                  <c:v>41833</c:v>
                </c:pt>
                <c:pt idx="240">
                  <c:v>41842</c:v>
                </c:pt>
                <c:pt idx="241">
                  <c:v>41842</c:v>
                </c:pt>
                <c:pt idx="242">
                  <c:v>41842</c:v>
                </c:pt>
                <c:pt idx="243">
                  <c:v>41852</c:v>
                </c:pt>
                <c:pt idx="244">
                  <c:v>42835</c:v>
                </c:pt>
                <c:pt idx="245">
                  <c:v>43014</c:v>
                </c:pt>
                <c:pt idx="246">
                  <c:v>43079</c:v>
                </c:pt>
                <c:pt idx="247">
                  <c:v>44064</c:v>
                </c:pt>
                <c:pt idx="248">
                  <c:v>44081</c:v>
                </c:pt>
                <c:pt idx="249">
                  <c:v>44104</c:v>
                </c:pt>
                <c:pt idx="250">
                  <c:v>45025</c:v>
                </c:pt>
                <c:pt idx="251">
                  <c:v>45034</c:v>
                </c:pt>
                <c:pt idx="252">
                  <c:v>46363</c:v>
                </c:pt>
                <c:pt idx="253">
                  <c:v>46372</c:v>
                </c:pt>
                <c:pt idx="254">
                  <c:v>46898</c:v>
                </c:pt>
                <c:pt idx="255">
                  <c:v>46909</c:v>
                </c:pt>
                <c:pt idx="256">
                  <c:v>47435</c:v>
                </c:pt>
                <c:pt idx="257">
                  <c:v>47442</c:v>
                </c:pt>
                <c:pt idx="258">
                  <c:v>47484</c:v>
                </c:pt>
                <c:pt idx="259">
                  <c:v>47493</c:v>
                </c:pt>
                <c:pt idx="260">
                  <c:v>47530</c:v>
                </c:pt>
                <c:pt idx="261">
                  <c:v>48451</c:v>
                </c:pt>
                <c:pt idx="262">
                  <c:v>48467</c:v>
                </c:pt>
                <c:pt idx="263">
                  <c:v>49388</c:v>
                </c:pt>
                <c:pt idx="264">
                  <c:v>49395</c:v>
                </c:pt>
                <c:pt idx="265">
                  <c:v>49436</c:v>
                </c:pt>
                <c:pt idx="266">
                  <c:v>49477</c:v>
                </c:pt>
                <c:pt idx="267">
                  <c:v>49617</c:v>
                </c:pt>
                <c:pt idx="268">
                  <c:v>49679</c:v>
                </c:pt>
                <c:pt idx="269">
                  <c:v>49753</c:v>
                </c:pt>
                <c:pt idx="270">
                  <c:v>50007</c:v>
                </c:pt>
                <c:pt idx="271">
                  <c:v>50189</c:v>
                </c:pt>
                <c:pt idx="272">
                  <c:v>51198</c:v>
                </c:pt>
                <c:pt idx="273">
                  <c:v>52207</c:v>
                </c:pt>
                <c:pt idx="274">
                  <c:v>52217</c:v>
                </c:pt>
                <c:pt idx="275">
                  <c:v>52327</c:v>
                </c:pt>
                <c:pt idx="276">
                  <c:v>52340</c:v>
                </c:pt>
                <c:pt idx="277">
                  <c:v>52350</c:v>
                </c:pt>
                <c:pt idx="278">
                  <c:v>52412</c:v>
                </c:pt>
                <c:pt idx="279">
                  <c:v>52421</c:v>
                </c:pt>
                <c:pt idx="280">
                  <c:v>52432</c:v>
                </c:pt>
                <c:pt idx="281">
                  <c:v>55525</c:v>
                </c:pt>
                <c:pt idx="282">
                  <c:v>55552</c:v>
                </c:pt>
                <c:pt idx="283">
                  <c:v>55553</c:v>
                </c:pt>
                <c:pt idx="284">
                  <c:v>55570</c:v>
                </c:pt>
                <c:pt idx="285">
                  <c:v>55579</c:v>
                </c:pt>
                <c:pt idx="286">
                  <c:v>55580</c:v>
                </c:pt>
                <c:pt idx="287">
                  <c:v>55588</c:v>
                </c:pt>
                <c:pt idx="288">
                  <c:v>55589</c:v>
                </c:pt>
                <c:pt idx="289">
                  <c:v>55598</c:v>
                </c:pt>
                <c:pt idx="290">
                  <c:v>55599</c:v>
                </c:pt>
                <c:pt idx="291">
                  <c:v>55620</c:v>
                </c:pt>
                <c:pt idx="292">
                  <c:v>55630</c:v>
                </c:pt>
                <c:pt idx="293">
                  <c:v>55630</c:v>
                </c:pt>
                <c:pt idx="294">
                  <c:v>55637</c:v>
                </c:pt>
                <c:pt idx="295">
                  <c:v>55646</c:v>
                </c:pt>
                <c:pt idx="296">
                  <c:v>57209</c:v>
                </c:pt>
                <c:pt idx="297">
                  <c:v>58209</c:v>
                </c:pt>
                <c:pt idx="298">
                  <c:v>58218</c:v>
                </c:pt>
                <c:pt idx="299">
                  <c:v>58229</c:v>
                </c:pt>
                <c:pt idx="300">
                  <c:v>58239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BA3-4AA9-9B4B-25778851BB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46066439"/>
        <c:axId val="1791331335"/>
      </c:lineChart>
      <c:catAx>
        <c:axId val="1746066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1331335"/>
        <c:crosses val="autoZero"/>
        <c:auto val="1"/>
        <c:lblAlgn val="ctr"/>
        <c:lblOffset val="100"/>
        <c:noMultiLvlLbl val="1"/>
      </c:catAx>
      <c:valAx>
        <c:axId val="1791331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066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マイル管理!#REF!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cat>
            <c:numRef>
              <c:f>マイル管理!$A$21:$A$302</c:f>
              <c:numCache>
                <c:formatCode>m/d/yyyy</c:formatCode>
                <c:ptCount val="282"/>
                <c:pt idx="0">
                  <c:v>45680</c:v>
                </c:pt>
                <c:pt idx="1">
                  <c:v>45682</c:v>
                </c:pt>
                <c:pt idx="2">
                  <c:v>45727</c:v>
                </c:pt>
                <c:pt idx="3">
                  <c:v>45727</c:v>
                </c:pt>
                <c:pt idx="4">
                  <c:v>45784</c:v>
                </c:pt>
                <c:pt idx="5">
                  <c:v>45787</c:v>
                </c:pt>
                <c:pt idx="6">
                  <c:v>45834</c:v>
                </c:pt>
                <c:pt idx="7">
                  <c:v>45836</c:v>
                </c:pt>
                <c:pt idx="8">
                  <c:v>45840</c:v>
                </c:pt>
                <c:pt idx="9">
                  <c:v>45841</c:v>
                </c:pt>
                <c:pt idx="10">
                  <c:v>45841</c:v>
                </c:pt>
                <c:pt idx="11">
                  <c:v>45842</c:v>
                </c:pt>
                <c:pt idx="12">
                  <c:v>45843</c:v>
                </c:pt>
                <c:pt idx="13">
                  <c:v>45844</c:v>
                </c:pt>
                <c:pt idx="14">
                  <c:v>45845</c:v>
                </c:pt>
                <c:pt idx="15">
                  <c:v>45846</c:v>
                </c:pt>
                <c:pt idx="16">
                  <c:v>45846</c:v>
                </c:pt>
                <c:pt idx="17">
                  <c:v>45847</c:v>
                </c:pt>
                <c:pt idx="18">
                  <c:v>45848</c:v>
                </c:pt>
                <c:pt idx="19">
                  <c:v>45848</c:v>
                </c:pt>
                <c:pt idx="20">
                  <c:v>45849</c:v>
                </c:pt>
                <c:pt idx="21">
                  <c:v>45849</c:v>
                </c:pt>
                <c:pt idx="22">
                  <c:v>45850</c:v>
                </c:pt>
                <c:pt idx="23">
                  <c:v>45850</c:v>
                </c:pt>
                <c:pt idx="24">
                  <c:v>45851</c:v>
                </c:pt>
                <c:pt idx="25">
                  <c:v>45851</c:v>
                </c:pt>
                <c:pt idx="26">
                  <c:v>45852</c:v>
                </c:pt>
                <c:pt idx="27">
                  <c:v>45853</c:v>
                </c:pt>
                <c:pt idx="28">
                  <c:v>45853</c:v>
                </c:pt>
                <c:pt idx="29">
                  <c:v>45854</c:v>
                </c:pt>
                <c:pt idx="30">
                  <c:v>45855</c:v>
                </c:pt>
                <c:pt idx="31">
                  <c:v>45856</c:v>
                </c:pt>
                <c:pt idx="32">
                  <c:v>45857</c:v>
                </c:pt>
                <c:pt idx="33">
                  <c:v>45858</c:v>
                </c:pt>
                <c:pt idx="34">
                  <c:v>45859</c:v>
                </c:pt>
                <c:pt idx="35">
                  <c:v>45860</c:v>
                </c:pt>
                <c:pt idx="36">
                  <c:v>45860</c:v>
                </c:pt>
                <c:pt idx="37">
                  <c:v>45860</c:v>
                </c:pt>
                <c:pt idx="38">
                  <c:v>45861</c:v>
                </c:pt>
                <c:pt idx="39">
                  <c:v>45862</c:v>
                </c:pt>
                <c:pt idx="40">
                  <c:v>45863</c:v>
                </c:pt>
                <c:pt idx="41">
                  <c:v>45864</c:v>
                </c:pt>
                <c:pt idx="42">
                  <c:v>45864</c:v>
                </c:pt>
                <c:pt idx="43">
                  <c:v>45865</c:v>
                </c:pt>
                <c:pt idx="44">
                  <c:v>45865</c:v>
                </c:pt>
                <c:pt idx="45">
                  <c:v>45866</c:v>
                </c:pt>
                <c:pt idx="46">
                  <c:v>45867</c:v>
                </c:pt>
                <c:pt idx="47">
                  <c:v>45867</c:v>
                </c:pt>
                <c:pt idx="48">
                  <c:v>45868</c:v>
                </c:pt>
                <c:pt idx="49">
                  <c:v>45868</c:v>
                </c:pt>
                <c:pt idx="50">
                  <c:v>45869</c:v>
                </c:pt>
                <c:pt idx="51">
                  <c:v>45870</c:v>
                </c:pt>
                <c:pt idx="52">
                  <c:v>45871</c:v>
                </c:pt>
                <c:pt idx="53">
                  <c:v>45871</c:v>
                </c:pt>
                <c:pt idx="54">
                  <c:v>45872</c:v>
                </c:pt>
                <c:pt idx="55">
                  <c:v>45872</c:v>
                </c:pt>
                <c:pt idx="56">
                  <c:v>45873</c:v>
                </c:pt>
                <c:pt idx="57">
                  <c:v>45874</c:v>
                </c:pt>
                <c:pt idx="58">
                  <c:v>45875</c:v>
                </c:pt>
                <c:pt idx="59">
                  <c:v>45875</c:v>
                </c:pt>
                <c:pt idx="60">
                  <c:v>45875</c:v>
                </c:pt>
                <c:pt idx="61">
                  <c:v>45876</c:v>
                </c:pt>
                <c:pt idx="62">
                  <c:v>45877</c:v>
                </c:pt>
                <c:pt idx="63">
                  <c:v>45878</c:v>
                </c:pt>
                <c:pt idx="64">
                  <c:v>45879</c:v>
                </c:pt>
                <c:pt idx="65">
                  <c:v>45879</c:v>
                </c:pt>
                <c:pt idx="66">
                  <c:v>45880</c:v>
                </c:pt>
                <c:pt idx="67">
                  <c:v>45881</c:v>
                </c:pt>
                <c:pt idx="68">
                  <c:v>45882</c:v>
                </c:pt>
                <c:pt idx="69">
                  <c:v>45883</c:v>
                </c:pt>
                <c:pt idx="70">
                  <c:v>45884</c:v>
                </c:pt>
                <c:pt idx="71">
                  <c:v>45885</c:v>
                </c:pt>
                <c:pt idx="72">
                  <c:v>45886</c:v>
                </c:pt>
                <c:pt idx="73">
                  <c:v>45887</c:v>
                </c:pt>
                <c:pt idx="74">
                  <c:v>45888</c:v>
                </c:pt>
                <c:pt idx="75">
                  <c:v>45889</c:v>
                </c:pt>
                <c:pt idx="76">
                  <c:v>45890</c:v>
                </c:pt>
                <c:pt idx="77">
                  <c:v>45890</c:v>
                </c:pt>
                <c:pt idx="78">
                  <c:v>45891</c:v>
                </c:pt>
                <c:pt idx="79">
                  <c:v>45891</c:v>
                </c:pt>
                <c:pt idx="80">
                  <c:v>45892</c:v>
                </c:pt>
                <c:pt idx="81">
                  <c:v>45893</c:v>
                </c:pt>
                <c:pt idx="82">
                  <c:v>45894</c:v>
                </c:pt>
                <c:pt idx="83">
                  <c:v>45895</c:v>
                </c:pt>
                <c:pt idx="84">
                  <c:v>45896</c:v>
                </c:pt>
                <c:pt idx="85">
                  <c:v>45896</c:v>
                </c:pt>
                <c:pt idx="86">
                  <c:v>45897</c:v>
                </c:pt>
                <c:pt idx="87">
                  <c:v>45897</c:v>
                </c:pt>
                <c:pt idx="88">
                  <c:v>45898</c:v>
                </c:pt>
                <c:pt idx="89">
                  <c:v>45899</c:v>
                </c:pt>
                <c:pt idx="90">
                  <c:v>45900</c:v>
                </c:pt>
                <c:pt idx="91">
                  <c:v>45900</c:v>
                </c:pt>
                <c:pt idx="92">
                  <c:v>45901</c:v>
                </c:pt>
                <c:pt idx="93">
                  <c:v>45901</c:v>
                </c:pt>
                <c:pt idx="94">
                  <c:v>45902</c:v>
                </c:pt>
                <c:pt idx="95">
                  <c:v>45903</c:v>
                </c:pt>
                <c:pt idx="96">
                  <c:v>45903</c:v>
                </c:pt>
                <c:pt idx="97">
                  <c:v>45904</c:v>
                </c:pt>
                <c:pt idx="98">
                  <c:v>45905</c:v>
                </c:pt>
                <c:pt idx="99">
                  <c:v>45906</c:v>
                </c:pt>
                <c:pt idx="100">
                  <c:v>45907</c:v>
                </c:pt>
                <c:pt idx="101">
                  <c:v>45908</c:v>
                </c:pt>
                <c:pt idx="102">
                  <c:v>45909</c:v>
                </c:pt>
                <c:pt idx="103">
                  <c:v>45910</c:v>
                </c:pt>
                <c:pt idx="104">
                  <c:v>45910</c:v>
                </c:pt>
                <c:pt idx="105">
                  <c:v>45911</c:v>
                </c:pt>
                <c:pt idx="106">
                  <c:v>45911</c:v>
                </c:pt>
                <c:pt idx="107">
                  <c:v>45912</c:v>
                </c:pt>
                <c:pt idx="108">
                  <c:v>45913</c:v>
                </c:pt>
                <c:pt idx="109">
                  <c:v>45914</c:v>
                </c:pt>
                <c:pt idx="110">
                  <c:v>45914</c:v>
                </c:pt>
                <c:pt idx="111">
                  <c:v>45914</c:v>
                </c:pt>
                <c:pt idx="112">
                  <c:v>45915</c:v>
                </c:pt>
                <c:pt idx="113">
                  <c:v>45915</c:v>
                </c:pt>
                <c:pt idx="114">
                  <c:v>45916</c:v>
                </c:pt>
                <c:pt idx="115">
                  <c:v>45917</c:v>
                </c:pt>
                <c:pt idx="116">
                  <c:v>45917</c:v>
                </c:pt>
                <c:pt idx="117">
                  <c:v>45918</c:v>
                </c:pt>
                <c:pt idx="118">
                  <c:v>45919</c:v>
                </c:pt>
                <c:pt idx="119">
                  <c:v>45919</c:v>
                </c:pt>
                <c:pt idx="120">
                  <c:v>45919</c:v>
                </c:pt>
                <c:pt idx="121">
                  <c:v>45919</c:v>
                </c:pt>
                <c:pt idx="122">
                  <c:v>45919</c:v>
                </c:pt>
                <c:pt idx="123">
                  <c:v>45920</c:v>
                </c:pt>
                <c:pt idx="124">
                  <c:v>45921</c:v>
                </c:pt>
                <c:pt idx="125">
                  <c:v>45922</c:v>
                </c:pt>
                <c:pt idx="126">
                  <c:v>45923</c:v>
                </c:pt>
                <c:pt idx="127">
                  <c:v>45924</c:v>
                </c:pt>
                <c:pt idx="128">
                  <c:v>45925</c:v>
                </c:pt>
                <c:pt idx="129">
                  <c:v>45926</c:v>
                </c:pt>
                <c:pt idx="130">
                  <c:v>45926</c:v>
                </c:pt>
                <c:pt idx="131">
                  <c:v>45926</c:v>
                </c:pt>
                <c:pt idx="132">
                  <c:v>45926</c:v>
                </c:pt>
                <c:pt idx="133">
                  <c:v>45926</c:v>
                </c:pt>
                <c:pt idx="134">
                  <c:v>45926</c:v>
                </c:pt>
                <c:pt idx="135">
                  <c:v>45926</c:v>
                </c:pt>
                <c:pt idx="136">
                  <c:v>45926</c:v>
                </c:pt>
                <c:pt idx="137">
                  <c:v>45927</c:v>
                </c:pt>
                <c:pt idx="138">
                  <c:v>45927</c:v>
                </c:pt>
                <c:pt idx="139">
                  <c:v>45927</c:v>
                </c:pt>
                <c:pt idx="140">
                  <c:v>45927</c:v>
                </c:pt>
                <c:pt idx="141">
                  <c:v>45927</c:v>
                </c:pt>
                <c:pt idx="142">
                  <c:v>45927</c:v>
                </c:pt>
                <c:pt idx="143">
                  <c:v>45927</c:v>
                </c:pt>
                <c:pt idx="144">
                  <c:v>45927</c:v>
                </c:pt>
                <c:pt idx="145">
                  <c:v>45927</c:v>
                </c:pt>
                <c:pt idx="146">
                  <c:v>45927</c:v>
                </c:pt>
                <c:pt idx="147">
                  <c:v>45928</c:v>
                </c:pt>
                <c:pt idx="148">
                  <c:v>45929</c:v>
                </c:pt>
                <c:pt idx="149">
                  <c:v>45930</c:v>
                </c:pt>
                <c:pt idx="150">
                  <c:v>45930</c:v>
                </c:pt>
                <c:pt idx="151">
                  <c:v>45931</c:v>
                </c:pt>
                <c:pt idx="152">
                  <c:v>45932</c:v>
                </c:pt>
                <c:pt idx="153">
                  <c:v>45932</c:v>
                </c:pt>
                <c:pt idx="154">
                  <c:v>45933</c:v>
                </c:pt>
                <c:pt idx="155">
                  <c:v>45933</c:v>
                </c:pt>
                <c:pt idx="156">
                  <c:v>45934</c:v>
                </c:pt>
                <c:pt idx="157">
                  <c:v>45934</c:v>
                </c:pt>
                <c:pt idx="158">
                  <c:v>45934</c:v>
                </c:pt>
                <c:pt idx="159">
                  <c:v>45935</c:v>
                </c:pt>
                <c:pt idx="160">
                  <c:v>45935</c:v>
                </c:pt>
                <c:pt idx="161">
                  <c:v>45935</c:v>
                </c:pt>
                <c:pt idx="162">
                  <c:v>45935</c:v>
                </c:pt>
                <c:pt idx="163">
                  <c:v>45935</c:v>
                </c:pt>
                <c:pt idx="164">
                  <c:v>45935</c:v>
                </c:pt>
                <c:pt idx="165">
                  <c:v>45935</c:v>
                </c:pt>
                <c:pt idx="166">
                  <c:v>45935</c:v>
                </c:pt>
                <c:pt idx="167">
                  <c:v>45935</c:v>
                </c:pt>
                <c:pt idx="168">
                  <c:v>45936</c:v>
                </c:pt>
                <c:pt idx="169">
                  <c:v>45937</c:v>
                </c:pt>
                <c:pt idx="170">
                  <c:v>45938</c:v>
                </c:pt>
                <c:pt idx="171">
                  <c:v>45939</c:v>
                </c:pt>
                <c:pt idx="172">
                  <c:v>45939</c:v>
                </c:pt>
                <c:pt idx="173">
                  <c:v>45940</c:v>
                </c:pt>
                <c:pt idx="174">
                  <c:v>45940</c:v>
                </c:pt>
                <c:pt idx="175">
                  <c:v>45941</c:v>
                </c:pt>
                <c:pt idx="176">
                  <c:v>45942</c:v>
                </c:pt>
                <c:pt idx="177">
                  <c:v>45943</c:v>
                </c:pt>
                <c:pt idx="178">
                  <c:v>45944</c:v>
                </c:pt>
                <c:pt idx="179">
                  <c:v>45944</c:v>
                </c:pt>
                <c:pt idx="180">
                  <c:v>45944</c:v>
                </c:pt>
                <c:pt idx="181">
                  <c:v>45945</c:v>
                </c:pt>
                <c:pt idx="182">
                  <c:v>45946</c:v>
                </c:pt>
                <c:pt idx="183">
                  <c:v>45947</c:v>
                </c:pt>
                <c:pt idx="184">
                  <c:v>45948</c:v>
                </c:pt>
                <c:pt idx="185">
                  <c:v>45949</c:v>
                </c:pt>
                <c:pt idx="186">
                  <c:v>45950</c:v>
                </c:pt>
                <c:pt idx="187">
                  <c:v>45951</c:v>
                </c:pt>
                <c:pt idx="188">
                  <c:v>45951</c:v>
                </c:pt>
                <c:pt idx="189">
                  <c:v>45952</c:v>
                </c:pt>
                <c:pt idx="190">
                  <c:v>45953</c:v>
                </c:pt>
                <c:pt idx="191">
                  <c:v>45953</c:v>
                </c:pt>
                <c:pt idx="192">
                  <c:v>45954</c:v>
                </c:pt>
                <c:pt idx="193">
                  <c:v>45954</c:v>
                </c:pt>
                <c:pt idx="194">
                  <c:v>45955</c:v>
                </c:pt>
                <c:pt idx="195">
                  <c:v>45956</c:v>
                </c:pt>
                <c:pt idx="196">
                  <c:v>45957</c:v>
                </c:pt>
                <c:pt idx="197">
                  <c:v>45958</c:v>
                </c:pt>
                <c:pt idx="198">
                  <c:v>45959</c:v>
                </c:pt>
                <c:pt idx="199">
                  <c:v>45960</c:v>
                </c:pt>
                <c:pt idx="200">
                  <c:v>45961</c:v>
                </c:pt>
                <c:pt idx="201">
                  <c:v>45962</c:v>
                </c:pt>
                <c:pt idx="202">
                  <c:v>45963</c:v>
                </c:pt>
                <c:pt idx="203">
                  <c:v>45964</c:v>
                </c:pt>
                <c:pt idx="204">
                  <c:v>45965</c:v>
                </c:pt>
                <c:pt idx="205">
                  <c:v>45966</c:v>
                </c:pt>
                <c:pt idx="206">
                  <c:v>45967</c:v>
                </c:pt>
                <c:pt idx="207">
                  <c:v>45968</c:v>
                </c:pt>
                <c:pt idx="208">
                  <c:v>45968</c:v>
                </c:pt>
                <c:pt idx="209">
                  <c:v>45969</c:v>
                </c:pt>
                <c:pt idx="210">
                  <c:v>45970</c:v>
                </c:pt>
                <c:pt idx="211">
                  <c:v>45970</c:v>
                </c:pt>
                <c:pt idx="212">
                  <c:v>45971</c:v>
                </c:pt>
                <c:pt idx="213">
                  <c:v>45971</c:v>
                </c:pt>
                <c:pt idx="214">
                  <c:v>45972</c:v>
                </c:pt>
                <c:pt idx="215">
                  <c:v>45973</c:v>
                </c:pt>
                <c:pt idx="216">
                  <c:v>45974</c:v>
                </c:pt>
                <c:pt idx="217">
                  <c:v>45975</c:v>
                </c:pt>
                <c:pt idx="218">
                  <c:v>45976</c:v>
                </c:pt>
                <c:pt idx="219">
                  <c:v>45977</c:v>
                </c:pt>
                <c:pt idx="220">
                  <c:v>45978</c:v>
                </c:pt>
                <c:pt idx="221">
                  <c:v>45979</c:v>
                </c:pt>
                <c:pt idx="222">
                  <c:v>45980</c:v>
                </c:pt>
                <c:pt idx="223">
                  <c:v>45980</c:v>
                </c:pt>
                <c:pt idx="224">
                  <c:v>45980</c:v>
                </c:pt>
                <c:pt idx="225">
                  <c:v>45981</c:v>
                </c:pt>
                <c:pt idx="226">
                  <c:v>45981</c:v>
                </c:pt>
                <c:pt idx="227">
                  <c:v>45982</c:v>
                </c:pt>
                <c:pt idx="228">
                  <c:v>45983</c:v>
                </c:pt>
                <c:pt idx="229">
                  <c:v>45983</c:v>
                </c:pt>
                <c:pt idx="230">
                  <c:v>45984</c:v>
                </c:pt>
                <c:pt idx="231">
                  <c:v>45985</c:v>
                </c:pt>
                <c:pt idx="232">
                  <c:v>45985</c:v>
                </c:pt>
                <c:pt idx="233">
                  <c:v>45986</c:v>
                </c:pt>
                <c:pt idx="234">
                  <c:v>45986</c:v>
                </c:pt>
                <c:pt idx="235">
                  <c:v>45987</c:v>
                </c:pt>
                <c:pt idx="236">
                  <c:v>45987</c:v>
                </c:pt>
                <c:pt idx="237">
                  <c:v>45988</c:v>
                </c:pt>
                <c:pt idx="238">
                  <c:v>45988</c:v>
                </c:pt>
                <c:pt idx="239">
                  <c:v>45989</c:v>
                </c:pt>
                <c:pt idx="240">
                  <c:v>45990</c:v>
                </c:pt>
                <c:pt idx="241">
                  <c:v>45991</c:v>
                </c:pt>
                <c:pt idx="242">
                  <c:v>45992</c:v>
                </c:pt>
                <c:pt idx="243">
                  <c:v>45992</c:v>
                </c:pt>
                <c:pt idx="244">
                  <c:v>45993</c:v>
                </c:pt>
                <c:pt idx="245">
                  <c:v>45993</c:v>
                </c:pt>
                <c:pt idx="246">
                  <c:v>45994</c:v>
                </c:pt>
                <c:pt idx="247">
                  <c:v>45994</c:v>
                </c:pt>
                <c:pt idx="248">
                  <c:v>45994</c:v>
                </c:pt>
                <c:pt idx="249">
                  <c:v>45994</c:v>
                </c:pt>
                <c:pt idx="250">
                  <c:v>45994</c:v>
                </c:pt>
                <c:pt idx="251">
                  <c:v>45994</c:v>
                </c:pt>
                <c:pt idx="252">
                  <c:v>45994</c:v>
                </c:pt>
                <c:pt idx="253">
                  <c:v>45994</c:v>
                </c:pt>
                <c:pt idx="254">
                  <c:v>45994</c:v>
                </c:pt>
                <c:pt idx="255">
                  <c:v>45994</c:v>
                </c:pt>
                <c:pt idx="256">
                  <c:v>45995</c:v>
                </c:pt>
                <c:pt idx="257">
                  <c:v>45996</c:v>
                </c:pt>
                <c:pt idx="258">
                  <c:v>45997</c:v>
                </c:pt>
                <c:pt idx="259">
                  <c:v>45998</c:v>
                </c:pt>
                <c:pt idx="260">
                  <c:v>45999</c:v>
                </c:pt>
                <c:pt idx="261">
                  <c:v>46000</c:v>
                </c:pt>
                <c:pt idx="262">
                  <c:v>46001</c:v>
                </c:pt>
                <c:pt idx="263">
                  <c:v>46001</c:v>
                </c:pt>
                <c:pt idx="264">
                  <c:v>46001</c:v>
                </c:pt>
                <c:pt idx="265">
                  <c:v>46001</c:v>
                </c:pt>
                <c:pt idx="266">
                  <c:v>46002</c:v>
                </c:pt>
                <c:pt idx="267">
                  <c:v>46003</c:v>
                </c:pt>
                <c:pt idx="268">
                  <c:v>46003</c:v>
                </c:pt>
                <c:pt idx="269">
                  <c:v>46004</c:v>
                </c:pt>
                <c:pt idx="270">
                  <c:v>46004</c:v>
                </c:pt>
                <c:pt idx="271">
                  <c:v>46005</c:v>
                </c:pt>
                <c:pt idx="272">
                  <c:v>46005</c:v>
                </c:pt>
                <c:pt idx="273">
                  <c:v>46006</c:v>
                </c:pt>
                <c:pt idx="274">
                  <c:v>46007</c:v>
                </c:pt>
                <c:pt idx="275">
                  <c:v>46007</c:v>
                </c:pt>
                <c:pt idx="276">
                  <c:v>46008</c:v>
                </c:pt>
                <c:pt idx="277">
                  <c:v>46009</c:v>
                </c:pt>
                <c:pt idx="278">
                  <c:v>46009</c:v>
                </c:pt>
                <c:pt idx="279">
                  <c:v>46009</c:v>
                </c:pt>
                <c:pt idx="280">
                  <c:v>46010</c:v>
                </c:pt>
                <c:pt idx="281">
                  <c:v>46011</c:v>
                </c:pt>
              </c:numCache>
            </c:numRef>
          </c:cat>
          <c:val>
            <c:numRef>
              <c:f>マイル管理!$L$21:$L$302</c:f>
              <c:numCache>
                <c:formatCode>General</c:formatCode>
                <c:ptCount val="282"/>
                <c:pt idx="0">
                  <c:v>1648</c:v>
                </c:pt>
                <c:pt idx="1">
                  <c:v>3296</c:v>
                </c:pt>
                <c:pt idx="2">
                  <c:v>4944</c:v>
                </c:pt>
                <c:pt idx="3">
                  <c:v>6592</c:v>
                </c:pt>
                <c:pt idx="4">
                  <c:v>8240</c:v>
                </c:pt>
                <c:pt idx="5">
                  <c:v>9888</c:v>
                </c:pt>
                <c:pt idx="6">
                  <c:v>11536</c:v>
                </c:pt>
                <c:pt idx="7">
                  <c:v>13184</c:v>
                </c:pt>
                <c:pt idx="8">
                  <c:v>13184</c:v>
                </c:pt>
                <c:pt idx="9">
                  <c:v>13184</c:v>
                </c:pt>
                <c:pt idx="10">
                  <c:v>13184</c:v>
                </c:pt>
                <c:pt idx="11">
                  <c:v>13184</c:v>
                </c:pt>
                <c:pt idx="12">
                  <c:v>13184</c:v>
                </c:pt>
                <c:pt idx="13">
                  <c:v>13184</c:v>
                </c:pt>
                <c:pt idx="14">
                  <c:v>13184</c:v>
                </c:pt>
                <c:pt idx="15">
                  <c:v>13184</c:v>
                </c:pt>
                <c:pt idx="16">
                  <c:v>13184</c:v>
                </c:pt>
                <c:pt idx="17">
                  <c:v>13184</c:v>
                </c:pt>
                <c:pt idx="18">
                  <c:v>13184</c:v>
                </c:pt>
                <c:pt idx="19">
                  <c:v>13184</c:v>
                </c:pt>
                <c:pt idx="20">
                  <c:v>13184</c:v>
                </c:pt>
                <c:pt idx="21">
                  <c:v>13184</c:v>
                </c:pt>
                <c:pt idx="22">
                  <c:v>13184</c:v>
                </c:pt>
                <c:pt idx="23">
                  <c:v>13184</c:v>
                </c:pt>
                <c:pt idx="24">
                  <c:v>13184</c:v>
                </c:pt>
                <c:pt idx="25">
                  <c:v>13184</c:v>
                </c:pt>
                <c:pt idx="26">
                  <c:v>13184</c:v>
                </c:pt>
                <c:pt idx="27">
                  <c:v>13184</c:v>
                </c:pt>
                <c:pt idx="28">
                  <c:v>13184</c:v>
                </c:pt>
                <c:pt idx="29">
                  <c:v>13184</c:v>
                </c:pt>
                <c:pt idx="30">
                  <c:v>13184</c:v>
                </c:pt>
                <c:pt idx="31">
                  <c:v>13184</c:v>
                </c:pt>
                <c:pt idx="32">
                  <c:v>13184</c:v>
                </c:pt>
                <c:pt idx="33">
                  <c:v>13184</c:v>
                </c:pt>
                <c:pt idx="34">
                  <c:v>13184</c:v>
                </c:pt>
                <c:pt idx="35">
                  <c:v>14234</c:v>
                </c:pt>
                <c:pt idx="36">
                  <c:v>14234</c:v>
                </c:pt>
                <c:pt idx="37">
                  <c:v>14234</c:v>
                </c:pt>
                <c:pt idx="38">
                  <c:v>14234</c:v>
                </c:pt>
                <c:pt idx="39">
                  <c:v>14234</c:v>
                </c:pt>
                <c:pt idx="40">
                  <c:v>14234</c:v>
                </c:pt>
                <c:pt idx="41">
                  <c:v>14234</c:v>
                </c:pt>
                <c:pt idx="42">
                  <c:v>14234</c:v>
                </c:pt>
                <c:pt idx="43">
                  <c:v>15284</c:v>
                </c:pt>
                <c:pt idx="44">
                  <c:v>15284</c:v>
                </c:pt>
                <c:pt idx="45">
                  <c:v>15284</c:v>
                </c:pt>
                <c:pt idx="46">
                  <c:v>15284</c:v>
                </c:pt>
                <c:pt idx="47">
                  <c:v>15284</c:v>
                </c:pt>
                <c:pt idx="48">
                  <c:v>15284</c:v>
                </c:pt>
                <c:pt idx="49">
                  <c:v>15284</c:v>
                </c:pt>
                <c:pt idx="50">
                  <c:v>15284</c:v>
                </c:pt>
                <c:pt idx="51">
                  <c:v>15284</c:v>
                </c:pt>
                <c:pt idx="52">
                  <c:v>15800</c:v>
                </c:pt>
                <c:pt idx="53">
                  <c:v>15800</c:v>
                </c:pt>
                <c:pt idx="54">
                  <c:v>16316</c:v>
                </c:pt>
                <c:pt idx="55">
                  <c:v>16316</c:v>
                </c:pt>
                <c:pt idx="56">
                  <c:v>16316</c:v>
                </c:pt>
                <c:pt idx="57">
                  <c:v>16316</c:v>
                </c:pt>
                <c:pt idx="58">
                  <c:v>17332</c:v>
                </c:pt>
                <c:pt idx="59">
                  <c:v>18348</c:v>
                </c:pt>
                <c:pt idx="60">
                  <c:v>18348</c:v>
                </c:pt>
                <c:pt idx="61">
                  <c:v>18348</c:v>
                </c:pt>
                <c:pt idx="62">
                  <c:v>18348</c:v>
                </c:pt>
                <c:pt idx="63">
                  <c:v>18348</c:v>
                </c:pt>
                <c:pt idx="64">
                  <c:v>18348</c:v>
                </c:pt>
                <c:pt idx="65">
                  <c:v>18348</c:v>
                </c:pt>
                <c:pt idx="66">
                  <c:v>18348</c:v>
                </c:pt>
                <c:pt idx="67">
                  <c:v>18348</c:v>
                </c:pt>
                <c:pt idx="68">
                  <c:v>18348</c:v>
                </c:pt>
                <c:pt idx="69">
                  <c:v>18348</c:v>
                </c:pt>
                <c:pt idx="70">
                  <c:v>18348</c:v>
                </c:pt>
                <c:pt idx="71">
                  <c:v>18348</c:v>
                </c:pt>
                <c:pt idx="72">
                  <c:v>18348</c:v>
                </c:pt>
                <c:pt idx="73">
                  <c:v>18348</c:v>
                </c:pt>
                <c:pt idx="74">
                  <c:v>18348</c:v>
                </c:pt>
                <c:pt idx="75">
                  <c:v>18348</c:v>
                </c:pt>
                <c:pt idx="76">
                  <c:v>19526</c:v>
                </c:pt>
                <c:pt idx="77">
                  <c:v>19526</c:v>
                </c:pt>
                <c:pt idx="78">
                  <c:v>20704</c:v>
                </c:pt>
                <c:pt idx="79">
                  <c:v>20704</c:v>
                </c:pt>
                <c:pt idx="80">
                  <c:v>20704</c:v>
                </c:pt>
                <c:pt idx="81">
                  <c:v>20704</c:v>
                </c:pt>
                <c:pt idx="82">
                  <c:v>20704</c:v>
                </c:pt>
                <c:pt idx="83">
                  <c:v>20704</c:v>
                </c:pt>
                <c:pt idx="84">
                  <c:v>20704</c:v>
                </c:pt>
                <c:pt idx="85">
                  <c:v>20704</c:v>
                </c:pt>
                <c:pt idx="86">
                  <c:v>20704</c:v>
                </c:pt>
                <c:pt idx="87">
                  <c:v>20704</c:v>
                </c:pt>
                <c:pt idx="88">
                  <c:v>20704</c:v>
                </c:pt>
                <c:pt idx="89">
                  <c:v>20704</c:v>
                </c:pt>
                <c:pt idx="90">
                  <c:v>20704</c:v>
                </c:pt>
                <c:pt idx="91">
                  <c:v>20704</c:v>
                </c:pt>
                <c:pt idx="92">
                  <c:v>22352</c:v>
                </c:pt>
                <c:pt idx="93">
                  <c:v>22352</c:v>
                </c:pt>
                <c:pt idx="94">
                  <c:v>22352</c:v>
                </c:pt>
                <c:pt idx="95">
                  <c:v>24000</c:v>
                </c:pt>
                <c:pt idx="96">
                  <c:v>24000</c:v>
                </c:pt>
                <c:pt idx="97">
                  <c:v>24000</c:v>
                </c:pt>
                <c:pt idx="98">
                  <c:v>24000</c:v>
                </c:pt>
                <c:pt idx="99">
                  <c:v>24000</c:v>
                </c:pt>
                <c:pt idx="100">
                  <c:v>24000</c:v>
                </c:pt>
                <c:pt idx="101">
                  <c:v>24000</c:v>
                </c:pt>
                <c:pt idx="102">
                  <c:v>24000</c:v>
                </c:pt>
                <c:pt idx="103">
                  <c:v>24000</c:v>
                </c:pt>
                <c:pt idx="104">
                  <c:v>24000</c:v>
                </c:pt>
                <c:pt idx="105">
                  <c:v>24000</c:v>
                </c:pt>
                <c:pt idx="106">
                  <c:v>24000</c:v>
                </c:pt>
                <c:pt idx="107">
                  <c:v>24000</c:v>
                </c:pt>
                <c:pt idx="108">
                  <c:v>24000</c:v>
                </c:pt>
                <c:pt idx="109">
                  <c:v>24000</c:v>
                </c:pt>
                <c:pt idx="110">
                  <c:v>24000</c:v>
                </c:pt>
                <c:pt idx="111">
                  <c:v>24000</c:v>
                </c:pt>
                <c:pt idx="112">
                  <c:v>25648</c:v>
                </c:pt>
                <c:pt idx="113">
                  <c:v>25648</c:v>
                </c:pt>
                <c:pt idx="114">
                  <c:v>25648</c:v>
                </c:pt>
                <c:pt idx="115">
                  <c:v>27296</c:v>
                </c:pt>
                <c:pt idx="116">
                  <c:v>27296</c:v>
                </c:pt>
                <c:pt idx="117">
                  <c:v>27296</c:v>
                </c:pt>
                <c:pt idx="118">
                  <c:v>27296</c:v>
                </c:pt>
                <c:pt idx="119">
                  <c:v>27296</c:v>
                </c:pt>
                <c:pt idx="120">
                  <c:v>27296</c:v>
                </c:pt>
                <c:pt idx="121">
                  <c:v>27296</c:v>
                </c:pt>
                <c:pt idx="122">
                  <c:v>27296</c:v>
                </c:pt>
                <c:pt idx="123">
                  <c:v>27296</c:v>
                </c:pt>
                <c:pt idx="124">
                  <c:v>27296</c:v>
                </c:pt>
                <c:pt idx="125">
                  <c:v>27296</c:v>
                </c:pt>
                <c:pt idx="126">
                  <c:v>27296</c:v>
                </c:pt>
                <c:pt idx="127">
                  <c:v>27296</c:v>
                </c:pt>
                <c:pt idx="128">
                  <c:v>27296</c:v>
                </c:pt>
                <c:pt idx="129">
                  <c:v>28302</c:v>
                </c:pt>
                <c:pt idx="130">
                  <c:v>29308</c:v>
                </c:pt>
                <c:pt idx="131">
                  <c:v>29704</c:v>
                </c:pt>
                <c:pt idx="132">
                  <c:v>30100</c:v>
                </c:pt>
                <c:pt idx="133">
                  <c:v>30664</c:v>
                </c:pt>
                <c:pt idx="134">
                  <c:v>31228</c:v>
                </c:pt>
                <c:pt idx="135">
                  <c:v>32278</c:v>
                </c:pt>
                <c:pt idx="136">
                  <c:v>32278</c:v>
                </c:pt>
                <c:pt idx="137">
                  <c:v>32536</c:v>
                </c:pt>
                <c:pt idx="138">
                  <c:v>32794</c:v>
                </c:pt>
                <c:pt idx="139">
                  <c:v>33102</c:v>
                </c:pt>
                <c:pt idx="140">
                  <c:v>33422</c:v>
                </c:pt>
                <c:pt idx="141">
                  <c:v>33742</c:v>
                </c:pt>
                <c:pt idx="142">
                  <c:v>34312</c:v>
                </c:pt>
                <c:pt idx="143">
                  <c:v>34778</c:v>
                </c:pt>
                <c:pt idx="144">
                  <c:v>35784</c:v>
                </c:pt>
                <c:pt idx="145">
                  <c:v>36790</c:v>
                </c:pt>
                <c:pt idx="146">
                  <c:v>36790</c:v>
                </c:pt>
                <c:pt idx="147">
                  <c:v>36790</c:v>
                </c:pt>
                <c:pt idx="148">
                  <c:v>36790</c:v>
                </c:pt>
                <c:pt idx="149">
                  <c:v>36790</c:v>
                </c:pt>
                <c:pt idx="150">
                  <c:v>36790</c:v>
                </c:pt>
                <c:pt idx="151">
                  <c:v>36790</c:v>
                </c:pt>
                <c:pt idx="152">
                  <c:v>37968</c:v>
                </c:pt>
                <c:pt idx="153">
                  <c:v>37968</c:v>
                </c:pt>
                <c:pt idx="154">
                  <c:v>37968</c:v>
                </c:pt>
                <c:pt idx="155">
                  <c:v>37968</c:v>
                </c:pt>
                <c:pt idx="156">
                  <c:v>39018</c:v>
                </c:pt>
                <c:pt idx="157">
                  <c:v>39018</c:v>
                </c:pt>
                <c:pt idx="158">
                  <c:v>39018</c:v>
                </c:pt>
                <c:pt idx="159">
                  <c:v>39326</c:v>
                </c:pt>
                <c:pt idx="160">
                  <c:v>39646</c:v>
                </c:pt>
                <c:pt idx="161">
                  <c:v>39966</c:v>
                </c:pt>
                <c:pt idx="162">
                  <c:v>40536</c:v>
                </c:pt>
                <c:pt idx="163">
                  <c:v>41002</c:v>
                </c:pt>
                <c:pt idx="164">
                  <c:v>42008</c:v>
                </c:pt>
                <c:pt idx="165">
                  <c:v>43684</c:v>
                </c:pt>
                <c:pt idx="166">
                  <c:v>43684</c:v>
                </c:pt>
                <c:pt idx="167">
                  <c:v>43684</c:v>
                </c:pt>
                <c:pt idx="168">
                  <c:v>43684</c:v>
                </c:pt>
                <c:pt idx="169">
                  <c:v>43684</c:v>
                </c:pt>
                <c:pt idx="170">
                  <c:v>43684</c:v>
                </c:pt>
                <c:pt idx="171">
                  <c:v>45332</c:v>
                </c:pt>
                <c:pt idx="172">
                  <c:v>45332</c:v>
                </c:pt>
                <c:pt idx="173">
                  <c:v>45332</c:v>
                </c:pt>
                <c:pt idx="174">
                  <c:v>45332</c:v>
                </c:pt>
                <c:pt idx="175">
                  <c:v>45332</c:v>
                </c:pt>
                <c:pt idx="176">
                  <c:v>45332</c:v>
                </c:pt>
                <c:pt idx="177">
                  <c:v>45332</c:v>
                </c:pt>
                <c:pt idx="178">
                  <c:v>45332</c:v>
                </c:pt>
                <c:pt idx="179">
                  <c:v>45332</c:v>
                </c:pt>
                <c:pt idx="180">
                  <c:v>45332</c:v>
                </c:pt>
                <c:pt idx="181">
                  <c:v>45332</c:v>
                </c:pt>
                <c:pt idx="182">
                  <c:v>45332</c:v>
                </c:pt>
                <c:pt idx="183">
                  <c:v>45332</c:v>
                </c:pt>
                <c:pt idx="184">
                  <c:v>45332</c:v>
                </c:pt>
                <c:pt idx="185">
                  <c:v>45332</c:v>
                </c:pt>
                <c:pt idx="186">
                  <c:v>45332</c:v>
                </c:pt>
                <c:pt idx="187">
                  <c:v>46348</c:v>
                </c:pt>
                <c:pt idx="188">
                  <c:v>46348</c:v>
                </c:pt>
                <c:pt idx="189">
                  <c:v>46348</c:v>
                </c:pt>
                <c:pt idx="190">
                  <c:v>47010</c:v>
                </c:pt>
                <c:pt idx="191">
                  <c:v>47010</c:v>
                </c:pt>
                <c:pt idx="192">
                  <c:v>48658</c:v>
                </c:pt>
                <c:pt idx="193">
                  <c:v>48658</c:v>
                </c:pt>
                <c:pt idx="194">
                  <c:v>48658</c:v>
                </c:pt>
                <c:pt idx="195">
                  <c:v>48658</c:v>
                </c:pt>
                <c:pt idx="196">
                  <c:v>48658</c:v>
                </c:pt>
                <c:pt idx="197">
                  <c:v>48658</c:v>
                </c:pt>
                <c:pt idx="198">
                  <c:v>48658</c:v>
                </c:pt>
                <c:pt idx="199">
                  <c:v>48658</c:v>
                </c:pt>
                <c:pt idx="200">
                  <c:v>48658</c:v>
                </c:pt>
                <c:pt idx="201">
                  <c:v>48658</c:v>
                </c:pt>
                <c:pt idx="202">
                  <c:v>48658</c:v>
                </c:pt>
                <c:pt idx="203">
                  <c:v>48658</c:v>
                </c:pt>
                <c:pt idx="204">
                  <c:v>48658</c:v>
                </c:pt>
                <c:pt idx="205">
                  <c:v>48658</c:v>
                </c:pt>
                <c:pt idx="206">
                  <c:v>48658</c:v>
                </c:pt>
                <c:pt idx="207">
                  <c:v>48658</c:v>
                </c:pt>
                <c:pt idx="208">
                  <c:v>48658</c:v>
                </c:pt>
                <c:pt idx="209">
                  <c:v>48658</c:v>
                </c:pt>
                <c:pt idx="210">
                  <c:v>48658</c:v>
                </c:pt>
                <c:pt idx="211">
                  <c:v>48658</c:v>
                </c:pt>
                <c:pt idx="212">
                  <c:v>48658</c:v>
                </c:pt>
                <c:pt idx="213">
                  <c:v>48658</c:v>
                </c:pt>
                <c:pt idx="214">
                  <c:v>48658</c:v>
                </c:pt>
                <c:pt idx="215">
                  <c:v>48658</c:v>
                </c:pt>
                <c:pt idx="216">
                  <c:v>48658</c:v>
                </c:pt>
                <c:pt idx="217">
                  <c:v>48658</c:v>
                </c:pt>
                <c:pt idx="218">
                  <c:v>48658</c:v>
                </c:pt>
                <c:pt idx="219">
                  <c:v>48658</c:v>
                </c:pt>
                <c:pt idx="220">
                  <c:v>48658</c:v>
                </c:pt>
                <c:pt idx="221">
                  <c:v>48658</c:v>
                </c:pt>
                <c:pt idx="222">
                  <c:v>48658</c:v>
                </c:pt>
                <c:pt idx="223">
                  <c:v>48658</c:v>
                </c:pt>
                <c:pt idx="224">
                  <c:v>48658</c:v>
                </c:pt>
                <c:pt idx="225">
                  <c:v>49968</c:v>
                </c:pt>
                <c:pt idx="226">
                  <c:v>49968</c:v>
                </c:pt>
                <c:pt idx="227">
                  <c:v>49968</c:v>
                </c:pt>
                <c:pt idx="228">
                  <c:v>51278</c:v>
                </c:pt>
                <c:pt idx="229">
                  <c:v>51278</c:v>
                </c:pt>
                <c:pt idx="230">
                  <c:v>51278</c:v>
                </c:pt>
                <c:pt idx="231">
                  <c:v>52328</c:v>
                </c:pt>
                <c:pt idx="232">
                  <c:v>52328</c:v>
                </c:pt>
                <c:pt idx="233">
                  <c:v>53976</c:v>
                </c:pt>
                <c:pt idx="234">
                  <c:v>53976</c:v>
                </c:pt>
                <c:pt idx="235">
                  <c:v>54840</c:v>
                </c:pt>
                <c:pt idx="236">
                  <c:v>54840</c:v>
                </c:pt>
                <c:pt idx="237">
                  <c:v>55704</c:v>
                </c:pt>
                <c:pt idx="238">
                  <c:v>55704</c:v>
                </c:pt>
                <c:pt idx="239">
                  <c:v>55704</c:v>
                </c:pt>
                <c:pt idx="240">
                  <c:v>55704</c:v>
                </c:pt>
                <c:pt idx="241">
                  <c:v>55704</c:v>
                </c:pt>
                <c:pt idx="242">
                  <c:v>56754</c:v>
                </c:pt>
                <c:pt idx="243">
                  <c:v>56754</c:v>
                </c:pt>
                <c:pt idx="244">
                  <c:v>57804</c:v>
                </c:pt>
                <c:pt idx="245">
                  <c:v>57804</c:v>
                </c:pt>
                <c:pt idx="246">
                  <c:v>57844</c:v>
                </c:pt>
                <c:pt idx="247">
                  <c:v>57884</c:v>
                </c:pt>
                <c:pt idx="248">
                  <c:v>58172</c:v>
                </c:pt>
                <c:pt idx="249">
                  <c:v>58232</c:v>
                </c:pt>
                <c:pt idx="250">
                  <c:v>58304</c:v>
                </c:pt>
                <c:pt idx="251">
                  <c:v>58552</c:v>
                </c:pt>
                <c:pt idx="252">
                  <c:v>58730</c:v>
                </c:pt>
                <c:pt idx="253">
                  <c:v>59714</c:v>
                </c:pt>
                <c:pt idx="254">
                  <c:v>60698</c:v>
                </c:pt>
                <c:pt idx="255">
                  <c:v>60698</c:v>
                </c:pt>
                <c:pt idx="256">
                  <c:v>60698</c:v>
                </c:pt>
                <c:pt idx="257">
                  <c:v>60698</c:v>
                </c:pt>
                <c:pt idx="258">
                  <c:v>60698</c:v>
                </c:pt>
                <c:pt idx="259">
                  <c:v>60698</c:v>
                </c:pt>
                <c:pt idx="260">
                  <c:v>60698</c:v>
                </c:pt>
                <c:pt idx="261">
                  <c:v>60698</c:v>
                </c:pt>
                <c:pt idx="262">
                  <c:v>60698</c:v>
                </c:pt>
                <c:pt idx="263">
                  <c:v>60698</c:v>
                </c:pt>
                <c:pt idx="264">
                  <c:v>60698</c:v>
                </c:pt>
                <c:pt idx="265">
                  <c:v>60698</c:v>
                </c:pt>
                <c:pt idx="266">
                  <c:v>60698</c:v>
                </c:pt>
                <c:pt idx="267">
                  <c:v>60698</c:v>
                </c:pt>
                <c:pt idx="268">
                  <c:v>60698</c:v>
                </c:pt>
                <c:pt idx="269">
                  <c:v>60698</c:v>
                </c:pt>
                <c:pt idx="270">
                  <c:v>60698</c:v>
                </c:pt>
                <c:pt idx="271">
                  <c:v>60698</c:v>
                </c:pt>
                <c:pt idx="272">
                  <c:v>60698</c:v>
                </c:pt>
                <c:pt idx="273">
                  <c:v>60698</c:v>
                </c:pt>
                <c:pt idx="274">
                  <c:v>75698</c:v>
                </c:pt>
                <c:pt idx="275">
                  <c:v>75698</c:v>
                </c:pt>
                <c:pt idx="276">
                  <c:v>75698</c:v>
                </c:pt>
                <c:pt idx="277">
                  <c:v>77374</c:v>
                </c:pt>
                <c:pt idx="278">
                  <c:v>77374</c:v>
                </c:pt>
                <c:pt idx="279">
                  <c:v>77374</c:v>
                </c:pt>
                <c:pt idx="280">
                  <c:v>77374</c:v>
                </c:pt>
                <c:pt idx="281">
                  <c:v>77374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6BF-40D8-A3DC-78A27D86AA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7014407"/>
        <c:axId val="287016967"/>
      </c:lineChart>
      <c:dateAx>
        <c:axId val="28701440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7016967"/>
        <c:crosses val="autoZero"/>
        <c:auto val="1"/>
        <c:lblOffset val="100"/>
        <c:baseTimeUnit val="days"/>
      </c:dateAx>
      <c:valAx>
        <c:axId val="2870169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7014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マイル管理!#REF!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cat>
            <c:numRef>
              <c:f>マイル管理!$A$21:$A$302</c:f>
              <c:numCache>
                <c:formatCode>m/d/yyyy</c:formatCode>
                <c:ptCount val="282"/>
                <c:pt idx="0">
                  <c:v>45680</c:v>
                </c:pt>
                <c:pt idx="1">
                  <c:v>45682</c:v>
                </c:pt>
                <c:pt idx="2">
                  <c:v>45727</c:v>
                </c:pt>
                <c:pt idx="3">
                  <c:v>45727</c:v>
                </c:pt>
                <c:pt idx="4">
                  <c:v>45784</c:v>
                </c:pt>
                <c:pt idx="5">
                  <c:v>45787</c:v>
                </c:pt>
                <c:pt idx="6">
                  <c:v>45834</c:v>
                </c:pt>
                <c:pt idx="7">
                  <c:v>45836</c:v>
                </c:pt>
                <c:pt idx="8">
                  <c:v>45840</c:v>
                </c:pt>
                <c:pt idx="9">
                  <c:v>45841</c:v>
                </c:pt>
                <c:pt idx="10">
                  <c:v>45841</c:v>
                </c:pt>
                <c:pt idx="11">
                  <c:v>45842</c:v>
                </c:pt>
                <c:pt idx="12">
                  <c:v>45843</c:v>
                </c:pt>
                <c:pt idx="13">
                  <c:v>45844</c:v>
                </c:pt>
                <c:pt idx="14">
                  <c:v>45845</c:v>
                </c:pt>
                <c:pt idx="15">
                  <c:v>45846</c:v>
                </c:pt>
                <c:pt idx="16">
                  <c:v>45846</c:v>
                </c:pt>
                <c:pt idx="17">
                  <c:v>45847</c:v>
                </c:pt>
                <c:pt idx="18">
                  <c:v>45848</c:v>
                </c:pt>
                <c:pt idx="19">
                  <c:v>45848</c:v>
                </c:pt>
                <c:pt idx="20">
                  <c:v>45849</c:v>
                </c:pt>
                <c:pt idx="21">
                  <c:v>45849</c:v>
                </c:pt>
                <c:pt idx="22">
                  <c:v>45850</c:v>
                </c:pt>
                <c:pt idx="23">
                  <c:v>45850</c:v>
                </c:pt>
                <c:pt idx="24">
                  <c:v>45851</c:v>
                </c:pt>
                <c:pt idx="25">
                  <c:v>45851</c:v>
                </c:pt>
                <c:pt idx="26">
                  <c:v>45852</c:v>
                </c:pt>
                <c:pt idx="27">
                  <c:v>45853</c:v>
                </c:pt>
                <c:pt idx="28">
                  <c:v>45853</c:v>
                </c:pt>
                <c:pt idx="29">
                  <c:v>45854</c:v>
                </c:pt>
                <c:pt idx="30">
                  <c:v>45855</c:v>
                </c:pt>
                <c:pt idx="31">
                  <c:v>45856</c:v>
                </c:pt>
                <c:pt idx="32">
                  <c:v>45857</c:v>
                </c:pt>
                <c:pt idx="33">
                  <c:v>45858</c:v>
                </c:pt>
                <c:pt idx="34">
                  <c:v>45859</c:v>
                </c:pt>
                <c:pt idx="35">
                  <c:v>45860</c:v>
                </c:pt>
                <c:pt idx="36">
                  <c:v>45860</c:v>
                </c:pt>
                <c:pt idx="37">
                  <c:v>45860</c:v>
                </c:pt>
                <c:pt idx="38">
                  <c:v>45861</c:v>
                </c:pt>
                <c:pt idx="39">
                  <c:v>45862</c:v>
                </c:pt>
                <c:pt idx="40">
                  <c:v>45863</c:v>
                </c:pt>
                <c:pt idx="41">
                  <c:v>45864</c:v>
                </c:pt>
                <c:pt idx="42">
                  <c:v>45864</c:v>
                </c:pt>
                <c:pt idx="43">
                  <c:v>45865</c:v>
                </c:pt>
                <c:pt idx="44">
                  <c:v>45865</c:v>
                </c:pt>
                <c:pt idx="45">
                  <c:v>45866</c:v>
                </c:pt>
                <c:pt idx="46">
                  <c:v>45867</c:v>
                </c:pt>
                <c:pt idx="47">
                  <c:v>45867</c:v>
                </c:pt>
                <c:pt idx="48">
                  <c:v>45868</c:v>
                </c:pt>
                <c:pt idx="49">
                  <c:v>45868</c:v>
                </c:pt>
                <c:pt idx="50">
                  <c:v>45869</c:v>
                </c:pt>
                <c:pt idx="51">
                  <c:v>45870</c:v>
                </c:pt>
                <c:pt idx="52">
                  <c:v>45871</c:v>
                </c:pt>
                <c:pt idx="53">
                  <c:v>45871</c:v>
                </c:pt>
                <c:pt idx="54">
                  <c:v>45872</c:v>
                </c:pt>
                <c:pt idx="55">
                  <c:v>45872</c:v>
                </c:pt>
                <c:pt idx="56">
                  <c:v>45873</c:v>
                </c:pt>
                <c:pt idx="57">
                  <c:v>45874</c:v>
                </c:pt>
                <c:pt idx="58">
                  <c:v>45875</c:v>
                </c:pt>
                <c:pt idx="59">
                  <c:v>45875</c:v>
                </c:pt>
                <c:pt idx="60">
                  <c:v>45875</c:v>
                </c:pt>
                <c:pt idx="61">
                  <c:v>45876</c:v>
                </c:pt>
                <c:pt idx="62">
                  <c:v>45877</c:v>
                </c:pt>
                <c:pt idx="63">
                  <c:v>45878</c:v>
                </c:pt>
                <c:pt idx="64">
                  <c:v>45879</c:v>
                </c:pt>
                <c:pt idx="65">
                  <c:v>45879</c:v>
                </c:pt>
                <c:pt idx="66">
                  <c:v>45880</c:v>
                </c:pt>
                <c:pt idx="67">
                  <c:v>45881</c:v>
                </c:pt>
                <c:pt idx="68">
                  <c:v>45882</c:v>
                </c:pt>
                <c:pt idx="69">
                  <c:v>45883</c:v>
                </c:pt>
                <c:pt idx="70">
                  <c:v>45884</c:v>
                </c:pt>
                <c:pt idx="71">
                  <c:v>45885</c:v>
                </c:pt>
                <c:pt idx="72">
                  <c:v>45886</c:v>
                </c:pt>
                <c:pt idx="73">
                  <c:v>45887</c:v>
                </c:pt>
                <c:pt idx="74">
                  <c:v>45888</c:v>
                </c:pt>
                <c:pt idx="75">
                  <c:v>45889</c:v>
                </c:pt>
                <c:pt idx="76">
                  <c:v>45890</c:v>
                </c:pt>
                <c:pt idx="77">
                  <c:v>45890</c:v>
                </c:pt>
                <c:pt idx="78">
                  <c:v>45891</c:v>
                </c:pt>
                <c:pt idx="79">
                  <c:v>45891</c:v>
                </c:pt>
                <c:pt idx="80">
                  <c:v>45892</c:v>
                </c:pt>
                <c:pt idx="81">
                  <c:v>45893</c:v>
                </c:pt>
                <c:pt idx="82">
                  <c:v>45894</c:v>
                </c:pt>
                <c:pt idx="83">
                  <c:v>45895</c:v>
                </c:pt>
                <c:pt idx="84">
                  <c:v>45896</c:v>
                </c:pt>
                <c:pt idx="85">
                  <c:v>45896</c:v>
                </c:pt>
                <c:pt idx="86">
                  <c:v>45897</c:v>
                </c:pt>
                <c:pt idx="87">
                  <c:v>45897</c:v>
                </c:pt>
                <c:pt idx="88">
                  <c:v>45898</c:v>
                </c:pt>
                <c:pt idx="89">
                  <c:v>45899</c:v>
                </c:pt>
                <c:pt idx="90">
                  <c:v>45900</c:v>
                </c:pt>
                <c:pt idx="91">
                  <c:v>45900</c:v>
                </c:pt>
                <c:pt idx="92">
                  <c:v>45901</c:v>
                </c:pt>
                <c:pt idx="93">
                  <c:v>45901</c:v>
                </c:pt>
                <c:pt idx="94">
                  <c:v>45902</c:v>
                </c:pt>
                <c:pt idx="95">
                  <c:v>45903</c:v>
                </c:pt>
                <c:pt idx="96">
                  <c:v>45903</c:v>
                </c:pt>
                <c:pt idx="97">
                  <c:v>45904</c:v>
                </c:pt>
                <c:pt idx="98">
                  <c:v>45905</c:v>
                </c:pt>
                <c:pt idx="99">
                  <c:v>45906</c:v>
                </c:pt>
                <c:pt idx="100">
                  <c:v>45907</c:v>
                </c:pt>
                <c:pt idx="101">
                  <c:v>45908</c:v>
                </c:pt>
                <c:pt idx="102">
                  <c:v>45909</c:v>
                </c:pt>
                <c:pt idx="103">
                  <c:v>45910</c:v>
                </c:pt>
                <c:pt idx="104">
                  <c:v>45910</c:v>
                </c:pt>
                <c:pt idx="105">
                  <c:v>45911</c:v>
                </c:pt>
                <c:pt idx="106">
                  <c:v>45911</c:v>
                </c:pt>
                <c:pt idx="107">
                  <c:v>45912</c:v>
                </c:pt>
                <c:pt idx="108">
                  <c:v>45913</c:v>
                </c:pt>
                <c:pt idx="109">
                  <c:v>45914</c:v>
                </c:pt>
                <c:pt idx="110">
                  <c:v>45914</c:v>
                </c:pt>
                <c:pt idx="111">
                  <c:v>45914</c:v>
                </c:pt>
                <c:pt idx="112">
                  <c:v>45915</c:v>
                </c:pt>
                <c:pt idx="113">
                  <c:v>45915</c:v>
                </c:pt>
                <c:pt idx="114">
                  <c:v>45916</c:v>
                </c:pt>
                <c:pt idx="115">
                  <c:v>45917</c:v>
                </c:pt>
                <c:pt idx="116">
                  <c:v>45917</c:v>
                </c:pt>
                <c:pt idx="117">
                  <c:v>45918</c:v>
                </c:pt>
                <c:pt idx="118">
                  <c:v>45919</c:v>
                </c:pt>
                <c:pt idx="119">
                  <c:v>45919</c:v>
                </c:pt>
                <c:pt idx="120">
                  <c:v>45919</c:v>
                </c:pt>
                <c:pt idx="121">
                  <c:v>45919</c:v>
                </c:pt>
                <c:pt idx="122">
                  <c:v>45919</c:v>
                </c:pt>
                <c:pt idx="123">
                  <c:v>45920</c:v>
                </c:pt>
                <c:pt idx="124">
                  <c:v>45921</c:v>
                </c:pt>
                <c:pt idx="125">
                  <c:v>45922</c:v>
                </c:pt>
                <c:pt idx="126">
                  <c:v>45923</c:v>
                </c:pt>
                <c:pt idx="127">
                  <c:v>45924</c:v>
                </c:pt>
                <c:pt idx="128">
                  <c:v>45925</c:v>
                </c:pt>
                <c:pt idx="129">
                  <c:v>45926</c:v>
                </c:pt>
                <c:pt idx="130">
                  <c:v>45926</c:v>
                </c:pt>
                <c:pt idx="131">
                  <c:v>45926</c:v>
                </c:pt>
                <c:pt idx="132">
                  <c:v>45926</c:v>
                </c:pt>
                <c:pt idx="133">
                  <c:v>45926</c:v>
                </c:pt>
                <c:pt idx="134">
                  <c:v>45926</c:v>
                </c:pt>
                <c:pt idx="135">
                  <c:v>45926</c:v>
                </c:pt>
                <c:pt idx="136">
                  <c:v>45926</c:v>
                </c:pt>
                <c:pt idx="137">
                  <c:v>45927</c:v>
                </c:pt>
                <c:pt idx="138">
                  <c:v>45927</c:v>
                </c:pt>
                <c:pt idx="139">
                  <c:v>45927</c:v>
                </c:pt>
                <c:pt idx="140">
                  <c:v>45927</c:v>
                </c:pt>
                <c:pt idx="141">
                  <c:v>45927</c:v>
                </c:pt>
                <c:pt idx="142">
                  <c:v>45927</c:v>
                </c:pt>
                <c:pt idx="143">
                  <c:v>45927</c:v>
                </c:pt>
                <c:pt idx="144">
                  <c:v>45927</c:v>
                </c:pt>
                <c:pt idx="145">
                  <c:v>45927</c:v>
                </c:pt>
                <c:pt idx="146">
                  <c:v>45927</c:v>
                </c:pt>
                <c:pt idx="147">
                  <c:v>45928</c:v>
                </c:pt>
                <c:pt idx="148">
                  <c:v>45929</c:v>
                </c:pt>
                <c:pt idx="149">
                  <c:v>45930</c:v>
                </c:pt>
                <c:pt idx="150">
                  <c:v>45930</c:v>
                </c:pt>
                <c:pt idx="151">
                  <c:v>45931</c:v>
                </c:pt>
                <c:pt idx="152">
                  <c:v>45932</c:v>
                </c:pt>
                <c:pt idx="153">
                  <c:v>45932</c:v>
                </c:pt>
                <c:pt idx="154">
                  <c:v>45933</c:v>
                </c:pt>
                <c:pt idx="155">
                  <c:v>45933</c:v>
                </c:pt>
                <c:pt idx="156">
                  <c:v>45934</c:v>
                </c:pt>
                <c:pt idx="157">
                  <c:v>45934</c:v>
                </c:pt>
                <c:pt idx="158">
                  <c:v>45934</c:v>
                </c:pt>
                <c:pt idx="159">
                  <c:v>45935</c:v>
                </c:pt>
                <c:pt idx="160">
                  <c:v>45935</c:v>
                </c:pt>
                <c:pt idx="161">
                  <c:v>45935</c:v>
                </c:pt>
                <c:pt idx="162">
                  <c:v>45935</c:v>
                </c:pt>
                <c:pt idx="163">
                  <c:v>45935</c:v>
                </c:pt>
                <c:pt idx="164">
                  <c:v>45935</c:v>
                </c:pt>
                <c:pt idx="165">
                  <c:v>45935</c:v>
                </c:pt>
                <c:pt idx="166">
                  <c:v>45935</c:v>
                </c:pt>
                <c:pt idx="167">
                  <c:v>45935</c:v>
                </c:pt>
                <c:pt idx="168">
                  <c:v>45936</c:v>
                </c:pt>
                <c:pt idx="169">
                  <c:v>45937</c:v>
                </c:pt>
                <c:pt idx="170">
                  <c:v>45938</c:v>
                </c:pt>
                <c:pt idx="171">
                  <c:v>45939</c:v>
                </c:pt>
                <c:pt idx="172">
                  <c:v>45939</c:v>
                </c:pt>
                <c:pt idx="173">
                  <c:v>45940</c:v>
                </c:pt>
                <c:pt idx="174">
                  <c:v>45940</c:v>
                </c:pt>
                <c:pt idx="175">
                  <c:v>45941</c:v>
                </c:pt>
                <c:pt idx="176">
                  <c:v>45942</c:v>
                </c:pt>
                <c:pt idx="177">
                  <c:v>45943</c:v>
                </c:pt>
                <c:pt idx="178">
                  <c:v>45944</c:v>
                </c:pt>
                <c:pt idx="179">
                  <c:v>45944</c:v>
                </c:pt>
                <c:pt idx="180">
                  <c:v>45944</c:v>
                </c:pt>
                <c:pt idx="181">
                  <c:v>45945</c:v>
                </c:pt>
                <c:pt idx="182">
                  <c:v>45946</c:v>
                </c:pt>
                <c:pt idx="183">
                  <c:v>45947</c:v>
                </c:pt>
                <c:pt idx="184">
                  <c:v>45948</c:v>
                </c:pt>
                <c:pt idx="185">
                  <c:v>45949</c:v>
                </c:pt>
                <c:pt idx="186">
                  <c:v>45950</c:v>
                </c:pt>
                <c:pt idx="187">
                  <c:v>45951</c:v>
                </c:pt>
                <c:pt idx="188">
                  <c:v>45951</c:v>
                </c:pt>
                <c:pt idx="189">
                  <c:v>45952</c:v>
                </c:pt>
                <c:pt idx="190">
                  <c:v>45953</c:v>
                </c:pt>
                <c:pt idx="191">
                  <c:v>45953</c:v>
                </c:pt>
                <c:pt idx="192">
                  <c:v>45954</c:v>
                </c:pt>
                <c:pt idx="193">
                  <c:v>45954</c:v>
                </c:pt>
                <c:pt idx="194">
                  <c:v>45955</c:v>
                </c:pt>
                <c:pt idx="195">
                  <c:v>45956</c:v>
                </c:pt>
                <c:pt idx="196">
                  <c:v>45957</c:v>
                </c:pt>
                <c:pt idx="197">
                  <c:v>45958</c:v>
                </c:pt>
                <c:pt idx="198">
                  <c:v>45959</c:v>
                </c:pt>
                <c:pt idx="199">
                  <c:v>45960</c:v>
                </c:pt>
                <c:pt idx="200">
                  <c:v>45961</c:v>
                </c:pt>
                <c:pt idx="201">
                  <c:v>45962</c:v>
                </c:pt>
                <c:pt idx="202">
                  <c:v>45963</c:v>
                </c:pt>
                <c:pt idx="203">
                  <c:v>45964</c:v>
                </c:pt>
                <c:pt idx="204">
                  <c:v>45965</c:v>
                </c:pt>
                <c:pt idx="205">
                  <c:v>45966</c:v>
                </c:pt>
                <c:pt idx="206">
                  <c:v>45967</c:v>
                </c:pt>
                <c:pt idx="207">
                  <c:v>45968</c:v>
                </c:pt>
                <c:pt idx="208">
                  <c:v>45968</c:v>
                </c:pt>
                <c:pt idx="209">
                  <c:v>45969</c:v>
                </c:pt>
                <c:pt idx="210">
                  <c:v>45970</c:v>
                </c:pt>
                <c:pt idx="211">
                  <c:v>45970</c:v>
                </c:pt>
                <c:pt idx="212">
                  <c:v>45971</c:v>
                </c:pt>
                <c:pt idx="213">
                  <c:v>45971</c:v>
                </c:pt>
                <c:pt idx="214">
                  <c:v>45972</c:v>
                </c:pt>
                <c:pt idx="215">
                  <c:v>45973</c:v>
                </c:pt>
                <c:pt idx="216">
                  <c:v>45974</c:v>
                </c:pt>
                <c:pt idx="217">
                  <c:v>45975</c:v>
                </c:pt>
                <c:pt idx="218">
                  <c:v>45976</c:v>
                </c:pt>
                <c:pt idx="219">
                  <c:v>45977</c:v>
                </c:pt>
                <c:pt idx="220">
                  <c:v>45978</c:v>
                </c:pt>
                <c:pt idx="221">
                  <c:v>45979</c:v>
                </c:pt>
                <c:pt idx="222">
                  <c:v>45980</c:v>
                </c:pt>
                <c:pt idx="223">
                  <c:v>45980</c:v>
                </c:pt>
                <c:pt idx="224">
                  <c:v>45980</c:v>
                </c:pt>
                <c:pt idx="225">
                  <c:v>45981</c:v>
                </c:pt>
                <c:pt idx="226">
                  <c:v>45981</c:v>
                </c:pt>
                <c:pt idx="227">
                  <c:v>45982</c:v>
                </c:pt>
                <c:pt idx="228">
                  <c:v>45983</c:v>
                </c:pt>
                <c:pt idx="229">
                  <c:v>45983</c:v>
                </c:pt>
                <c:pt idx="230">
                  <c:v>45984</c:v>
                </c:pt>
                <c:pt idx="231">
                  <c:v>45985</c:v>
                </c:pt>
                <c:pt idx="232">
                  <c:v>45985</c:v>
                </c:pt>
                <c:pt idx="233">
                  <c:v>45986</c:v>
                </c:pt>
                <c:pt idx="234">
                  <c:v>45986</c:v>
                </c:pt>
                <c:pt idx="235">
                  <c:v>45987</c:v>
                </c:pt>
                <c:pt idx="236">
                  <c:v>45987</c:v>
                </c:pt>
                <c:pt idx="237">
                  <c:v>45988</c:v>
                </c:pt>
                <c:pt idx="238">
                  <c:v>45988</c:v>
                </c:pt>
                <c:pt idx="239">
                  <c:v>45989</c:v>
                </c:pt>
                <c:pt idx="240">
                  <c:v>45990</c:v>
                </c:pt>
                <c:pt idx="241">
                  <c:v>45991</c:v>
                </c:pt>
                <c:pt idx="242">
                  <c:v>45992</c:v>
                </c:pt>
                <c:pt idx="243">
                  <c:v>45992</c:v>
                </c:pt>
                <c:pt idx="244">
                  <c:v>45993</c:v>
                </c:pt>
                <c:pt idx="245">
                  <c:v>45993</c:v>
                </c:pt>
                <c:pt idx="246">
                  <c:v>45994</c:v>
                </c:pt>
                <c:pt idx="247">
                  <c:v>45994</c:v>
                </c:pt>
                <c:pt idx="248">
                  <c:v>45994</c:v>
                </c:pt>
                <c:pt idx="249">
                  <c:v>45994</c:v>
                </c:pt>
                <c:pt idx="250">
                  <c:v>45994</c:v>
                </c:pt>
                <c:pt idx="251">
                  <c:v>45994</c:v>
                </c:pt>
                <c:pt idx="252">
                  <c:v>45994</c:v>
                </c:pt>
                <c:pt idx="253">
                  <c:v>45994</c:v>
                </c:pt>
                <c:pt idx="254">
                  <c:v>45994</c:v>
                </c:pt>
                <c:pt idx="255">
                  <c:v>45994</c:v>
                </c:pt>
                <c:pt idx="256">
                  <c:v>45995</c:v>
                </c:pt>
                <c:pt idx="257">
                  <c:v>45996</c:v>
                </c:pt>
                <c:pt idx="258">
                  <c:v>45997</c:v>
                </c:pt>
                <c:pt idx="259">
                  <c:v>45998</c:v>
                </c:pt>
                <c:pt idx="260">
                  <c:v>45999</c:v>
                </c:pt>
                <c:pt idx="261">
                  <c:v>46000</c:v>
                </c:pt>
                <c:pt idx="262">
                  <c:v>46001</c:v>
                </c:pt>
                <c:pt idx="263">
                  <c:v>46001</c:v>
                </c:pt>
                <c:pt idx="264">
                  <c:v>46001</c:v>
                </c:pt>
                <c:pt idx="265">
                  <c:v>46001</c:v>
                </c:pt>
                <c:pt idx="266">
                  <c:v>46002</c:v>
                </c:pt>
                <c:pt idx="267">
                  <c:v>46003</c:v>
                </c:pt>
                <c:pt idx="268">
                  <c:v>46003</c:v>
                </c:pt>
                <c:pt idx="269">
                  <c:v>46004</c:v>
                </c:pt>
                <c:pt idx="270">
                  <c:v>46004</c:v>
                </c:pt>
                <c:pt idx="271">
                  <c:v>46005</c:v>
                </c:pt>
                <c:pt idx="272">
                  <c:v>46005</c:v>
                </c:pt>
                <c:pt idx="273">
                  <c:v>46006</c:v>
                </c:pt>
                <c:pt idx="274">
                  <c:v>46007</c:v>
                </c:pt>
                <c:pt idx="275">
                  <c:v>46007</c:v>
                </c:pt>
                <c:pt idx="276">
                  <c:v>46008</c:v>
                </c:pt>
                <c:pt idx="277">
                  <c:v>46009</c:v>
                </c:pt>
                <c:pt idx="278">
                  <c:v>46009</c:v>
                </c:pt>
                <c:pt idx="279">
                  <c:v>46009</c:v>
                </c:pt>
                <c:pt idx="280">
                  <c:v>46010</c:v>
                </c:pt>
                <c:pt idx="281">
                  <c:v>46011</c:v>
                </c:pt>
              </c:numCache>
            </c:numRef>
          </c:cat>
          <c:val>
            <c:numRef>
              <c:f>マイル管理!$M$21:$M$302</c:f>
              <c:numCache>
                <c:formatCode>General</c:formatCode>
                <c:ptCount val="28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8</c:v>
                </c:pt>
                <c:pt idx="9">
                  <c:v>8</c:v>
                </c:pt>
                <c:pt idx="10">
                  <c:v>8</c:v>
                </c:pt>
                <c:pt idx="11">
                  <c:v>8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8</c:v>
                </c:pt>
                <c:pt idx="20">
                  <c:v>8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8</c:v>
                </c:pt>
                <c:pt idx="25">
                  <c:v>8</c:v>
                </c:pt>
                <c:pt idx="26">
                  <c:v>8</c:v>
                </c:pt>
                <c:pt idx="27">
                  <c:v>8</c:v>
                </c:pt>
                <c:pt idx="28">
                  <c:v>8</c:v>
                </c:pt>
                <c:pt idx="29">
                  <c:v>8</c:v>
                </c:pt>
                <c:pt idx="30">
                  <c:v>8</c:v>
                </c:pt>
                <c:pt idx="31">
                  <c:v>8</c:v>
                </c:pt>
                <c:pt idx="32">
                  <c:v>8</c:v>
                </c:pt>
                <c:pt idx="33">
                  <c:v>8</c:v>
                </c:pt>
                <c:pt idx="34">
                  <c:v>8</c:v>
                </c:pt>
                <c:pt idx="35">
                  <c:v>9</c:v>
                </c:pt>
                <c:pt idx="36">
                  <c:v>9</c:v>
                </c:pt>
                <c:pt idx="37">
                  <c:v>9</c:v>
                </c:pt>
                <c:pt idx="38">
                  <c:v>9</c:v>
                </c:pt>
                <c:pt idx="39">
                  <c:v>9</c:v>
                </c:pt>
                <c:pt idx="40">
                  <c:v>9</c:v>
                </c:pt>
                <c:pt idx="41">
                  <c:v>9</c:v>
                </c:pt>
                <c:pt idx="42">
                  <c:v>9</c:v>
                </c:pt>
                <c:pt idx="43">
                  <c:v>10</c:v>
                </c:pt>
                <c:pt idx="44">
                  <c:v>10</c:v>
                </c:pt>
                <c:pt idx="45">
                  <c:v>10</c:v>
                </c:pt>
                <c:pt idx="46">
                  <c:v>10</c:v>
                </c:pt>
                <c:pt idx="47">
                  <c:v>10</c:v>
                </c:pt>
                <c:pt idx="48">
                  <c:v>10</c:v>
                </c:pt>
                <c:pt idx="49">
                  <c:v>10</c:v>
                </c:pt>
                <c:pt idx="50">
                  <c:v>10</c:v>
                </c:pt>
                <c:pt idx="51">
                  <c:v>10</c:v>
                </c:pt>
                <c:pt idx="52">
                  <c:v>11</c:v>
                </c:pt>
                <c:pt idx="53">
                  <c:v>11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12</c:v>
                </c:pt>
                <c:pt idx="58">
                  <c:v>13</c:v>
                </c:pt>
                <c:pt idx="59">
                  <c:v>14</c:v>
                </c:pt>
                <c:pt idx="60">
                  <c:v>14</c:v>
                </c:pt>
                <c:pt idx="61">
                  <c:v>14</c:v>
                </c:pt>
                <c:pt idx="62">
                  <c:v>14</c:v>
                </c:pt>
                <c:pt idx="63">
                  <c:v>14</c:v>
                </c:pt>
                <c:pt idx="64">
                  <c:v>14</c:v>
                </c:pt>
                <c:pt idx="65">
                  <c:v>14</c:v>
                </c:pt>
                <c:pt idx="66">
                  <c:v>14</c:v>
                </c:pt>
                <c:pt idx="67">
                  <c:v>14</c:v>
                </c:pt>
                <c:pt idx="68">
                  <c:v>14</c:v>
                </c:pt>
                <c:pt idx="69">
                  <c:v>14</c:v>
                </c:pt>
                <c:pt idx="70">
                  <c:v>14</c:v>
                </c:pt>
                <c:pt idx="71">
                  <c:v>14</c:v>
                </c:pt>
                <c:pt idx="72">
                  <c:v>14</c:v>
                </c:pt>
                <c:pt idx="73">
                  <c:v>14</c:v>
                </c:pt>
                <c:pt idx="74">
                  <c:v>14</c:v>
                </c:pt>
                <c:pt idx="75">
                  <c:v>14</c:v>
                </c:pt>
                <c:pt idx="76">
                  <c:v>15</c:v>
                </c:pt>
                <c:pt idx="77">
                  <c:v>15</c:v>
                </c:pt>
                <c:pt idx="78">
                  <c:v>16</c:v>
                </c:pt>
                <c:pt idx="79">
                  <c:v>16</c:v>
                </c:pt>
                <c:pt idx="80">
                  <c:v>16</c:v>
                </c:pt>
                <c:pt idx="81">
                  <c:v>16</c:v>
                </c:pt>
                <c:pt idx="82">
                  <c:v>16</c:v>
                </c:pt>
                <c:pt idx="83">
                  <c:v>16</c:v>
                </c:pt>
                <c:pt idx="84">
                  <c:v>16</c:v>
                </c:pt>
                <c:pt idx="85">
                  <c:v>16</c:v>
                </c:pt>
                <c:pt idx="86">
                  <c:v>16</c:v>
                </c:pt>
                <c:pt idx="87">
                  <c:v>16</c:v>
                </c:pt>
                <c:pt idx="88">
                  <c:v>16</c:v>
                </c:pt>
                <c:pt idx="89">
                  <c:v>16</c:v>
                </c:pt>
                <c:pt idx="90">
                  <c:v>16</c:v>
                </c:pt>
                <c:pt idx="91">
                  <c:v>16</c:v>
                </c:pt>
                <c:pt idx="92">
                  <c:v>17</c:v>
                </c:pt>
                <c:pt idx="93">
                  <c:v>17</c:v>
                </c:pt>
                <c:pt idx="94">
                  <c:v>17</c:v>
                </c:pt>
                <c:pt idx="95">
                  <c:v>18</c:v>
                </c:pt>
                <c:pt idx="96">
                  <c:v>18</c:v>
                </c:pt>
                <c:pt idx="97">
                  <c:v>18</c:v>
                </c:pt>
                <c:pt idx="98">
                  <c:v>18</c:v>
                </c:pt>
                <c:pt idx="99">
                  <c:v>18</c:v>
                </c:pt>
                <c:pt idx="100">
                  <c:v>18</c:v>
                </c:pt>
                <c:pt idx="101">
                  <c:v>18</c:v>
                </c:pt>
                <c:pt idx="102">
                  <c:v>18</c:v>
                </c:pt>
                <c:pt idx="103">
                  <c:v>18</c:v>
                </c:pt>
                <c:pt idx="104">
                  <c:v>18</c:v>
                </c:pt>
                <c:pt idx="105">
                  <c:v>18</c:v>
                </c:pt>
                <c:pt idx="106">
                  <c:v>18</c:v>
                </c:pt>
                <c:pt idx="107">
                  <c:v>18</c:v>
                </c:pt>
                <c:pt idx="108">
                  <c:v>18</c:v>
                </c:pt>
                <c:pt idx="109">
                  <c:v>18</c:v>
                </c:pt>
                <c:pt idx="110">
                  <c:v>18</c:v>
                </c:pt>
                <c:pt idx="111">
                  <c:v>18</c:v>
                </c:pt>
                <c:pt idx="112">
                  <c:v>19</c:v>
                </c:pt>
                <c:pt idx="113">
                  <c:v>19</c:v>
                </c:pt>
                <c:pt idx="114">
                  <c:v>19</c:v>
                </c:pt>
                <c:pt idx="115">
                  <c:v>20</c:v>
                </c:pt>
                <c:pt idx="116">
                  <c:v>20</c:v>
                </c:pt>
                <c:pt idx="117">
                  <c:v>20</c:v>
                </c:pt>
                <c:pt idx="118">
                  <c:v>20</c:v>
                </c:pt>
                <c:pt idx="119">
                  <c:v>20</c:v>
                </c:pt>
                <c:pt idx="120">
                  <c:v>20</c:v>
                </c:pt>
                <c:pt idx="121">
                  <c:v>20</c:v>
                </c:pt>
                <c:pt idx="122">
                  <c:v>20</c:v>
                </c:pt>
                <c:pt idx="123">
                  <c:v>20</c:v>
                </c:pt>
                <c:pt idx="124">
                  <c:v>20</c:v>
                </c:pt>
                <c:pt idx="125">
                  <c:v>20</c:v>
                </c:pt>
                <c:pt idx="126">
                  <c:v>20</c:v>
                </c:pt>
                <c:pt idx="127">
                  <c:v>20</c:v>
                </c:pt>
                <c:pt idx="128">
                  <c:v>20</c:v>
                </c:pt>
                <c:pt idx="129">
                  <c:v>21</c:v>
                </c:pt>
                <c:pt idx="130">
                  <c:v>22</c:v>
                </c:pt>
                <c:pt idx="131">
                  <c:v>23</c:v>
                </c:pt>
                <c:pt idx="132">
                  <c:v>24</c:v>
                </c:pt>
                <c:pt idx="133">
                  <c:v>25</c:v>
                </c:pt>
                <c:pt idx="134">
                  <c:v>26</c:v>
                </c:pt>
                <c:pt idx="135">
                  <c:v>27</c:v>
                </c:pt>
                <c:pt idx="136">
                  <c:v>27</c:v>
                </c:pt>
                <c:pt idx="137">
                  <c:v>28</c:v>
                </c:pt>
                <c:pt idx="138">
                  <c:v>29</c:v>
                </c:pt>
                <c:pt idx="139">
                  <c:v>30</c:v>
                </c:pt>
                <c:pt idx="140">
                  <c:v>31</c:v>
                </c:pt>
                <c:pt idx="141">
                  <c:v>32</c:v>
                </c:pt>
                <c:pt idx="142">
                  <c:v>33</c:v>
                </c:pt>
                <c:pt idx="143">
                  <c:v>34</c:v>
                </c:pt>
                <c:pt idx="144">
                  <c:v>35</c:v>
                </c:pt>
                <c:pt idx="145">
                  <c:v>36</c:v>
                </c:pt>
                <c:pt idx="146">
                  <c:v>36</c:v>
                </c:pt>
                <c:pt idx="147">
                  <c:v>36</c:v>
                </c:pt>
                <c:pt idx="148">
                  <c:v>36</c:v>
                </c:pt>
                <c:pt idx="149">
                  <c:v>36</c:v>
                </c:pt>
                <c:pt idx="150">
                  <c:v>36</c:v>
                </c:pt>
                <c:pt idx="151">
                  <c:v>36</c:v>
                </c:pt>
                <c:pt idx="152">
                  <c:v>37</c:v>
                </c:pt>
                <c:pt idx="153">
                  <c:v>37</c:v>
                </c:pt>
                <c:pt idx="154">
                  <c:v>37</c:v>
                </c:pt>
                <c:pt idx="155">
                  <c:v>37</c:v>
                </c:pt>
                <c:pt idx="156">
                  <c:v>38</c:v>
                </c:pt>
                <c:pt idx="157">
                  <c:v>38</c:v>
                </c:pt>
                <c:pt idx="158">
                  <c:v>38</c:v>
                </c:pt>
                <c:pt idx="159">
                  <c:v>39</c:v>
                </c:pt>
                <c:pt idx="160">
                  <c:v>40</c:v>
                </c:pt>
                <c:pt idx="161">
                  <c:v>41</c:v>
                </c:pt>
                <c:pt idx="162">
                  <c:v>42</c:v>
                </c:pt>
                <c:pt idx="163">
                  <c:v>43</c:v>
                </c:pt>
                <c:pt idx="164">
                  <c:v>44</c:v>
                </c:pt>
                <c:pt idx="165">
                  <c:v>45</c:v>
                </c:pt>
                <c:pt idx="166">
                  <c:v>45</c:v>
                </c:pt>
                <c:pt idx="167">
                  <c:v>45</c:v>
                </c:pt>
                <c:pt idx="168">
                  <c:v>45</c:v>
                </c:pt>
                <c:pt idx="169">
                  <c:v>45</c:v>
                </c:pt>
                <c:pt idx="170">
                  <c:v>45</c:v>
                </c:pt>
                <c:pt idx="171">
                  <c:v>46</c:v>
                </c:pt>
                <c:pt idx="172">
                  <c:v>46</c:v>
                </c:pt>
                <c:pt idx="173">
                  <c:v>46</c:v>
                </c:pt>
                <c:pt idx="174">
                  <c:v>46</c:v>
                </c:pt>
                <c:pt idx="175">
                  <c:v>46</c:v>
                </c:pt>
                <c:pt idx="176">
                  <c:v>46</c:v>
                </c:pt>
                <c:pt idx="177">
                  <c:v>46</c:v>
                </c:pt>
                <c:pt idx="178">
                  <c:v>46</c:v>
                </c:pt>
                <c:pt idx="179">
                  <c:v>46</c:v>
                </c:pt>
                <c:pt idx="180">
                  <c:v>46</c:v>
                </c:pt>
                <c:pt idx="181">
                  <c:v>46</c:v>
                </c:pt>
                <c:pt idx="182">
                  <c:v>46</c:v>
                </c:pt>
                <c:pt idx="183">
                  <c:v>46</c:v>
                </c:pt>
                <c:pt idx="184">
                  <c:v>46</c:v>
                </c:pt>
                <c:pt idx="185">
                  <c:v>46</c:v>
                </c:pt>
                <c:pt idx="186">
                  <c:v>46</c:v>
                </c:pt>
                <c:pt idx="187">
                  <c:v>47</c:v>
                </c:pt>
                <c:pt idx="188">
                  <c:v>47</c:v>
                </c:pt>
                <c:pt idx="189">
                  <c:v>47</c:v>
                </c:pt>
                <c:pt idx="190">
                  <c:v>48</c:v>
                </c:pt>
                <c:pt idx="191">
                  <c:v>48</c:v>
                </c:pt>
                <c:pt idx="192">
                  <c:v>49</c:v>
                </c:pt>
                <c:pt idx="193">
                  <c:v>49</c:v>
                </c:pt>
                <c:pt idx="194">
                  <c:v>49</c:v>
                </c:pt>
                <c:pt idx="195">
                  <c:v>49</c:v>
                </c:pt>
                <c:pt idx="196">
                  <c:v>49</c:v>
                </c:pt>
                <c:pt idx="197">
                  <c:v>49</c:v>
                </c:pt>
                <c:pt idx="198">
                  <c:v>49</c:v>
                </c:pt>
                <c:pt idx="199">
                  <c:v>49</c:v>
                </c:pt>
                <c:pt idx="200">
                  <c:v>49</c:v>
                </c:pt>
                <c:pt idx="201">
                  <c:v>49</c:v>
                </c:pt>
                <c:pt idx="202">
                  <c:v>49</c:v>
                </c:pt>
                <c:pt idx="203">
                  <c:v>49</c:v>
                </c:pt>
                <c:pt idx="204">
                  <c:v>49</c:v>
                </c:pt>
                <c:pt idx="205">
                  <c:v>49</c:v>
                </c:pt>
                <c:pt idx="206">
                  <c:v>49</c:v>
                </c:pt>
                <c:pt idx="207">
                  <c:v>49</c:v>
                </c:pt>
                <c:pt idx="208">
                  <c:v>49</c:v>
                </c:pt>
                <c:pt idx="209">
                  <c:v>49</c:v>
                </c:pt>
                <c:pt idx="210">
                  <c:v>49</c:v>
                </c:pt>
                <c:pt idx="211">
                  <c:v>49</c:v>
                </c:pt>
                <c:pt idx="212">
                  <c:v>49</c:v>
                </c:pt>
                <c:pt idx="213">
                  <c:v>49</c:v>
                </c:pt>
                <c:pt idx="214">
                  <c:v>49</c:v>
                </c:pt>
                <c:pt idx="215">
                  <c:v>49</c:v>
                </c:pt>
                <c:pt idx="216">
                  <c:v>49</c:v>
                </c:pt>
                <c:pt idx="217">
                  <c:v>49</c:v>
                </c:pt>
                <c:pt idx="218">
                  <c:v>49</c:v>
                </c:pt>
                <c:pt idx="219">
                  <c:v>49</c:v>
                </c:pt>
                <c:pt idx="220">
                  <c:v>49</c:v>
                </c:pt>
                <c:pt idx="221">
                  <c:v>49</c:v>
                </c:pt>
                <c:pt idx="222">
                  <c:v>49</c:v>
                </c:pt>
                <c:pt idx="223">
                  <c:v>49</c:v>
                </c:pt>
                <c:pt idx="224">
                  <c:v>49</c:v>
                </c:pt>
                <c:pt idx="225">
                  <c:v>50</c:v>
                </c:pt>
                <c:pt idx="226">
                  <c:v>50</c:v>
                </c:pt>
                <c:pt idx="227">
                  <c:v>50</c:v>
                </c:pt>
                <c:pt idx="228">
                  <c:v>51</c:v>
                </c:pt>
                <c:pt idx="229">
                  <c:v>51</c:v>
                </c:pt>
                <c:pt idx="230">
                  <c:v>51</c:v>
                </c:pt>
                <c:pt idx="231">
                  <c:v>52</c:v>
                </c:pt>
                <c:pt idx="232">
                  <c:v>52</c:v>
                </c:pt>
                <c:pt idx="233">
                  <c:v>53</c:v>
                </c:pt>
                <c:pt idx="234">
                  <c:v>53</c:v>
                </c:pt>
                <c:pt idx="235">
                  <c:v>54</c:v>
                </c:pt>
                <c:pt idx="236">
                  <c:v>54</c:v>
                </c:pt>
                <c:pt idx="237">
                  <c:v>55</c:v>
                </c:pt>
                <c:pt idx="238">
                  <c:v>55</c:v>
                </c:pt>
                <c:pt idx="239">
                  <c:v>55</c:v>
                </c:pt>
                <c:pt idx="240">
                  <c:v>55</c:v>
                </c:pt>
                <c:pt idx="241">
                  <c:v>55</c:v>
                </c:pt>
                <c:pt idx="242">
                  <c:v>56</c:v>
                </c:pt>
                <c:pt idx="243">
                  <c:v>56</c:v>
                </c:pt>
                <c:pt idx="244">
                  <c:v>57</c:v>
                </c:pt>
                <c:pt idx="245">
                  <c:v>57</c:v>
                </c:pt>
                <c:pt idx="246">
                  <c:v>58</c:v>
                </c:pt>
                <c:pt idx="247">
                  <c:v>59</c:v>
                </c:pt>
                <c:pt idx="248">
                  <c:v>60</c:v>
                </c:pt>
                <c:pt idx="249">
                  <c:v>61</c:v>
                </c:pt>
                <c:pt idx="250">
                  <c:v>62</c:v>
                </c:pt>
                <c:pt idx="251">
                  <c:v>63</c:v>
                </c:pt>
                <c:pt idx="252">
                  <c:v>64</c:v>
                </c:pt>
                <c:pt idx="253">
                  <c:v>65</c:v>
                </c:pt>
                <c:pt idx="254">
                  <c:v>66</c:v>
                </c:pt>
                <c:pt idx="255">
                  <c:v>66</c:v>
                </c:pt>
                <c:pt idx="256">
                  <c:v>66</c:v>
                </c:pt>
                <c:pt idx="257">
                  <c:v>66</c:v>
                </c:pt>
                <c:pt idx="258">
                  <c:v>66</c:v>
                </c:pt>
                <c:pt idx="259">
                  <c:v>66</c:v>
                </c:pt>
                <c:pt idx="260">
                  <c:v>66</c:v>
                </c:pt>
                <c:pt idx="261">
                  <c:v>66</c:v>
                </c:pt>
                <c:pt idx="262">
                  <c:v>66</c:v>
                </c:pt>
                <c:pt idx="263">
                  <c:v>66</c:v>
                </c:pt>
                <c:pt idx="264">
                  <c:v>66</c:v>
                </c:pt>
                <c:pt idx="265">
                  <c:v>66</c:v>
                </c:pt>
                <c:pt idx="266">
                  <c:v>66</c:v>
                </c:pt>
                <c:pt idx="267">
                  <c:v>66</c:v>
                </c:pt>
                <c:pt idx="268">
                  <c:v>66</c:v>
                </c:pt>
                <c:pt idx="269">
                  <c:v>66</c:v>
                </c:pt>
                <c:pt idx="270">
                  <c:v>66</c:v>
                </c:pt>
                <c:pt idx="271">
                  <c:v>66</c:v>
                </c:pt>
                <c:pt idx="272">
                  <c:v>66</c:v>
                </c:pt>
                <c:pt idx="273">
                  <c:v>66</c:v>
                </c:pt>
                <c:pt idx="274">
                  <c:v>66</c:v>
                </c:pt>
                <c:pt idx="275">
                  <c:v>66</c:v>
                </c:pt>
                <c:pt idx="276">
                  <c:v>66</c:v>
                </c:pt>
                <c:pt idx="277">
                  <c:v>67</c:v>
                </c:pt>
                <c:pt idx="278">
                  <c:v>67</c:v>
                </c:pt>
                <c:pt idx="279">
                  <c:v>67</c:v>
                </c:pt>
                <c:pt idx="280">
                  <c:v>67</c:v>
                </c:pt>
                <c:pt idx="281">
                  <c:v>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C11-4342-9E39-0706495E3F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120647"/>
        <c:axId val="1931122695"/>
      </c:lineChart>
      <c:dateAx>
        <c:axId val="193112064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1122695"/>
        <c:crosses val="autoZero"/>
        <c:auto val="1"/>
        <c:lblOffset val="100"/>
        <c:baseTimeUnit val="days"/>
      </c:dateAx>
      <c:valAx>
        <c:axId val="19311226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11206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5"/>
          <c:order val="0"/>
          <c:tx>
            <c:strRef>
              <c:f>LSP管理!$G$2</c:f>
              <c:strCache>
                <c:ptCount val="1"/>
                <c:pt idx="0">
                  <c:v>累積ポイント</c:v>
                </c:pt>
              </c:strCache>
            </c:strRef>
          </c:tx>
          <c:spPr>
            <a:ln w="28575" cap="rnd">
              <a:solidFill>
                <a:srgbClr val="3A96DD"/>
              </a:solidFill>
              <a:round/>
            </a:ln>
            <a:effectLst/>
          </c:spPr>
          <c:marker>
            <c:symbol val="none"/>
          </c:marker>
          <c:cat>
            <c:numRef>
              <c:f>LSP管理!$B$3:$B$165</c:f>
              <c:numCache>
                <c:formatCode>m/d/yyyy</c:formatCode>
                <c:ptCount val="163"/>
                <c:pt idx="54">
                  <c:v>46077</c:v>
                </c:pt>
                <c:pt idx="55">
                  <c:v>46076</c:v>
                </c:pt>
                <c:pt idx="56">
                  <c:v>46074</c:v>
                </c:pt>
                <c:pt idx="57">
                  <c:v>46071</c:v>
                </c:pt>
                <c:pt idx="58">
                  <c:v>46068</c:v>
                </c:pt>
                <c:pt idx="59">
                  <c:v>46066</c:v>
                </c:pt>
                <c:pt idx="60">
                  <c:v>46065</c:v>
                </c:pt>
                <c:pt idx="61">
                  <c:v>46064</c:v>
                </c:pt>
                <c:pt idx="62">
                  <c:v>46064</c:v>
                </c:pt>
                <c:pt idx="63">
                  <c:v>46063</c:v>
                </c:pt>
                <c:pt idx="64">
                  <c:v>46062</c:v>
                </c:pt>
                <c:pt idx="65">
                  <c:v>46061</c:v>
                </c:pt>
                <c:pt idx="66">
                  <c:v>46059</c:v>
                </c:pt>
                <c:pt idx="67">
                  <c:v>46057</c:v>
                </c:pt>
                <c:pt idx="68">
                  <c:v>46056</c:v>
                </c:pt>
                <c:pt idx="69">
                  <c:v>46055</c:v>
                </c:pt>
                <c:pt idx="70">
                  <c:v>46054</c:v>
                </c:pt>
                <c:pt idx="71">
                  <c:v>46052</c:v>
                </c:pt>
                <c:pt idx="72">
                  <c:v>46051</c:v>
                </c:pt>
                <c:pt idx="73">
                  <c:v>46048</c:v>
                </c:pt>
                <c:pt idx="74">
                  <c:v>46047</c:v>
                </c:pt>
                <c:pt idx="75">
                  <c:v>46044</c:v>
                </c:pt>
                <c:pt idx="76">
                  <c:v>46041</c:v>
                </c:pt>
                <c:pt idx="77">
                  <c:v>46040</c:v>
                </c:pt>
                <c:pt idx="78">
                  <c:v>46039</c:v>
                </c:pt>
                <c:pt idx="79">
                  <c:v>46037</c:v>
                </c:pt>
                <c:pt idx="80">
                  <c:v>46035</c:v>
                </c:pt>
                <c:pt idx="81">
                  <c:v>46034</c:v>
                </c:pt>
                <c:pt idx="82">
                  <c:v>46033</c:v>
                </c:pt>
                <c:pt idx="83">
                  <c:v>46033</c:v>
                </c:pt>
                <c:pt idx="84">
                  <c:v>46032</c:v>
                </c:pt>
                <c:pt idx="85">
                  <c:v>46030</c:v>
                </c:pt>
                <c:pt idx="86">
                  <c:v>46016</c:v>
                </c:pt>
                <c:pt idx="87">
                  <c:v>46014</c:v>
                </c:pt>
                <c:pt idx="88">
                  <c:v>46012</c:v>
                </c:pt>
                <c:pt idx="89">
                  <c:v>46012</c:v>
                </c:pt>
                <c:pt idx="90">
                  <c:v>46011</c:v>
                </c:pt>
                <c:pt idx="91">
                  <c:v>46008</c:v>
                </c:pt>
                <c:pt idx="92">
                  <c:v>46006</c:v>
                </c:pt>
                <c:pt idx="93">
                  <c:v>46002</c:v>
                </c:pt>
                <c:pt idx="94">
                  <c:v>45996</c:v>
                </c:pt>
                <c:pt idx="95">
                  <c:v>45995</c:v>
                </c:pt>
                <c:pt idx="96">
                  <c:v>45994</c:v>
                </c:pt>
                <c:pt idx="97">
                  <c:v>45990</c:v>
                </c:pt>
                <c:pt idx="98">
                  <c:v>45989</c:v>
                </c:pt>
                <c:pt idx="99">
                  <c:v>45988</c:v>
                </c:pt>
                <c:pt idx="100">
                  <c:v>45988</c:v>
                </c:pt>
                <c:pt idx="101">
                  <c:v>45987</c:v>
                </c:pt>
                <c:pt idx="102">
                  <c:v>45985</c:v>
                </c:pt>
                <c:pt idx="103">
                  <c:v>45983</c:v>
                </c:pt>
                <c:pt idx="104">
                  <c:v>45982</c:v>
                </c:pt>
                <c:pt idx="105">
                  <c:v>45978</c:v>
                </c:pt>
                <c:pt idx="106">
                  <c:v>45976</c:v>
                </c:pt>
                <c:pt idx="107">
                  <c:v>45972</c:v>
                </c:pt>
                <c:pt idx="108">
                  <c:v>45960</c:v>
                </c:pt>
                <c:pt idx="109">
                  <c:v>45956</c:v>
                </c:pt>
                <c:pt idx="110">
                  <c:v>45955</c:v>
                </c:pt>
                <c:pt idx="111">
                  <c:v>45953</c:v>
                </c:pt>
                <c:pt idx="112">
                  <c:v>45952</c:v>
                </c:pt>
                <c:pt idx="113">
                  <c:v>45951</c:v>
                </c:pt>
                <c:pt idx="114">
                  <c:v>45947</c:v>
                </c:pt>
                <c:pt idx="115">
                  <c:v>45945</c:v>
                </c:pt>
                <c:pt idx="116">
                  <c:v>45943</c:v>
                </c:pt>
                <c:pt idx="117">
                  <c:v>45941</c:v>
                </c:pt>
                <c:pt idx="118">
                  <c:v>45941</c:v>
                </c:pt>
                <c:pt idx="119">
                  <c:v>45937</c:v>
                </c:pt>
                <c:pt idx="120">
                  <c:v>45936</c:v>
                </c:pt>
                <c:pt idx="121">
                  <c:v>45934</c:v>
                </c:pt>
                <c:pt idx="122">
                  <c:v>45930</c:v>
                </c:pt>
                <c:pt idx="123">
                  <c:v>45929</c:v>
                </c:pt>
                <c:pt idx="124">
                  <c:v>45928</c:v>
                </c:pt>
                <c:pt idx="125">
                  <c:v>45919</c:v>
                </c:pt>
                <c:pt idx="126">
                  <c:v>45917</c:v>
                </c:pt>
                <c:pt idx="127">
                  <c:v>45916</c:v>
                </c:pt>
                <c:pt idx="128">
                  <c:v>45915</c:v>
                </c:pt>
                <c:pt idx="129">
                  <c:v>45911</c:v>
                </c:pt>
                <c:pt idx="130">
                  <c:v>45905</c:v>
                </c:pt>
                <c:pt idx="131">
                  <c:v>45903</c:v>
                </c:pt>
                <c:pt idx="132">
                  <c:v>45893</c:v>
                </c:pt>
                <c:pt idx="133">
                  <c:v>45892</c:v>
                </c:pt>
                <c:pt idx="134">
                  <c:v>45888</c:v>
                </c:pt>
                <c:pt idx="135">
                  <c:v>45884</c:v>
                </c:pt>
                <c:pt idx="136">
                  <c:v>45877</c:v>
                </c:pt>
                <c:pt idx="137">
                  <c:v>45874</c:v>
                </c:pt>
                <c:pt idx="138">
                  <c:v>45873</c:v>
                </c:pt>
                <c:pt idx="139">
                  <c:v>45867</c:v>
                </c:pt>
                <c:pt idx="140">
                  <c:v>45862</c:v>
                </c:pt>
                <c:pt idx="141">
                  <c:v>45838</c:v>
                </c:pt>
                <c:pt idx="142">
                  <c:v>45836</c:v>
                </c:pt>
                <c:pt idx="143">
                  <c:v>45789</c:v>
                </c:pt>
                <c:pt idx="144">
                  <c:v>45786</c:v>
                </c:pt>
                <c:pt idx="145">
                  <c:v>45729</c:v>
                </c:pt>
                <c:pt idx="146">
                  <c:v>45684</c:v>
                </c:pt>
                <c:pt idx="147">
                  <c:v>45682</c:v>
                </c:pt>
                <c:pt idx="148">
                  <c:v>45652</c:v>
                </c:pt>
                <c:pt idx="149">
                  <c:v>45649</c:v>
                </c:pt>
                <c:pt idx="150">
                  <c:v>45648</c:v>
                </c:pt>
                <c:pt idx="151">
                  <c:v>45614</c:v>
                </c:pt>
                <c:pt idx="152">
                  <c:v>45613</c:v>
                </c:pt>
                <c:pt idx="153">
                  <c:v>45592</c:v>
                </c:pt>
                <c:pt idx="154">
                  <c:v>45591</c:v>
                </c:pt>
                <c:pt idx="155">
                  <c:v>45514</c:v>
                </c:pt>
                <c:pt idx="156">
                  <c:v>45513</c:v>
                </c:pt>
                <c:pt idx="157">
                  <c:v>45335</c:v>
                </c:pt>
                <c:pt idx="158">
                  <c:v>45334</c:v>
                </c:pt>
                <c:pt idx="159">
                  <c:v>45291</c:v>
                </c:pt>
                <c:pt idx="160">
                  <c:v>45291</c:v>
                </c:pt>
              </c:numCache>
            </c:numRef>
          </c:cat>
          <c:val>
            <c:numRef>
              <c:f>LSP管理!$G$3:$G$165</c:f>
              <c:numCache>
                <c:formatCode>General</c:formatCode>
                <c:ptCount val="163"/>
                <c:pt idx="0">
                  <c:v>1078</c:v>
                </c:pt>
                <c:pt idx="1">
                  <c:v>1078</c:v>
                </c:pt>
                <c:pt idx="2">
                  <c:v>1078</c:v>
                </c:pt>
                <c:pt idx="3">
                  <c:v>1078</c:v>
                </c:pt>
                <c:pt idx="4">
                  <c:v>1078</c:v>
                </c:pt>
                <c:pt idx="5">
                  <c:v>1078</c:v>
                </c:pt>
                <c:pt idx="6">
                  <c:v>1078</c:v>
                </c:pt>
                <c:pt idx="7">
                  <c:v>1078</c:v>
                </c:pt>
                <c:pt idx="8">
                  <c:v>1078</c:v>
                </c:pt>
                <c:pt idx="47">
                  <c:v>1078</c:v>
                </c:pt>
                <c:pt idx="48">
                  <c:v>1078</c:v>
                </c:pt>
                <c:pt idx="49">
                  <c:v>1078</c:v>
                </c:pt>
                <c:pt idx="50">
                  <c:v>1078</c:v>
                </c:pt>
                <c:pt idx="51">
                  <c:v>1078</c:v>
                </c:pt>
                <c:pt idx="52">
                  <c:v>1078</c:v>
                </c:pt>
                <c:pt idx="53">
                  <c:v>1078</c:v>
                </c:pt>
                <c:pt idx="54">
                  <c:v>1078</c:v>
                </c:pt>
                <c:pt idx="55">
                  <c:v>1038</c:v>
                </c:pt>
                <c:pt idx="56">
                  <c:v>1023</c:v>
                </c:pt>
                <c:pt idx="57">
                  <c:v>1022</c:v>
                </c:pt>
                <c:pt idx="58">
                  <c:v>1021</c:v>
                </c:pt>
                <c:pt idx="59">
                  <c:v>1020</c:v>
                </c:pt>
                <c:pt idx="60">
                  <c:v>990</c:v>
                </c:pt>
                <c:pt idx="61">
                  <c:v>980</c:v>
                </c:pt>
                <c:pt idx="62">
                  <c:v>970</c:v>
                </c:pt>
                <c:pt idx="63">
                  <c:v>965</c:v>
                </c:pt>
                <c:pt idx="64">
                  <c:v>920</c:v>
                </c:pt>
                <c:pt idx="65">
                  <c:v>895</c:v>
                </c:pt>
                <c:pt idx="66">
                  <c:v>865</c:v>
                </c:pt>
                <c:pt idx="67">
                  <c:v>860</c:v>
                </c:pt>
                <c:pt idx="68">
                  <c:v>855</c:v>
                </c:pt>
                <c:pt idx="69">
                  <c:v>850</c:v>
                </c:pt>
                <c:pt idx="70">
                  <c:v>840</c:v>
                </c:pt>
                <c:pt idx="71">
                  <c:v>835</c:v>
                </c:pt>
                <c:pt idx="72">
                  <c:v>830</c:v>
                </c:pt>
                <c:pt idx="73">
                  <c:v>825</c:v>
                </c:pt>
                <c:pt idx="74">
                  <c:v>795</c:v>
                </c:pt>
                <c:pt idx="75">
                  <c:v>793</c:v>
                </c:pt>
                <c:pt idx="76">
                  <c:v>783</c:v>
                </c:pt>
                <c:pt idx="77">
                  <c:v>782</c:v>
                </c:pt>
                <c:pt idx="78">
                  <c:v>777</c:v>
                </c:pt>
                <c:pt idx="79">
                  <c:v>772</c:v>
                </c:pt>
                <c:pt idx="80">
                  <c:v>771</c:v>
                </c:pt>
                <c:pt idx="81">
                  <c:v>731</c:v>
                </c:pt>
                <c:pt idx="82">
                  <c:v>711</c:v>
                </c:pt>
                <c:pt idx="83">
                  <c:v>681</c:v>
                </c:pt>
                <c:pt idx="84">
                  <c:v>641</c:v>
                </c:pt>
                <c:pt idx="85">
                  <c:v>631</c:v>
                </c:pt>
                <c:pt idx="86">
                  <c:v>626</c:v>
                </c:pt>
                <c:pt idx="87">
                  <c:v>621</c:v>
                </c:pt>
                <c:pt idx="88">
                  <c:v>616</c:v>
                </c:pt>
                <c:pt idx="89">
                  <c:v>615</c:v>
                </c:pt>
                <c:pt idx="90">
                  <c:v>610</c:v>
                </c:pt>
                <c:pt idx="91">
                  <c:v>605</c:v>
                </c:pt>
                <c:pt idx="92">
                  <c:v>604</c:v>
                </c:pt>
                <c:pt idx="93">
                  <c:v>603</c:v>
                </c:pt>
                <c:pt idx="94">
                  <c:v>593</c:v>
                </c:pt>
                <c:pt idx="95">
                  <c:v>548</c:v>
                </c:pt>
                <c:pt idx="96">
                  <c:v>543</c:v>
                </c:pt>
                <c:pt idx="97">
                  <c:v>538</c:v>
                </c:pt>
                <c:pt idx="98">
                  <c:v>533</c:v>
                </c:pt>
                <c:pt idx="99">
                  <c:v>528</c:v>
                </c:pt>
                <c:pt idx="100">
                  <c:v>510</c:v>
                </c:pt>
                <c:pt idx="101">
                  <c:v>505</c:v>
                </c:pt>
                <c:pt idx="102">
                  <c:v>500</c:v>
                </c:pt>
                <c:pt idx="103">
                  <c:v>495</c:v>
                </c:pt>
                <c:pt idx="104">
                  <c:v>490</c:v>
                </c:pt>
                <c:pt idx="105">
                  <c:v>489</c:v>
                </c:pt>
                <c:pt idx="106">
                  <c:v>488</c:v>
                </c:pt>
                <c:pt idx="107">
                  <c:v>487</c:v>
                </c:pt>
                <c:pt idx="108">
                  <c:v>467</c:v>
                </c:pt>
                <c:pt idx="109">
                  <c:v>457</c:v>
                </c:pt>
                <c:pt idx="110">
                  <c:v>452</c:v>
                </c:pt>
                <c:pt idx="111">
                  <c:v>447</c:v>
                </c:pt>
                <c:pt idx="112">
                  <c:v>442</c:v>
                </c:pt>
                <c:pt idx="113">
                  <c:v>441</c:v>
                </c:pt>
                <c:pt idx="114">
                  <c:v>431</c:v>
                </c:pt>
                <c:pt idx="115">
                  <c:v>430</c:v>
                </c:pt>
                <c:pt idx="116">
                  <c:v>429</c:v>
                </c:pt>
                <c:pt idx="117">
                  <c:v>424</c:v>
                </c:pt>
                <c:pt idx="118">
                  <c:v>409</c:v>
                </c:pt>
                <c:pt idx="119">
                  <c:v>404</c:v>
                </c:pt>
                <c:pt idx="120">
                  <c:v>369</c:v>
                </c:pt>
                <c:pt idx="121">
                  <c:v>364</c:v>
                </c:pt>
                <c:pt idx="122">
                  <c:v>359</c:v>
                </c:pt>
                <c:pt idx="123">
                  <c:v>314</c:v>
                </c:pt>
                <c:pt idx="124">
                  <c:v>269</c:v>
                </c:pt>
                <c:pt idx="125">
                  <c:v>234</c:v>
                </c:pt>
                <c:pt idx="126">
                  <c:v>229</c:v>
                </c:pt>
                <c:pt idx="127">
                  <c:v>224</c:v>
                </c:pt>
                <c:pt idx="128">
                  <c:v>223</c:v>
                </c:pt>
                <c:pt idx="129">
                  <c:v>222</c:v>
                </c:pt>
                <c:pt idx="130">
                  <c:v>217</c:v>
                </c:pt>
                <c:pt idx="131">
                  <c:v>212</c:v>
                </c:pt>
                <c:pt idx="132">
                  <c:v>207</c:v>
                </c:pt>
                <c:pt idx="133">
                  <c:v>202</c:v>
                </c:pt>
                <c:pt idx="134">
                  <c:v>197</c:v>
                </c:pt>
                <c:pt idx="135">
                  <c:v>196</c:v>
                </c:pt>
                <c:pt idx="136">
                  <c:v>195</c:v>
                </c:pt>
                <c:pt idx="137">
                  <c:v>185</c:v>
                </c:pt>
                <c:pt idx="138">
                  <c:v>180</c:v>
                </c:pt>
                <c:pt idx="139">
                  <c:v>175</c:v>
                </c:pt>
                <c:pt idx="140">
                  <c:v>170</c:v>
                </c:pt>
                <c:pt idx="141">
                  <c:v>165</c:v>
                </c:pt>
                <c:pt idx="142">
                  <c:v>160</c:v>
                </c:pt>
                <c:pt idx="143">
                  <c:v>155</c:v>
                </c:pt>
                <c:pt idx="144">
                  <c:v>150</c:v>
                </c:pt>
                <c:pt idx="145">
                  <c:v>145</c:v>
                </c:pt>
                <c:pt idx="146">
                  <c:v>135</c:v>
                </c:pt>
                <c:pt idx="147">
                  <c:v>130</c:v>
                </c:pt>
                <c:pt idx="148">
                  <c:v>125</c:v>
                </c:pt>
                <c:pt idx="149">
                  <c:v>120</c:v>
                </c:pt>
                <c:pt idx="150">
                  <c:v>115</c:v>
                </c:pt>
                <c:pt idx="151">
                  <c:v>110</c:v>
                </c:pt>
                <c:pt idx="152">
                  <c:v>105</c:v>
                </c:pt>
                <c:pt idx="153">
                  <c:v>100</c:v>
                </c:pt>
                <c:pt idx="154">
                  <c:v>95</c:v>
                </c:pt>
                <c:pt idx="155">
                  <c:v>90</c:v>
                </c:pt>
                <c:pt idx="156">
                  <c:v>85</c:v>
                </c:pt>
                <c:pt idx="157">
                  <c:v>80</c:v>
                </c:pt>
                <c:pt idx="158">
                  <c:v>60</c:v>
                </c:pt>
                <c:pt idx="159">
                  <c:v>40</c:v>
                </c:pt>
                <c:pt idx="160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3AC6-45A9-B97A-AA030EA734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72891912"/>
        <c:axId val="1672893960"/>
      </c:lineChart>
      <c:dateAx>
        <c:axId val="1672891912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2893960"/>
        <c:crosses val="autoZero"/>
        <c:auto val="1"/>
        <c:lblOffset val="100"/>
        <c:baseTimeUnit val="days"/>
      </c:dateAx>
      <c:valAx>
        <c:axId val="1672893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2891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637CE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518-461F-B660-0BDA03762F60}"/>
              </c:ext>
            </c:extLst>
          </c:dPt>
          <c:dPt>
            <c:idx val="1"/>
            <c:bubble3D val="0"/>
            <c:spPr>
              <a:solidFill>
                <a:srgbClr val="E3008C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518-461F-B660-0BDA03762F60}"/>
              </c:ext>
            </c:extLst>
          </c:dPt>
          <c:dPt>
            <c:idx val="2"/>
            <c:bubble3D val="0"/>
            <c:spPr>
              <a:solidFill>
                <a:srgbClr val="2AA0A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518-461F-B660-0BDA03762F60}"/>
              </c:ext>
            </c:extLst>
          </c:dPt>
          <c:dPt>
            <c:idx val="3"/>
            <c:bubble3D val="0"/>
            <c:spPr>
              <a:solidFill>
                <a:srgbClr val="9373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518-461F-B660-0BDA03762F60}"/>
              </c:ext>
            </c:extLst>
          </c:dPt>
          <c:dPt>
            <c:idx val="4"/>
            <c:bubble3D val="0"/>
            <c:spPr>
              <a:solidFill>
                <a:srgbClr val="13A10E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1518-461F-B660-0BDA03762F60}"/>
              </c:ext>
            </c:extLst>
          </c:dPt>
          <c:dPt>
            <c:idx val="5"/>
            <c:bubble3D val="0"/>
            <c:spPr>
              <a:solidFill>
                <a:srgbClr val="3A96DD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BF62-4AB5-ADE5-A50E50F4B1E7}"/>
              </c:ext>
            </c:extLst>
          </c:dPt>
          <c:dPt>
            <c:idx val="6"/>
            <c:bubble3D val="0"/>
            <c:spPr>
              <a:solidFill>
                <a:srgbClr val="CA501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E9A0-4ADD-A9F7-0824580C473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LSP管理!$I$4:$I$10</c:f>
              <c:strCache>
                <c:ptCount val="7"/>
                <c:pt idx="0">
                  <c:v>JAL国内線</c:v>
                </c:pt>
                <c:pt idx="1">
                  <c:v>JAL海外線</c:v>
                </c:pt>
                <c:pt idx="2">
                  <c:v>JALカード</c:v>
                </c:pt>
                <c:pt idx="3">
                  <c:v>JALモバイル</c:v>
                </c:pt>
                <c:pt idx="4">
                  <c:v>JAL Wellness &amp; Travel</c:v>
                </c:pt>
                <c:pt idx="5">
                  <c:v>JALマイレージパーク</c:v>
                </c:pt>
                <c:pt idx="6">
                  <c:v>その他</c:v>
                </c:pt>
              </c:strCache>
            </c:strRef>
          </c:cat>
          <c:val>
            <c:numRef>
              <c:f>LSP管理!$J$4:$J$10</c:f>
              <c:numCache>
                <c:formatCode>General</c:formatCode>
                <c:ptCount val="7"/>
                <c:pt idx="0">
                  <c:v>860</c:v>
                </c:pt>
                <c:pt idx="1">
                  <c:v>70</c:v>
                </c:pt>
                <c:pt idx="2">
                  <c:v>90</c:v>
                </c:pt>
                <c:pt idx="3">
                  <c:v>7</c:v>
                </c:pt>
                <c:pt idx="4">
                  <c:v>7</c:v>
                </c:pt>
                <c:pt idx="5">
                  <c:v>6</c:v>
                </c:pt>
                <c:pt idx="6">
                  <c:v>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9CD-462F-BD32-268DA33B78D4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2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3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4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5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6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581025</xdr:colOff>
      <xdr:row>5</xdr:row>
      <xdr:rowOff>171450</xdr:rowOff>
    </xdr:from>
    <xdr:to>
      <xdr:col>30</xdr:col>
      <xdr:colOff>314325</xdr:colOff>
      <xdr:row>34</xdr:row>
      <xdr:rowOff>38100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6A04E5EE-4757-8234-C506-EE0B165F0D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19050</xdr:colOff>
      <xdr:row>35</xdr:row>
      <xdr:rowOff>38100</xdr:rowOff>
    </xdr:from>
    <xdr:to>
      <xdr:col>30</xdr:col>
      <xdr:colOff>447675</xdr:colOff>
      <xdr:row>66</xdr:row>
      <xdr:rowOff>123825</xdr:rowOff>
    </xdr:to>
    <xdr:graphicFrame macro="">
      <xdr:nvGraphicFramePr>
        <xdr:cNvPr id="7" name="グラフ 6">
          <a:extLst>
            <a:ext uri="{FF2B5EF4-FFF2-40B4-BE49-F238E27FC236}">
              <a16:creationId xmlns:a16="http://schemas.microsoft.com/office/drawing/2014/main" id="{A10DFCD8-99C7-CF66-0DDE-A0384978B924}"/>
            </a:ext>
            <a:ext uri="{147F2762-F138-4A5C-976F-8EAC2B608ADB}">
              <a16:predDERef xmlns:a16="http://schemas.microsoft.com/office/drawing/2014/main" pred="{6A04E5EE-4757-8234-C506-EE0B165F0D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30</xdr:col>
      <xdr:colOff>438150</xdr:colOff>
      <xdr:row>5</xdr:row>
      <xdr:rowOff>228600</xdr:rowOff>
    </xdr:from>
    <xdr:to>
      <xdr:col>45</xdr:col>
      <xdr:colOff>257175</xdr:colOff>
      <xdr:row>34</xdr:row>
      <xdr:rowOff>38100</xdr:rowOff>
    </xdr:to>
    <xdr:graphicFrame macro="">
      <xdr:nvGraphicFramePr>
        <xdr:cNvPr id="9" name="グラフ 8">
          <a:extLst>
            <a:ext uri="{FF2B5EF4-FFF2-40B4-BE49-F238E27FC236}">
              <a16:creationId xmlns:a16="http://schemas.microsoft.com/office/drawing/2014/main" id="{29FFF0CC-EA42-9F62-271D-ADDE663DD2D5}"/>
            </a:ext>
            <a:ext uri="{147F2762-F138-4A5C-976F-8EAC2B608ADB}">
              <a16:predDERef xmlns:a16="http://schemas.microsoft.com/office/drawing/2014/main" pred="{A10DFCD8-99C7-CF66-0DDE-A0384978B9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30</xdr:col>
      <xdr:colOff>466725</xdr:colOff>
      <xdr:row>35</xdr:row>
      <xdr:rowOff>9525</xdr:rowOff>
    </xdr:from>
    <xdr:to>
      <xdr:col>45</xdr:col>
      <xdr:colOff>285750</xdr:colOff>
      <xdr:row>66</xdr:row>
      <xdr:rowOff>104775</xdr:rowOff>
    </xdr:to>
    <xdr:graphicFrame macro="">
      <xdr:nvGraphicFramePr>
        <xdr:cNvPr id="12" name="グラフ 11">
          <a:extLst>
            <a:ext uri="{FF2B5EF4-FFF2-40B4-BE49-F238E27FC236}">
              <a16:creationId xmlns:a16="http://schemas.microsoft.com/office/drawing/2014/main" id="{A15BB0AB-FD27-E7A4-6433-F6FEB730F69C}"/>
            </a:ext>
            <a:ext uri="{147F2762-F138-4A5C-976F-8EAC2B608ADB}">
              <a16:predDERef xmlns:a16="http://schemas.microsoft.com/office/drawing/2014/main" pred="{29FFF0CC-EA42-9F62-271D-ADDE663DD2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200025</xdr:colOff>
      <xdr:row>69</xdr:row>
      <xdr:rowOff>76200</xdr:rowOff>
    </xdr:from>
    <xdr:to>
      <xdr:col>25</xdr:col>
      <xdr:colOff>152400</xdr:colOff>
      <xdr:row>93</xdr:row>
      <xdr:rowOff>38100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8A5E2F2-E672-39CC-B034-15DEE95B2E7E}"/>
            </a:ext>
            <a:ext uri="{147F2762-F138-4A5C-976F-8EAC2B608ADB}">
              <a16:predDERef xmlns:a16="http://schemas.microsoft.com/office/drawing/2014/main" pred="{A15BB0AB-FD27-E7A4-6433-F6FEB730F69C}"/>
            </a:ext>
          </a:extLst>
        </xdr:cNvPr>
        <xdr:cNvSpPr txBox="1"/>
      </xdr:nvSpPr>
      <xdr:spPr>
        <a:xfrm>
          <a:off x="11268075" y="12534900"/>
          <a:ext cx="9039225" cy="40767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＃ダッシュボード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・獲得マイル構成内訳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・マイルの内訳はもっと細かく。既存のエクセルの計算式を参考にして。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チケット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SUMIFS(H3:H30001, B3:B30001, "*JL*")+SUMIFS(H12:H30001, B12:B30001, "*NU*")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　・ＪＡＬ</a:t>
          </a:r>
          <a:r>
            <a:rPr lang="ja-JP" altLang="en-US" sz="1100">
              <a:latin typeface="+mn-lt"/>
              <a:ea typeface="+mn-lt"/>
              <a:cs typeface="+mn-lt"/>
            </a:rPr>
            <a:t>カード</a:t>
          </a:r>
          <a:r>
            <a:rPr lang="en-US" sz="1100">
              <a:latin typeface="+mn-lt"/>
              <a:ea typeface="+mn-lt"/>
              <a:cs typeface="+mn-lt"/>
            </a:rPr>
            <a:t>ＴＯＫＹＵＰＯＩＮＴＣｌｕｂＱ　=SUMIFS(H12:H30001, B12:B30001, "*ＣｌｕｂＱ*")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　・ＪＡＬ</a:t>
          </a:r>
          <a:r>
            <a:rPr lang="ja-JP" altLang="en-US" sz="1100">
              <a:latin typeface="+mn-lt"/>
              <a:ea typeface="+mn-lt"/>
              <a:cs typeface="+mn-lt"/>
            </a:rPr>
            <a:t>カード入会搭乗ボーナス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"*ＪＡＬ</a:t>
          </a:r>
          <a:r>
            <a:rPr lang="ja-JP" altLang="en-US" sz="1100">
              <a:latin typeface="+mn-lt"/>
              <a:ea typeface="+mn-lt"/>
              <a:cs typeface="+mn-lt"/>
            </a:rPr>
            <a:t>カード入会搭乗ボーナス*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・ふるさと納税マイル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</a:t>
          </a:r>
          <a:r>
            <a:rPr lang="ja-JP" altLang="en-US" sz="1100">
              <a:latin typeface="+mn-lt"/>
              <a:ea typeface="+mn-lt"/>
              <a:cs typeface="+mn-lt"/>
            </a:rPr>
            <a:t>ふるさと納税マイル*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</a:t>
          </a:r>
          <a:r>
            <a:rPr lang="en-US" sz="1100">
              <a:latin typeface="+mn-lt"/>
              <a:ea typeface="+mn-lt"/>
              <a:cs typeface="+mn-lt"/>
            </a:rPr>
            <a:t>ＪＡＬ　ＷＥＬＬＮＥＳＳ＆ＴＲＡＶＥＬ　=SUMIFS(H12:H30001, B12:B30001, "*ＷＥＬＬＮＥＳＳ*")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　・ＪＭＢ</a:t>
          </a:r>
          <a:r>
            <a:rPr lang="ja-JP" altLang="en-US" sz="1100">
              <a:latin typeface="+mn-lt"/>
              <a:ea typeface="+mn-lt"/>
              <a:cs typeface="+mn-lt"/>
            </a:rPr>
            <a:t>アプリ	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"*ＪＭＢ</a:t>
          </a:r>
          <a:r>
            <a:rPr lang="ja-JP" altLang="en-US" sz="1100">
              <a:latin typeface="+mn-lt"/>
              <a:ea typeface="+mn-lt"/>
              <a:cs typeface="+mn-lt"/>
            </a:rPr>
            <a:t>アプリ*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</a:t>
          </a:r>
          <a:r>
            <a:rPr lang="en-US" sz="1100">
              <a:latin typeface="+mn-lt"/>
              <a:ea typeface="+mn-lt"/>
              <a:cs typeface="+mn-lt"/>
            </a:rPr>
            <a:t>ＪＡＬ</a:t>
          </a:r>
          <a:r>
            <a:rPr lang="ja-JP" altLang="en-US" sz="1100">
              <a:latin typeface="+mn-lt"/>
              <a:ea typeface="+mn-lt"/>
              <a:cs typeface="+mn-lt"/>
            </a:rPr>
            <a:t>国内線特典航空券交換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"*ＪＡＬ</a:t>
          </a:r>
          <a:r>
            <a:rPr lang="ja-JP" altLang="en-US" sz="1100">
              <a:latin typeface="+mn-lt"/>
              <a:ea typeface="+mn-lt"/>
              <a:cs typeface="+mn-lt"/>
            </a:rPr>
            <a:t>国内線特典航空券交換*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・特典交換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</a:t>
          </a:r>
          <a:r>
            <a:rPr lang="ja-JP" altLang="en-US" sz="1100">
              <a:latin typeface="+mn-lt"/>
              <a:ea typeface="+mn-lt"/>
              <a:cs typeface="+mn-lt"/>
            </a:rPr>
            <a:t>特典交換*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123825</xdr:colOff>
      <xdr:row>104</xdr:row>
      <xdr:rowOff>114300</xdr:rowOff>
    </xdr:from>
    <xdr:to>
      <xdr:col>39</xdr:col>
      <xdr:colOff>323850</xdr:colOff>
      <xdr:row>138</xdr:row>
      <xdr:rowOff>76200</xdr:rowOff>
    </xdr:to>
    <xdr:graphicFrame macro="">
      <xdr:nvGraphicFramePr>
        <xdr:cNvPr id="13" name="グラフ 12">
          <a:extLst>
            <a:ext uri="{FF2B5EF4-FFF2-40B4-BE49-F238E27FC236}">
              <a16:creationId xmlns:a16="http://schemas.microsoft.com/office/drawing/2014/main" id="{4053569E-31C2-6D3E-B151-B0A18C9B12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95250</xdr:colOff>
      <xdr:row>104</xdr:row>
      <xdr:rowOff>85725</xdr:rowOff>
    </xdr:from>
    <xdr:to>
      <xdr:col>20</xdr:col>
      <xdr:colOff>238125</xdr:colOff>
      <xdr:row>139</xdr:row>
      <xdr:rowOff>66675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376D068C-9877-DB65-0655-F730DCA159C5}"/>
            </a:ext>
            <a:ext uri="{147F2762-F138-4A5C-976F-8EAC2B608ADB}">
              <a16:predDERef xmlns:a16="http://schemas.microsoft.com/office/drawing/2014/main" pred="{4053569E-31C2-6D3E-B151-B0A18C9B12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447675</xdr:colOff>
      <xdr:row>77</xdr:row>
      <xdr:rowOff>133350</xdr:rowOff>
    </xdr:from>
    <xdr:to>
      <xdr:col>14</xdr:col>
      <xdr:colOff>209550</xdr:colOff>
      <xdr:row>93</xdr:row>
      <xdr:rowOff>57150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F81CA56C-D4CB-92C3-9696-50BD0DC2E2E9}"/>
            </a:ext>
            <a:ext uri="{147F2762-F138-4A5C-976F-8EAC2B608ADB}">
              <a16:predDERef xmlns:a16="http://schemas.microsoft.com/office/drawing/2014/main" pred="{376D068C-9877-DB65-0655-F730DCA159C5}"/>
            </a:ext>
          </a:extLst>
        </xdr:cNvPr>
        <xdr:cNvSpPr txBox="1"/>
      </xdr:nvSpPr>
      <xdr:spPr>
        <a:xfrm>
          <a:off x="11153775" y="3962400"/>
          <a:ext cx="7896225" cy="29718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・内訳は下記を参考に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国内線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国内線*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海外線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国際線*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カード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カード*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モバイル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モバイル*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 Wellness &amp; Travel　=SUMIFS(F3:F30058,D3:D30058, "*JAL Wellness &amp; Travel*")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・JAL</a:t>
          </a:r>
          <a:r>
            <a:rPr lang="ja-JP" altLang="en-US" sz="1100">
              <a:latin typeface="+mn-lt"/>
              <a:ea typeface="+mn-lt"/>
              <a:cs typeface="+mn-lt"/>
            </a:rPr>
            <a:t>マイレージパーク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マイレージパーク*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・その他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</a:t>
          </a:r>
          <a:r>
            <a:rPr lang="ja-JP" altLang="en-US" sz="1100">
              <a:latin typeface="+mn-lt"/>
              <a:ea typeface="+mn-lt"/>
              <a:cs typeface="+mn-lt"/>
            </a:rPr>
            <a:t>その他*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FCDC422-27B5-482E-BFE7-6645FF3F845A}" name="テーブル4" displayName="テーブル4" ref="A1:M270" totalsRowShown="0" headerRowDxfId="16" headerRowBorderDxfId="14" tableBorderDxfId="15" totalsRowBorderDxfId="13">
  <autoFilter ref="A1:M270" xr:uid="{3FCDC422-27B5-482E-BFE7-6645FF3F845A}">
    <filterColumn colId="11">
      <filters blank="1"/>
    </filterColumn>
  </autoFilter>
  <tableColumns count="13">
    <tableColumn id="1" xr3:uid="{25F04EEC-FD30-4680-810A-6A32107348BD}" name="#" dataDxfId="12"/>
    <tableColumn id="2" xr3:uid="{E936A600-BB79-446A-9797-5E2C4AB43B97}" name="日付" dataDxfId="11"/>
    <tableColumn id="3" xr3:uid="{22BA3FC0-09E7-4BFD-82DF-D13D8386E38F}" name="運航会社" dataDxfId="10"/>
    <tableColumn id="4" xr3:uid="{FDF8AA02-F760-4A21-B9F6-97DEDF7FA91F}" name="便名" dataDxfId="9"/>
    <tableColumn id="5" xr3:uid="{984B1821-BEF5-4BF3-8151-93A6A31F556D}" name="出発地" dataDxfId="8"/>
    <tableColumn id="6" xr3:uid="{23A86341-D05F-48E4-939E-7D98CD701977}" name="出発時刻" dataDxfId="7"/>
    <tableColumn id="7" xr3:uid="{753D86C9-84CB-4331-8E8B-6DF35ABF762A}" name="到着地" dataDxfId="6"/>
    <tableColumn id="8" xr3:uid="{30051E0D-C440-445A-9B95-9F60024EF38B}" name="到着時刻" dataDxfId="5"/>
    <tableColumn id="10" xr3:uid="{6E582BF1-96DE-4004-B779-7F513E45463F}" name="乗継時間" dataDxfId="4"/>
    <tableColumn id="11" xr3:uid="{7F0A06C9-1254-4C38-8EC5-81B7E7D0AD92}" name="予約" dataDxfId="3"/>
    <tableColumn id="12" xr3:uid="{389D55D0-BF72-46BB-97F1-30FCDAE59AD6}" name="料金" dataDxfId="2"/>
    <tableColumn id="9" xr3:uid="{5DDCE075-6FCF-4AA2-8A8E-B18AA970D9E3}" name="結果" dataDxfId="1"/>
    <tableColumn id="13" xr3:uid="{23056111-DB3E-41E0-B5B6-E78A8BBA3EB7}" name="列1" dataDxfId="0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javascript:void(0);" TargetMode="External"/><Relationship Id="rId21" Type="http://schemas.openxmlformats.org/officeDocument/2006/relationships/hyperlink" Target="javascript:void(0);" TargetMode="External"/><Relationship Id="rId42" Type="http://schemas.openxmlformats.org/officeDocument/2006/relationships/hyperlink" Target="javascript:void(0);" TargetMode="External"/><Relationship Id="rId63" Type="http://schemas.openxmlformats.org/officeDocument/2006/relationships/hyperlink" Target="javascript:void(0);" TargetMode="External"/><Relationship Id="rId84" Type="http://schemas.openxmlformats.org/officeDocument/2006/relationships/hyperlink" Target="javascript:void(0);" TargetMode="External"/><Relationship Id="rId138" Type="http://schemas.openxmlformats.org/officeDocument/2006/relationships/hyperlink" Target="javascript:void(0);" TargetMode="External"/><Relationship Id="rId16" Type="http://schemas.openxmlformats.org/officeDocument/2006/relationships/hyperlink" Target="javascript:void(0);" TargetMode="External"/><Relationship Id="rId107" Type="http://schemas.openxmlformats.org/officeDocument/2006/relationships/hyperlink" Target="javascript:void(0);" TargetMode="External"/><Relationship Id="rId11" Type="http://schemas.openxmlformats.org/officeDocument/2006/relationships/hyperlink" Target="javascript:void(0);" TargetMode="External"/><Relationship Id="rId32" Type="http://schemas.openxmlformats.org/officeDocument/2006/relationships/hyperlink" Target="javascript:void(0);" TargetMode="External"/><Relationship Id="rId37" Type="http://schemas.openxmlformats.org/officeDocument/2006/relationships/hyperlink" Target="javascript:void(0);" TargetMode="External"/><Relationship Id="rId53" Type="http://schemas.openxmlformats.org/officeDocument/2006/relationships/hyperlink" Target="javascript:void(0);" TargetMode="External"/><Relationship Id="rId58" Type="http://schemas.openxmlformats.org/officeDocument/2006/relationships/hyperlink" Target="javascript:void(0);" TargetMode="External"/><Relationship Id="rId74" Type="http://schemas.openxmlformats.org/officeDocument/2006/relationships/hyperlink" Target="javascript:void(0);" TargetMode="External"/><Relationship Id="rId79" Type="http://schemas.openxmlformats.org/officeDocument/2006/relationships/hyperlink" Target="javascript:void(0);" TargetMode="External"/><Relationship Id="rId102" Type="http://schemas.openxmlformats.org/officeDocument/2006/relationships/hyperlink" Target="javascript:void(0);" TargetMode="External"/><Relationship Id="rId123" Type="http://schemas.openxmlformats.org/officeDocument/2006/relationships/hyperlink" Target="javascript:void(0);" TargetMode="External"/><Relationship Id="rId128" Type="http://schemas.openxmlformats.org/officeDocument/2006/relationships/hyperlink" Target="javascript:void(0);" TargetMode="External"/><Relationship Id="rId5" Type="http://schemas.openxmlformats.org/officeDocument/2006/relationships/hyperlink" Target="javascript:void(0);" TargetMode="External"/><Relationship Id="rId90" Type="http://schemas.openxmlformats.org/officeDocument/2006/relationships/hyperlink" Target="javascript:void(0);" TargetMode="External"/><Relationship Id="rId95" Type="http://schemas.openxmlformats.org/officeDocument/2006/relationships/hyperlink" Target="javascript:void(0);" TargetMode="External"/><Relationship Id="rId22" Type="http://schemas.openxmlformats.org/officeDocument/2006/relationships/hyperlink" Target="javascript:void(0);" TargetMode="External"/><Relationship Id="rId27" Type="http://schemas.openxmlformats.org/officeDocument/2006/relationships/hyperlink" Target="javascript:void(0);" TargetMode="External"/><Relationship Id="rId43" Type="http://schemas.openxmlformats.org/officeDocument/2006/relationships/hyperlink" Target="javascript:void(0);" TargetMode="External"/><Relationship Id="rId48" Type="http://schemas.openxmlformats.org/officeDocument/2006/relationships/hyperlink" Target="javascript:void(0);" TargetMode="External"/><Relationship Id="rId64" Type="http://schemas.openxmlformats.org/officeDocument/2006/relationships/hyperlink" Target="javascript:void(0);" TargetMode="External"/><Relationship Id="rId69" Type="http://schemas.openxmlformats.org/officeDocument/2006/relationships/hyperlink" Target="javascript:void(0);" TargetMode="External"/><Relationship Id="rId113" Type="http://schemas.openxmlformats.org/officeDocument/2006/relationships/hyperlink" Target="javascript:void(0);" TargetMode="External"/><Relationship Id="rId118" Type="http://schemas.openxmlformats.org/officeDocument/2006/relationships/hyperlink" Target="javascript:void(0);" TargetMode="External"/><Relationship Id="rId134" Type="http://schemas.openxmlformats.org/officeDocument/2006/relationships/hyperlink" Target="javascript:void(0);" TargetMode="External"/><Relationship Id="rId139" Type="http://schemas.openxmlformats.org/officeDocument/2006/relationships/hyperlink" Target="javascript:void(0);" TargetMode="External"/><Relationship Id="rId80" Type="http://schemas.openxmlformats.org/officeDocument/2006/relationships/hyperlink" Target="javascript:void(0);" TargetMode="External"/><Relationship Id="rId85" Type="http://schemas.openxmlformats.org/officeDocument/2006/relationships/hyperlink" Target="javascript:void(0);" TargetMode="External"/><Relationship Id="rId12" Type="http://schemas.openxmlformats.org/officeDocument/2006/relationships/hyperlink" Target="javascript:void(0);" TargetMode="External"/><Relationship Id="rId17" Type="http://schemas.openxmlformats.org/officeDocument/2006/relationships/hyperlink" Target="javascript:void(0);" TargetMode="External"/><Relationship Id="rId33" Type="http://schemas.openxmlformats.org/officeDocument/2006/relationships/hyperlink" Target="javascript:void(0);" TargetMode="External"/><Relationship Id="rId38" Type="http://schemas.openxmlformats.org/officeDocument/2006/relationships/hyperlink" Target="javascript:void(0);" TargetMode="External"/><Relationship Id="rId59" Type="http://schemas.openxmlformats.org/officeDocument/2006/relationships/hyperlink" Target="javascript:void(0);" TargetMode="External"/><Relationship Id="rId103" Type="http://schemas.openxmlformats.org/officeDocument/2006/relationships/hyperlink" Target="javascript:void(0);" TargetMode="External"/><Relationship Id="rId108" Type="http://schemas.openxmlformats.org/officeDocument/2006/relationships/hyperlink" Target="javascript:void(0);" TargetMode="External"/><Relationship Id="rId124" Type="http://schemas.openxmlformats.org/officeDocument/2006/relationships/hyperlink" Target="javascript:void(0);" TargetMode="External"/><Relationship Id="rId129" Type="http://schemas.openxmlformats.org/officeDocument/2006/relationships/hyperlink" Target="javascript:void(0);" TargetMode="External"/><Relationship Id="rId54" Type="http://schemas.openxmlformats.org/officeDocument/2006/relationships/hyperlink" Target="javascript:void(0);" TargetMode="External"/><Relationship Id="rId70" Type="http://schemas.openxmlformats.org/officeDocument/2006/relationships/hyperlink" Target="javascript:void(0);" TargetMode="External"/><Relationship Id="rId75" Type="http://schemas.openxmlformats.org/officeDocument/2006/relationships/hyperlink" Target="javascript:void(0);" TargetMode="External"/><Relationship Id="rId91" Type="http://schemas.openxmlformats.org/officeDocument/2006/relationships/hyperlink" Target="javascript:void(0);" TargetMode="External"/><Relationship Id="rId96" Type="http://schemas.openxmlformats.org/officeDocument/2006/relationships/hyperlink" Target="javascript:void(0);" TargetMode="External"/><Relationship Id="rId140" Type="http://schemas.openxmlformats.org/officeDocument/2006/relationships/drawing" Target="../drawings/drawing1.xml"/><Relationship Id="rId1" Type="http://schemas.openxmlformats.org/officeDocument/2006/relationships/hyperlink" Target="javascript:void(0);" TargetMode="External"/><Relationship Id="rId6" Type="http://schemas.openxmlformats.org/officeDocument/2006/relationships/hyperlink" Target="javascript:void(0);" TargetMode="External"/><Relationship Id="rId23" Type="http://schemas.openxmlformats.org/officeDocument/2006/relationships/hyperlink" Target="javascript:void(0);" TargetMode="External"/><Relationship Id="rId28" Type="http://schemas.openxmlformats.org/officeDocument/2006/relationships/hyperlink" Target="javascript:void(0);" TargetMode="External"/><Relationship Id="rId49" Type="http://schemas.openxmlformats.org/officeDocument/2006/relationships/hyperlink" Target="javascript:void(0);" TargetMode="External"/><Relationship Id="rId114" Type="http://schemas.openxmlformats.org/officeDocument/2006/relationships/hyperlink" Target="javascript:void(0);" TargetMode="External"/><Relationship Id="rId119" Type="http://schemas.openxmlformats.org/officeDocument/2006/relationships/hyperlink" Target="javascript:void(0);" TargetMode="External"/><Relationship Id="rId44" Type="http://schemas.openxmlformats.org/officeDocument/2006/relationships/hyperlink" Target="javascript:void(0);" TargetMode="External"/><Relationship Id="rId60" Type="http://schemas.openxmlformats.org/officeDocument/2006/relationships/hyperlink" Target="javascript:void(0);" TargetMode="External"/><Relationship Id="rId65" Type="http://schemas.openxmlformats.org/officeDocument/2006/relationships/hyperlink" Target="javascript:void(0);" TargetMode="External"/><Relationship Id="rId81" Type="http://schemas.openxmlformats.org/officeDocument/2006/relationships/hyperlink" Target="javascript:void(0);" TargetMode="External"/><Relationship Id="rId86" Type="http://schemas.openxmlformats.org/officeDocument/2006/relationships/hyperlink" Target="javascript:void(0);" TargetMode="External"/><Relationship Id="rId130" Type="http://schemas.openxmlformats.org/officeDocument/2006/relationships/hyperlink" Target="javascript:void(0);" TargetMode="External"/><Relationship Id="rId135" Type="http://schemas.openxmlformats.org/officeDocument/2006/relationships/hyperlink" Target="javascript:void(0);" TargetMode="External"/><Relationship Id="rId13" Type="http://schemas.openxmlformats.org/officeDocument/2006/relationships/hyperlink" Target="javascript:void(0);" TargetMode="External"/><Relationship Id="rId18" Type="http://schemas.openxmlformats.org/officeDocument/2006/relationships/hyperlink" Target="javascript:void(0);" TargetMode="External"/><Relationship Id="rId39" Type="http://schemas.openxmlformats.org/officeDocument/2006/relationships/hyperlink" Target="javascript:void(0);" TargetMode="External"/><Relationship Id="rId109" Type="http://schemas.openxmlformats.org/officeDocument/2006/relationships/hyperlink" Target="javascript:void(0);" TargetMode="External"/><Relationship Id="rId34" Type="http://schemas.openxmlformats.org/officeDocument/2006/relationships/hyperlink" Target="javascript:void(0);" TargetMode="External"/><Relationship Id="rId50" Type="http://schemas.openxmlformats.org/officeDocument/2006/relationships/hyperlink" Target="javascript:void(0);" TargetMode="External"/><Relationship Id="rId55" Type="http://schemas.openxmlformats.org/officeDocument/2006/relationships/hyperlink" Target="javascript:void(0);" TargetMode="External"/><Relationship Id="rId76" Type="http://schemas.openxmlformats.org/officeDocument/2006/relationships/hyperlink" Target="javascript:void(0);" TargetMode="External"/><Relationship Id="rId97" Type="http://schemas.openxmlformats.org/officeDocument/2006/relationships/hyperlink" Target="javascript:void(0);" TargetMode="External"/><Relationship Id="rId104" Type="http://schemas.openxmlformats.org/officeDocument/2006/relationships/hyperlink" Target="javascript:void(0);" TargetMode="External"/><Relationship Id="rId120" Type="http://schemas.openxmlformats.org/officeDocument/2006/relationships/hyperlink" Target="javascript:void(0);" TargetMode="External"/><Relationship Id="rId125" Type="http://schemas.openxmlformats.org/officeDocument/2006/relationships/hyperlink" Target="javascript:void(0);" TargetMode="External"/><Relationship Id="rId7" Type="http://schemas.openxmlformats.org/officeDocument/2006/relationships/hyperlink" Target="javascript:void(0);" TargetMode="External"/><Relationship Id="rId71" Type="http://schemas.openxmlformats.org/officeDocument/2006/relationships/hyperlink" Target="javascript:void(0);" TargetMode="External"/><Relationship Id="rId92" Type="http://schemas.openxmlformats.org/officeDocument/2006/relationships/hyperlink" Target="javascript:void(0);" TargetMode="External"/><Relationship Id="rId2" Type="http://schemas.openxmlformats.org/officeDocument/2006/relationships/hyperlink" Target="javascript:void(0);" TargetMode="External"/><Relationship Id="rId29" Type="http://schemas.openxmlformats.org/officeDocument/2006/relationships/hyperlink" Target="javascript:void(0);" TargetMode="External"/><Relationship Id="rId24" Type="http://schemas.openxmlformats.org/officeDocument/2006/relationships/hyperlink" Target="javascript:void(0);" TargetMode="External"/><Relationship Id="rId40" Type="http://schemas.openxmlformats.org/officeDocument/2006/relationships/hyperlink" Target="javascript:void(0);" TargetMode="External"/><Relationship Id="rId45" Type="http://schemas.openxmlformats.org/officeDocument/2006/relationships/hyperlink" Target="javascript:void(0);" TargetMode="External"/><Relationship Id="rId66" Type="http://schemas.openxmlformats.org/officeDocument/2006/relationships/hyperlink" Target="javascript:void(0);" TargetMode="External"/><Relationship Id="rId87" Type="http://schemas.openxmlformats.org/officeDocument/2006/relationships/hyperlink" Target="javascript:void(0);" TargetMode="External"/><Relationship Id="rId110" Type="http://schemas.openxmlformats.org/officeDocument/2006/relationships/hyperlink" Target="javascript:void(0);" TargetMode="External"/><Relationship Id="rId115" Type="http://schemas.openxmlformats.org/officeDocument/2006/relationships/hyperlink" Target="javascript:void(0);" TargetMode="External"/><Relationship Id="rId131" Type="http://schemas.openxmlformats.org/officeDocument/2006/relationships/hyperlink" Target="javascript:void(0);" TargetMode="External"/><Relationship Id="rId136" Type="http://schemas.openxmlformats.org/officeDocument/2006/relationships/hyperlink" Target="javascript:void(0);" TargetMode="External"/><Relationship Id="rId61" Type="http://schemas.openxmlformats.org/officeDocument/2006/relationships/hyperlink" Target="javascript:void(0);" TargetMode="External"/><Relationship Id="rId82" Type="http://schemas.openxmlformats.org/officeDocument/2006/relationships/hyperlink" Target="javascript:void(0);" TargetMode="External"/><Relationship Id="rId19" Type="http://schemas.openxmlformats.org/officeDocument/2006/relationships/hyperlink" Target="javascript:void(0);" TargetMode="External"/><Relationship Id="rId14" Type="http://schemas.openxmlformats.org/officeDocument/2006/relationships/hyperlink" Target="javascript:void(0);" TargetMode="External"/><Relationship Id="rId30" Type="http://schemas.openxmlformats.org/officeDocument/2006/relationships/hyperlink" Target="javascript:void(0);" TargetMode="External"/><Relationship Id="rId35" Type="http://schemas.openxmlformats.org/officeDocument/2006/relationships/hyperlink" Target="javascript:void(0);" TargetMode="External"/><Relationship Id="rId56" Type="http://schemas.openxmlformats.org/officeDocument/2006/relationships/hyperlink" Target="javascript:void(0);" TargetMode="External"/><Relationship Id="rId77" Type="http://schemas.openxmlformats.org/officeDocument/2006/relationships/hyperlink" Target="javascript:void(0);" TargetMode="External"/><Relationship Id="rId100" Type="http://schemas.openxmlformats.org/officeDocument/2006/relationships/hyperlink" Target="javascript:void(0);" TargetMode="External"/><Relationship Id="rId105" Type="http://schemas.openxmlformats.org/officeDocument/2006/relationships/hyperlink" Target="javascript:void(0);" TargetMode="External"/><Relationship Id="rId126" Type="http://schemas.openxmlformats.org/officeDocument/2006/relationships/hyperlink" Target="javascript:void(0);" TargetMode="External"/><Relationship Id="rId8" Type="http://schemas.openxmlformats.org/officeDocument/2006/relationships/hyperlink" Target="javascript:void(0);" TargetMode="External"/><Relationship Id="rId51" Type="http://schemas.openxmlformats.org/officeDocument/2006/relationships/hyperlink" Target="javascript:void(0);" TargetMode="External"/><Relationship Id="rId72" Type="http://schemas.openxmlformats.org/officeDocument/2006/relationships/hyperlink" Target="javascript:void(0);" TargetMode="External"/><Relationship Id="rId93" Type="http://schemas.openxmlformats.org/officeDocument/2006/relationships/hyperlink" Target="javascript:void(0);" TargetMode="External"/><Relationship Id="rId98" Type="http://schemas.openxmlformats.org/officeDocument/2006/relationships/hyperlink" Target="javascript:void(0);" TargetMode="External"/><Relationship Id="rId121" Type="http://schemas.openxmlformats.org/officeDocument/2006/relationships/hyperlink" Target="javascript:void(0);" TargetMode="External"/><Relationship Id="rId3" Type="http://schemas.openxmlformats.org/officeDocument/2006/relationships/hyperlink" Target="javascript:void(0);" TargetMode="External"/><Relationship Id="rId25" Type="http://schemas.openxmlformats.org/officeDocument/2006/relationships/hyperlink" Target="javascript:void(0);" TargetMode="External"/><Relationship Id="rId46" Type="http://schemas.openxmlformats.org/officeDocument/2006/relationships/hyperlink" Target="javascript:void(0);" TargetMode="External"/><Relationship Id="rId67" Type="http://schemas.openxmlformats.org/officeDocument/2006/relationships/hyperlink" Target="javascript:void(0);" TargetMode="External"/><Relationship Id="rId116" Type="http://schemas.openxmlformats.org/officeDocument/2006/relationships/hyperlink" Target="javascript:void(0);" TargetMode="External"/><Relationship Id="rId137" Type="http://schemas.openxmlformats.org/officeDocument/2006/relationships/hyperlink" Target="javascript:void(0);" TargetMode="External"/><Relationship Id="rId20" Type="http://schemas.openxmlformats.org/officeDocument/2006/relationships/hyperlink" Target="javascript:void(0);" TargetMode="External"/><Relationship Id="rId41" Type="http://schemas.openxmlformats.org/officeDocument/2006/relationships/hyperlink" Target="javascript:void(0);" TargetMode="External"/><Relationship Id="rId62" Type="http://schemas.openxmlformats.org/officeDocument/2006/relationships/hyperlink" Target="javascript:void(0);" TargetMode="External"/><Relationship Id="rId83" Type="http://schemas.openxmlformats.org/officeDocument/2006/relationships/hyperlink" Target="javascript:void(0);" TargetMode="External"/><Relationship Id="rId88" Type="http://schemas.openxmlformats.org/officeDocument/2006/relationships/hyperlink" Target="javascript:void(0);" TargetMode="External"/><Relationship Id="rId111" Type="http://schemas.openxmlformats.org/officeDocument/2006/relationships/hyperlink" Target="javascript:void(0);" TargetMode="External"/><Relationship Id="rId132" Type="http://schemas.openxmlformats.org/officeDocument/2006/relationships/hyperlink" Target="javascript:void(0);" TargetMode="External"/><Relationship Id="rId15" Type="http://schemas.openxmlformats.org/officeDocument/2006/relationships/hyperlink" Target="javascript:void(0);" TargetMode="External"/><Relationship Id="rId36" Type="http://schemas.openxmlformats.org/officeDocument/2006/relationships/hyperlink" Target="javascript:void(0);" TargetMode="External"/><Relationship Id="rId57" Type="http://schemas.openxmlformats.org/officeDocument/2006/relationships/hyperlink" Target="javascript:void(0);" TargetMode="External"/><Relationship Id="rId106" Type="http://schemas.openxmlformats.org/officeDocument/2006/relationships/hyperlink" Target="javascript:void(0);" TargetMode="External"/><Relationship Id="rId127" Type="http://schemas.openxmlformats.org/officeDocument/2006/relationships/hyperlink" Target="javascript:void(0);" TargetMode="External"/><Relationship Id="rId10" Type="http://schemas.openxmlformats.org/officeDocument/2006/relationships/hyperlink" Target="javascript:void(0);" TargetMode="External"/><Relationship Id="rId31" Type="http://schemas.openxmlformats.org/officeDocument/2006/relationships/hyperlink" Target="javascript:void(0);" TargetMode="External"/><Relationship Id="rId52" Type="http://schemas.openxmlformats.org/officeDocument/2006/relationships/hyperlink" Target="javascript:void(0);" TargetMode="External"/><Relationship Id="rId73" Type="http://schemas.openxmlformats.org/officeDocument/2006/relationships/hyperlink" Target="javascript:void(0);" TargetMode="External"/><Relationship Id="rId78" Type="http://schemas.openxmlformats.org/officeDocument/2006/relationships/hyperlink" Target="javascript:void(0);" TargetMode="External"/><Relationship Id="rId94" Type="http://schemas.openxmlformats.org/officeDocument/2006/relationships/hyperlink" Target="javascript:void(0);" TargetMode="External"/><Relationship Id="rId99" Type="http://schemas.openxmlformats.org/officeDocument/2006/relationships/hyperlink" Target="javascript:void(0);" TargetMode="External"/><Relationship Id="rId101" Type="http://schemas.openxmlformats.org/officeDocument/2006/relationships/hyperlink" Target="javascript:void(0);" TargetMode="External"/><Relationship Id="rId122" Type="http://schemas.openxmlformats.org/officeDocument/2006/relationships/hyperlink" Target="javascript:void(0);" TargetMode="External"/><Relationship Id="rId4" Type="http://schemas.openxmlformats.org/officeDocument/2006/relationships/hyperlink" Target="javascript:void(0);" TargetMode="External"/><Relationship Id="rId9" Type="http://schemas.openxmlformats.org/officeDocument/2006/relationships/hyperlink" Target="javascript:void(0);" TargetMode="External"/><Relationship Id="rId26" Type="http://schemas.openxmlformats.org/officeDocument/2006/relationships/hyperlink" Target="javascript:void(0);" TargetMode="External"/><Relationship Id="rId47" Type="http://schemas.openxmlformats.org/officeDocument/2006/relationships/hyperlink" Target="javascript:void(0);" TargetMode="External"/><Relationship Id="rId68" Type="http://schemas.openxmlformats.org/officeDocument/2006/relationships/hyperlink" Target="javascript:void(0);" TargetMode="External"/><Relationship Id="rId89" Type="http://schemas.openxmlformats.org/officeDocument/2006/relationships/hyperlink" Target="javascript:void(0);" TargetMode="External"/><Relationship Id="rId112" Type="http://schemas.openxmlformats.org/officeDocument/2006/relationships/hyperlink" Target="javascript:void(0);" TargetMode="External"/><Relationship Id="rId133" Type="http://schemas.openxmlformats.org/officeDocument/2006/relationships/hyperlink" Target="javascript:void(0);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836D-5153-486D-8B76-48FAFDDE1EA1}">
  <dimension ref="A1:O471"/>
  <sheetViews>
    <sheetView workbookViewId="0">
      <pane xSplit="1" ySplit="3" topLeftCell="B398" activePane="bottomRight" state="frozen"/>
      <selection pane="bottomRight" activeCell="J475" sqref="J475"/>
      <selection pane="bottomLeft"/>
      <selection pane="topRight"/>
    </sheetView>
  </sheetViews>
  <sheetFormatPr defaultRowHeight="13.5"/>
  <cols>
    <col min="1" max="1" width="13.7109375" customWidth="1"/>
    <col min="2" max="2" width="30.140625" customWidth="1"/>
    <col min="3" max="11" width="12.85546875" customWidth="1"/>
    <col min="12" max="13" width="11.85546875" customWidth="1"/>
    <col min="14" max="14" width="32.42578125" customWidth="1"/>
    <col min="15" max="15" width="12.42578125" customWidth="1"/>
  </cols>
  <sheetData>
    <row r="1" spans="1:15">
      <c r="A1" s="66" t="s">
        <v>0</v>
      </c>
      <c r="B1" s="65" t="s">
        <v>1</v>
      </c>
      <c r="C1" s="65"/>
      <c r="D1" s="65"/>
      <c r="E1" s="65"/>
      <c r="F1" s="65"/>
      <c r="G1" s="64"/>
      <c r="H1" s="64" t="s">
        <v>2</v>
      </c>
      <c r="I1" s="64" t="s">
        <v>3</v>
      </c>
      <c r="J1" s="64" t="s">
        <v>4</v>
      </c>
      <c r="K1" s="65" t="s">
        <v>5</v>
      </c>
      <c r="L1" s="64"/>
      <c r="M1" s="64"/>
    </row>
    <row r="2" spans="1:15">
      <c r="A2" s="8">
        <v>42113</v>
      </c>
      <c r="B2" s="9" t="s">
        <v>6</v>
      </c>
      <c r="C2" s="3" t="s">
        <v>7</v>
      </c>
      <c r="D2" s="3"/>
      <c r="E2" s="3"/>
      <c r="F2" s="7"/>
      <c r="G2" s="73"/>
      <c r="H2" s="4">
        <v>2297</v>
      </c>
      <c r="I2" s="4"/>
      <c r="J2" s="36"/>
      <c r="K2" s="37"/>
      <c r="L2" s="73">
        <f>J2</f>
        <v>0</v>
      </c>
      <c r="M2" s="73">
        <f>K2</f>
        <v>0</v>
      </c>
    </row>
    <row r="3" spans="1:15">
      <c r="A3" s="8">
        <v>42116</v>
      </c>
      <c r="B3" s="9" t="s">
        <v>8</v>
      </c>
      <c r="C3" s="3" t="s">
        <v>9</v>
      </c>
      <c r="D3" s="3"/>
      <c r="E3" s="3"/>
      <c r="F3" s="7"/>
      <c r="G3" s="73"/>
      <c r="H3" s="4">
        <v>2297</v>
      </c>
      <c r="I3" s="4"/>
      <c r="J3" s="36"/>
      <c r="K3" s="37"/>
      <c r="L3" s="73">
        <f>J3+L2</f>
        <v>0</v>
      </c>
      <c r="M3" s="73">
        <f>K3+M2</f>
        <v>0</v>
      </c>
    </row>
    <row r="4" spans="1:15">
      <c r="A4" s="8">
        <v>45128</v>
      </c>
      <c r="B4" s="9" t="s">
        <v>10</v>
      </c>
      <c r="C4" s="3" t="s">
        <v>11</v>
      </c>
      <c r="D4" s="3"/>
      <c r="E4" s="3"/>
      <c r="F4" s="7"/>
      <c r="G4" s="73"/>
      <c r="H4" s="73">
        <v>984</v>
      </c>
      <c r="I4" s="4"/>
      <c r="J4" s="36"/>
      <c r="K4" s="37"/>
      <c r="L4" s="73">
        <f t="shared" ref="L4:L68" si="0">J4+L3</f>
        <v>0</v>
      </c>
      <c r="M4" s="73">
        <f t="shared" ref="M4:M68" si="1">K4+M3</f>
        <v>0</v>
      </c>
    </row>
    <row r="5" spans="1:15">
      <c r="A5" s="8">
        <v>45131</v>
      </c>
      <c r="B5" s="9" t="s">
        <v>12</v>
      </c>
      <c r="C5" s="3" t="s">
        <v>13</v>
      </c>
      <c r="D5" s="3"/>
      <c r="E5" s="3"/>
      <c r="F5" s="7"/>
      <c r="G5" s="73"/>
      <c r="H5" s="73">
        <v>567</v>
      </c>
      <c r="I5" s="4"/>
      <c r="J5" s="36"/>
      <c r="K5" s="37"/>
      <c r="L5" s="73">
        <f t="shared" si="0"/>
        <v>0</v>
      </c>
      <c r="M5" s="73">
        <f t="shared" si="1"/>
        <v>0</v>
      </c>
    </row>
    <row r="6" spans="1:15" ht="22.5">
      <c r="A6" s="8">
        <v>45165</v>
      </c>
      <c r="B6" s="9" t="s">
        <v>14</v>
      </c>
      <c r="C6" s="10" t="s">
        <v>15</v>
      </c>
      <c r="D6" s="3"/>
      <c r="E6" s="3"/>
      <c r="F6" s="7"/>
      <c r="G6" s="73"/>
      <c r="H6" s="4">
        <v>1111</v>
      </c>
      <c r="I6" s="4"/>
      <c r="J6" s="36"/>
      <c r="K6" s="37"/>
      <c r="L6" s="73">
        <f t="shared" si="0"/>
        <v>0</v>
      </c>
      <c r="M6" s="73">
        <f t="shared" si="1"/>
        <v>0</v>
      </c>
    </row>
    <row r="7" spans="1:15" ht="22.5">
      <c r="A7" s="8">
        <v>45175</v>
      </c>
      <c r="B7" s="9" t="s">
        <v>14</v>
      </c>
      <c r="C7" s="10" t="s">
        <v>15</v>
      </c>
      <c r="D7" s="3"/>
      <c r="E7" s="3"/>
      <c r="F7" s="7"/>
      <c r="G7" s="73"/>
      <c r="H7" s="4">
        <v>1111</v>
      </c>
      <c r="I7" s="4"/>
      <c r="J7" s="36"/>
      <c r="K7" s="37"/>
      <c r="L7" s="73">
        <f t="shared" si="0"/>
        <v>0</v>
      </c>
      <c r="M7" s="73">
        <f t="shared" si="1"/>
        <v>0</v>
      </c>
    </row>
    <row r="8" spans="1:15" ht="22.5">
      <c r="A8" s="8">
        <v>45331</v>
      </c>
      <c r="B8" s="9" t="s">
        <v>16</v>
      </c>
      <c r="C8" s="10" t="s">
        <v>17</v>
      </c>
      <c r="D8" s="3"/>
      <c r="E8" s="3"/>
      <c r="F8" s="7"/>
      <c r="G8" s="73"/>
      <c r="H8" s="4">
        <v>3831</v>
      </c>
      <c r="I8" s="4"/>
      <c r="J8" s="36"/>
      <c r="K8" s="37"/>
      <c r="L8" s="73">
        <f t="shared" si="0"/>
        <v>0</v>
      </c>
      <c r="M8" s="73">
        <f t="shared" si="1"/>
        <v>0</v>
      </c>
    </row>
    <row r="9" spans="1:15" ht="22.5">
      <c r="A9" s="8">
        <v>45333</v>
      </c>
      <c r="B9" s="9" t="s">
        <v>18</v>
      </c>
      <c r="C9" s="10" t="s">
        <v>19</v>
      </c>
      <c r="D9" s="3"/>
      <c r="E9" s="3"/>
      <c r="F9" s="7"/>
      <c r="G9" s="73"/>
      <c r="H9" s="4">
        <v>3831</v>
      </c>
      <c r="I9" s="4"/>
      <c r="J9" s="36"/>
      <c r="K9" s="37"/>
      <c r="L9" s="73">
        <f t="shared" si="0"/>
        <v>0</v>
      </c>
      <c r="M9" s="73">
        <v>0</v>
      </c>
    </row>
    <row r="10" spans="1:15">
      <c r="A10" s="5" t="s">
        <v>20</v>
      </c>
      <c r="B10" s="78" t="s">
        <v>21</v>
      </c>
      <c r="C10" s="79"/>
      <c r="D10" s="79"/>
      <c r="E10" s="79"/>
      <c r="F10" s="6" t="s">
        <v>20</v>
      </c>
      <c r="G10" s="1" t="s">
        <v>20</v>
      </c>
      <c r="H10" s="1" t="s">
        <v>20</v>
      </c>
      <c r="I10" s="2">
        <v>6265</v>
      </c>
      <c r="J10" s="38">
        <v>0</v>
      </c>
      <c r="K10" s="39">
        <v>0</v>
      </c>
      <c r="L10" s="73">
        <f t="shared" si="0"/>
        <v>0</v>
      </c>
      <c r="M10" s="73">
        <f t="shared" si="1"/>
        <v>0</v>
      </c>
    </row>
    <row r="11" spans="1:15">
      <c r="A11" s="27">
        <v>45511</v>
      </c>
      <c r="B11" s="1" t="s">
        <v>22</v>
      </c>
      <c r="C11" s="3" t="s">
        <v>13</v>
      </c>
      <c r="D11" s="3" t="s">
        <v>20</v>
      </c>
      <c r="E11" s="1" t="s">
        <v>20</v>
      </c>
      <c r="F11" s="73">
        <v>567</v>
      </c>
      <c r="G11" s="73">
        <v>0</v>
      </c>
      <c r="H11" s="73">
        <v>567</v>
      </c>
      <c r="I11" s="4">
        <v>6832</v>
      </c>
      <c r="J11" s="36">
        <v>0</v>
      </c>
      <c r="K11" s="36">
        <v>0</v>
      </c>
      <c r="L11" s="73">
        <f t="shared" si="0"/>
        <v>0</v>
      </c>
      <c r="M11" s="73">
        <f t="shared" si="1"/>
        <v>0</v>
      </c>
    </row>
    <row r="12" spans="1:15">
      <c r="A12" s="27">
        <v>45512</v>
      </c>
      <c r="B12" s="1" t="s">
        <v>23</v>
      </c>
      <c r="C12" s="3" t="s">
        <v>24</v>
      </c>
      <c r="D12" s="3" t="s">
        <v>20</v>
      </c>
      <c r="E12" s="1" t="s">
        <v>20</v>
      </c>
      <c r="F12" s="73">
        <v>567</v>
      </c>
      <c r="G12" s="73">
        <v>0</v>
      </c>
      <c r="H12" s="73">
        <v>567</v>
      </c>
      <c r="I12" s="4">
        <v>7399</v>
      </c>
      <c r="J12" s="36">
        <v>0</v>
      </c>
      <c r="K12" s="36">
        <v>0</v>
      </c>
      <c r="L12" s="73">
        <f t="shared" si="0"/>
        <v>0</v>
      </c>
      <c r="M12" s="73">
        <f t="shared" si="1"/>
        <v>0</v>
      </c>
      <c r="N12" t="s">
        <v>25</v>
      </c>
      <c r="O12" s="11">
        <f>SUMIFS(H2:H29999, B2:B29999, "*JL*")+SUMIFS(H11:H29999, B11:B29999, "*NU*")</f>
        <v>100272</v>
      </c>
    </row>
    <row r="13" spans="1:15">
      <c r="A13" s="27"/>
      <c r="B13" s="1"/>
      <c r="C13" s="3"/>
      <c r="D13" s="3"/>
      <c r="E13" s="1"/>
      <c r="F13" s="73"/>
      <c r="G13" s="73"/>
      <c r="H13" s="73"/>
      <c r="I13" s="4"/>
      <c r="J13" s="36"/>
      <c r="K13" s="36"/>
      <c r="L13" s="73"/>
      <c r="M13" s="73"/>
      <c r="N13" s="31" t="s">
        <v>26</v>
      </c>
      <c r="O13">
        <f>SUMIFS(H11:H29999, B11:B29999, "*ＣｌｕｂＱ*")</f>
        <v>36789</v>
      </c>
    </row>
    <row r="14" spans="1:15" ht="12.75" customHeight="1">
      <c r="A14" s="27">
        <v>45589</v>
      </c>
      <c r="B14" s="1" t="s">
        <v>27</v>
      </c>
      <c r="C14" s="3" t="s">
        <v>13</v>
      </c>
      <c r="D14" s="3" t="s">
        <v>20</v>
      </c>
      <c r="E14" s="1" t="s">
        <v>20</v>
      </c>
      <c r="F14" s="73">
        <v>567</v>
      </c>
      <c r="G14" s="73">
        <v>0</v>
      </c>
      <c r="H14" s="73">
        <v>567</v>
      </c>
      <c r="I14" s="4">
        <v>7966</v>
      </c>
      <c r="J14" s="36">
        <v>0</v>
      </c>
      <c r="K14" s="36">
        <v>0</v>
      </c>
      <c r="L14" s="73">
        <f>J14+L12</f>
        <v>0</v>
      </c>
      <c r="M14" s="73">
        <f>K14+M12</f>
        <v>0</v>
      </c>
      <c r="N14" t="s">
        <v>28</v>
      </c>
      <c r="O14">
        <f>SUMIFS(H11:H29999, B11:B29999, "*ＪＡＬカード入会搭乗ボーナス*")</f>
        <v>5000</v>
      </c>
    </row>
    <row r="15" spans="1:15">
      <c r="A15" s="27">
        <v>45590</v>
      </c>
      <c r="B15" s="1" t="s">
        <v>29</v>
      </c>
      <c r="C15" s="3" t="s">
        <v>24</v>
      </c>
      <c r="D15" s="3" t="s">
        <v>20</v>
      </c>
      <c r="E15" s="1" t="s">
        <v>20</v>
      </c>
      <c r="F15" s="73">
        <v>567</v>
      </c>
      <c r="G15" s="73">
        <v>0</v>
      </c>
      <c r="H15" s="73">
        <v>567</v>
      </c>
      <c r="I15" s="4">
        <v>8533</v>
      </c>
      <c r="J15" s="36">
        <v>0</v>
      </c>
      <c r="K15" s="36">
        <v>0</v>
      </c>
      <c r="L15" s="73">
        <f t="shared" si="0"/>
        <v>0</v>
      </c>
      <c r="M15" s="73">
        <f t="shared" si="1"/>
        <v>0</v>
      </c>
      <c r="N15" t="s">
        <v>30</v>
      </c>
      <c r="O15">
        <f>SUMIFS(H11:H29999, B11:B29999, "*ふるさと納税マイル*")</f>
        <v>2000</v>
      </c>
    </row>
    <row r="16" spans="1:15">
      <c r="A16" s="27">
        <v>45611</v>
      </c>
      <c r="B16" s="1" t="s">
        <v>31</v>
      </c>
      <c r="C16" s="3" t="s">
        <v>32</v>
      </c>
      <c r="D16" s="3" t="s">
        <v>20</v>
      </c>
      <c r="E16" s="1" t="s">
        <v>20</v>
      </c>
      <c r="F16" s="73">
        <v>482</v>
      </c>
      <c r="G16" s="73">
        <v>0</v>
      </c>
      <c r="H16" s="73">
        <v>482</v>
      </c>
      <c r="I16" s="4">
        <v>9015</v>
      </c>
      <c r="J16" s="36">
        <v>0</v>
      </c>
      <c r="K16" s="36">
        <v>0</v>
      </c>
      <c r="L16" s="73">
        <f t="shared" si="0"/>
        <v>0</v>
      </c>
      <c r="M16" s="73">
        <f t="shared" si="1"/>
        <v>0</v>
      </c>
      <c r="N16" s="31" t="s">
        <v>33</v>
      </c>
      <c r="O16">
        <f>SUMIFS(H11:H29999, B11:B29999, "*ＷＥＬＬＮＥＳＳ*")</f>
        <v>4942</v>
      </c>
    </row>
    <row r="17" spans="1:15">
      <c r="A17" s="27">
        <v>45612</v>
      </c>
      <c r="B17" s="1" t="s">
        <v>34</v>
      </c>
      <c r="C17" s="3" t="s">
        <v>35</v>
      </c>
      <c r="D17" s="3" t="s">
        <v>20</v>
      </c>
      <c r="E17" s="1" t="s">
        <v>20</v>
      </c>
      <c r="F17" s="73">
        <v>482</v>
      </c>
      <c r="G17" s="73">
        <v>0</v>
      </c>
      <c r="H17" s="73">
        <v>482</v>
      </c>
      <c r="I17" s="4">
        <v>9497</v>
      </c>
      <c r="J17" s="36">
        <v>0</v>
      </c>
      <c r="K17" s="36">
        <v>0</v>
      </c>
      <c r="L17" s="73">
        <f t="shared" si="0"/>
        <v>0</v>
      </c>
      <c r="M17" s="73">
        <f t="shared" si="1"/>
        <v>0</v>
      </c>
      <c r="N17" s="31" t="s">
        <v>36</v>
      </c>
      <c r="O17">
        <f>SUMIFS(H11:H29999, B11:B29999, "*ＪＭＢアプリ*")</f>
        <v>46</v>
      </c>
    </row>
    <row r="18" spans="1:15" ht="14.25" customHeight="1">
      <c r="A18" s="27">
        <v>45646</v>
      </c>
      <c r="B18" s="1" t="s">
        <v>31</v>
      </c>
      <c r="C18" s="3" t="s">
        <v>32</v>
      </c>
      <c r="D18" s="3" t="s">
        <v>20</v>
      </c>
      <c r="E18" s="1" t="s">
        <v>20</v>
      </c>
      <c r="F18" s="73">
        <v>438</v>
      </c>
      <c r="G18" s="73">
        <v>0</v>
      </c>
      <c r="H18" s="73">
        <v>438</v>
      </c>
      <c r="I18" s="4">
        <v>9935</v>
      </c>
      <c r="J18" s="36">
        <v>0</v>
      </c>
      <c r="K18" s="36">
        <v>0</v>
      </c>
      <c r="L18" s="73">
        <f t="shared" si="0"/>
        <v>0</v>
      </c>
      <c r="M18" s="73">
        <f t="shared" si="1"/>
        <v>0</v>
      </c>
      <c r="N18" s="31" t="s">
        <v>37</v>
      </c>
      <c r="O18">
        <f>SUMIFS(H11:H29999, B11:B29999, "*ＪＡＬ国内線特典航空券交換*")</f>
        <v>-28000</v>
      </c>
    </row>
    <row r="19" spans="1:15">
      <c r="A19" s="27">
        <v>45647</v>
      </c>
      <c r="B19" s="1" t="s">
        <v>38</v>
      </c>
      <c r="C19" s="3" t="s">
        <v>35</v>
      </c>
      <c r="D19" s="3" t="s">
        <v>20</v>
      </c>
      <c r="E19" s="1" t="s">
        <v>20</v>
      </c>
      <c r="F19" s="73">
        <v>482</v>
      </c>
      <c r="G19" s="73">
        <v>0</v>
      </c>
      <c r="H19" s="73">
        <v>482</v>
      </c>
      <c r="I19" s="4">
        <v>10417</v>
      </c>
      <c r="J19" s="36">
        <v>0</v>
      </c>
      <c r="K19" s="36">
        <v>0</v>
      </c>
      <c r="L19" s="73">
        <f t="shared" si="0"/>
        <v>0</v>
      </c>
      <c r="M19" s="73">
        <f t="shared" si="1"/>
        <v>0</v>
      </c>
      <c r="N19" s="31" t="s">
        <v>39</v>
      </c>
      <c r="O19">
        <f>SUMIFS(H11:H29999, B11:B29999, "*特典交換*")</f>
        <v>-1500</v>
      </c>
    </row>
    <row r="20" spans="1:15">
      <c r="A20" s="27">
        <v>45650</v>
      </c>
      <c r="B20" s="1" t="s">
        <v>40</v>
      </c>
      <c r="C20" s="3" t="s">
        <v>13</v>
      </c>
      <c r="D20" s="3" t="s">
        <v>20</v>
      </c>
      <c r="E20" s="1" t="s">
        <v>20</v>
      </c>
      <c r="F20" s="73">
        <v>425</v>
      </c>
      <c r="G20" s="73">
        <v>0</v>
      </c>
      <c r="H20" s="73">
        <v>425</v>
      </c>
      <c r="I20" s="4">
        <v>10842</v>
      </c>
      <c r="J20" s="36">
        <v>0</v>
      </c>
      <c r="K20" s="36">
        <v>0</v>
      </c>
      <c r="L20" s="73">
        <f t="shared" si="0"/>
        <v>0</v>
      </c>
      <c r="M20" s="73">
        <f t="shared" si="1"/>
        <v>0</v>
      </c>
      <c r="N20" s="31"/>
    </row>
    <row r="21" spans="1:15">
      <c r="A21" s="27">
        <v>45680</v>
      </c>
      <c r="B21" s="1" t="s">
        <v>41</v>
      </c>
      <c r="C21" s="1" t="s">
        <v>13</v>
      </c>
      <c r="D21" s="1" t="s">
        <v>42</v>
      </c>
      <c r="E21" s="1" t="s">
        <v>43</v>
      </c>
      <c r="F21" s="73">
        <v>624</v>
      </c>
      <c r="G21" s="73">
        <v>0</v>
      </c>
      <c r="H21" s="73">
        <v>624</v>
      </c>
      <c r="I21" s="4">
        <v>11466</v>
      </c>
      <c r="J21" s="36">
        <v>1648</v>
      </c>
      <c r="K21" s="36">
        <v>1</v>
      </c>
      <c r="L21" s="73">
        <f t="shared" si="0"/>
        <v>1648</v>
      </c>
      <c r="M21" s="73">
        <f t="shared" si="1"/>
        <v>1</v>
      </c>
      <c r="N21" s="31"/>
      <c r="O21">
        <f>SUM(O12:O18)</f>
        <v>121049</v>
      </c>
    </row>
    <row r="22" spans="1:15">
      <c r="A22" s="27">
        <v>45682</v>
      </c>
      <c r="B22" s="1" t="s">
        <v>44</v>
      </c>
      <c r="C22" s="1" t="s">
        <v>24</v>
      </c>
      <c r="D22" s="1" t="s">
        <v>42</v>
      </c>
      <c r="E22" s="1" t="s">
        <v>43</v>
      </c>
      <c r="F22" s="73">
        <v>624</v>
      </c>
      <c r="G22" s="73">
        <v>0</v>
      </c>
      <c r="H22" s="73">
        <v>624</v>
      </c>
      <c r="I22" s="4">
        <v>12090</v>
      </c>
      <c r="J22" s="36">
        <v>1648</v>
      </c>
      <c r="K22" s="36">
        <v>1</v>
      </c>
      <c r="L22" s="73">
        <f t="shared" si="0"/>
        <v>3296</v>
      </c>
      <c r="M22" s="73">
        <f t="shared" si="1"/>
        <v>2</v>
      </c>
    </row>
    <row r="23" spans="1:15">
      <c r="A23" s="27">
        <v>45727</v>
      </c>
      <c r="B23" s="1" t="s">
        <v>23</v>
      </c>
      <c r="C23" s="1" t="s">
        <v>24</v>
      </c>
      <c r="D23" s="1" t="s">
        <v>42</v>
      </c>
      <c r="E23" s="1" t="s">
        <v>43</v>
      </c>
      <c r="F23" s="73">
        <v>624</v>
      </c>
      <c r="G23" s="73">
        <v>0</v>
      </c>
      <c r="H23" s="73">
        <v>624</v>
      </c>
      <c r="I23" s="4">
        <v>12714</v>
      </c>
      <c r="J23" s="36">
        <v>1648</v>
      </c>
      <c r="K23" s="36">
        <v>1</v>
      </c>
      <c r="L23" s="73">
        <f t="shared" si="0"/>
        <v>4944</v>
      </c>
      <c r="M23" s="73">
        <f t="shared" si="1"/>
        <v>3</v>
      </c>
    </row>
    <row r="24" spans="1:15">
      <c r="A24" s="27">
        <v>45727</v>
      </c>
      <c r="B24" s="1" t="s">
        <v>12</v>
      </c>
      <c r="C24" s="1" t="s">
        <v>13</v>
      </c>
      <c r="D24" s="1" t="s">
        <v>42</v>
      </c>
      <c r="E24" s="1" t="s">
        <v>43</v>
      </c>
      <c r="F24" s="73">
        <v>624</v>
      </c>
      <c r="G24" s="73">
        <v>0</v>
      </c>
      <c r="H24" s="73">
        <v>624</v>
      </c>
      <c r="I24" s="4">
        <v>13338</v>
      </c>
      <c r="J24" s="36">
        <v>1648</v>
      </c>
      <c r="K24" s="36">
        <v>1</v>
      </c>
      <c r="L24" s="73">
        <f t="shared" si="0"/>
        <v>6592</v>
      </c>
      <c r="M24" s="73">
        <f t="shared" si="1"/>
        <v>4</v>
      </c>
    </row>
    <row r="25" spans="1:15">
      <c r="A25" s="27">
        <v>45784</v>
      </c>
      <c r="B25" s="1" t="s">
        <v>45</v>
      </c>
      <c r="C25" s="1" t="s">
        <v>13</v>
      </c>
      <c r="D25" s="1" t="s">
        <v>42</v>
      </c>
      <c r="E25" s="1" t="s">
        <v>43</v>
      </c>
      <c r="F25" s="73">
        <v>624</v>
      </c>
      <c r="G25" s="73">
        <v>0</v>
      </c>
      <c r="H25" s="73">
        <v>624</v>
      </c>
      <c r="I25" s="4">
        <v>13962</v>
      </c>
      <c r="J25" s="36">
        <v>1648</v>
      </c>
      <c r="K25" s="36">
        <v>1</v>
      </c>
      <c r="L25" s="73">
        <f t="shared" si="0"/>
        <v>8240</v>
      </c>
      <c r="M25" s="73">
        <f t="shared" si="1"/>
        <v>5</v>
      </c>
    </row>
    <row r="26" spans="1:15">
      <c r="A26" s="27">
        <v>45787</v>
      </c>
      <c r="B26" s="1" t="s">
        <v>46</v>
      </c>
      <c r="C26" s="1" t="s">
        <v>24</v>
      </c>
      <c r="D26" s="1" t="s">
        <v>42</v>
      </c>
      <c r="E26" s="1" t="s">
        <v>43</v>
      </c>
      <c r="F26" s="73">
        <v>624</v>
      </c>
      <c r="G26" s="73">
        <v>0</v>
      </c>
      <c r="H26" s="73">
        <v>624</v>
      </c>
      <c r="I26" s="4">
        <v>14586</v>
      </c>
      <c r="J26" s="36">
        <v>1648</v>
      </c>
      <c r="K26" s="36">
        <v>1</v>
      </c>
      <c r="L26" s="73">
        <f t="shared" si="0"/>
        <v>9888</v>
      </c>
      <c r="M26" s="73">
        <f t="shared" si="1"/>
        <v>6</v>
      </c>
    </row>
    <row r="27" spans="1:15">
      <c r="A27" s="27">
        <v>45834</v>
      </c>
      <c r="B27" s="1" t="s">
        <v>47</v>
      </c>
      <c r="C27" s="1" t="s">
        <v>13</v>
      </c>
      <c r="D27" s="1" t="s">
        <v>42</v>
      </c>
      <c r="E27" s="1" t="s">
        <v>43</v>
      </c>
      <c r="F27" s="73">
        <v>624</v>
      </c>
      <c r="G27" s="73">
        <v>0</v>
      </c>
      <c r="H27" s="73">
        <v>624</v>
      </c>
      <c r="I27" s="4">
        <v>15210</v>
      </c>
      <c r="J27" s="36">
        <v>1648</v>
      </c>
      <c r="K27" s="36">
        <v>1</v>
      </c>
      <c r="L27" s="73">
        <f t="shared" si="0"/>
        <v>11536</v>
      </c>
      <c r="M27" s="73">
        <f t="shared" si="1"/>
        <v>7</v>
      </c>
    </row>
    <row r="28" spans="1:15">
      <c r="A28" s="27">
        <v>45836</v>
      </c>
      <c r="B28" s="1" t="s">
        <v>48</v>
      </c>
      <c r="C28" s="1" t="s">
        <v>24</v>
      </c>
      <c r="D28" s="1" t="s">
        <v>42</v>
      </c>
      <c r="E28" s="1" t="s">
        <v>43</v>
      </c>
      <c r="F28" s="73">
        <v>624</v>
      </c>
      <c r="G28" s="73">
        <v>0</v>
      </c>
      <c r="H28" s="73">
        <v>624</v>
      </c>
      <c r="I28" s="4">
        <v>15834</v>
      </c>
      <c r="J28" s="36">
        <v>1648</v>
      </c>
      <c r="K28" s="36">
        <v>1</v>
      </c>
      <c r="L28" s="73">
        <f t="shared" si="0"/>
        <v>13184</v>
      </c>
      <c r="M28" s="73">
        <f t="shared" si="1"/>
        <v>8</v>
      </c>
    </row>
    <row r="29" spans="1:15">
      <c r="A29" s="27">
        <v>45840</v>
      </c>
      <c r="B29" s="74" t="s">
        <v>33</v>
      </c>
      <c r="C29" s="74"/>
      <c r="D29" s="74"/>
      <c r="E29" s="75"/>
      <c r="F29" s="73">
        <v>0</v>
      </c>
      <c r="G29" s="73">
        <v>17</v>
      </c>
      <c r="H29" s="73">
        <v>17</v>
      </c>
      <c r="I29" s="4">
        <v>15851</v>
      </c>
      <c r="J29" s="36">
        <v>0</v>
      </c>
      <c r="K29" s="36">
        <v>0</v>
      </c>
      <c r="L29" s="73">
        <f t="shared" si="0"/>
        <v>13184</v>
      </c>
      <c r="M29" s="73">
        <f t="shared" si="1"/>
        <v>8</v>
      </c>
    </row>
    <row r="30" spans="1:15">
      <c r="A30" s="27">
        <v>45841</v>
      </c>
      <c r="B30" s="74" t="s">
        <v>49</v>
      </c>
      <c r="C30" s="74"/>
      <c r="D30" s="74"/>
      <c r="E30" s="75"/>
      <c r="F30" s="73">
        <v>0</v>
      </c>
      <c r="G30" s="73">
        <v>1</v>
      </c>
      <c r="H30" s="73">
        <v>1</v>
      </c>
      <c r="I30" s="4">
        <v>15852</v>
      </c>
      <c r="J30" s="36">
        <v>0</v>
      </c>
      <c r="K30" s="36">
        <v>0</v>
      </c>
      <c r="L30" s="73">
        <f t="shared" si="0"/>
        <v>13184</v>
      </c>
      <c r="M30" s="73">
        <f t="shared" si="1"/>
        <v>8</v>
      </c>
    </row>
    <row r="31" spans="1:15">
      <c r="A31" s="27">
        <v>45841</v>
      </c>
      <c r="B31" s="74" t="s">
        <v>33</v>
      </c>
      <c r="C31" s="74"/>
      <c r="D31" s="74"/>
      <c r="E31" s="75"/>
      <c r="F31" s="73">
        <v>0</v>
      </c>
      <c r="G31" s="73">
        <v>17</v>
      </c>
      <c r="H31" s="73">
        <v>17</v>
      </c>
      <c r="I31" s="4">
        <v>15869</v>
      </c>
      <c r="J31" s="36">
        <v>0</v>
      </c>
      <c r="K31" s="36">
        <v>0</v>
      </c>
      <c r="L31" s="73">
        <f t="shared" si="0"/>
        <v>13184</v>
      </c>
      <c r="M31" s="73">
        <f t="shared" si="1"/>
        <v>8</v>
      </c>
    </row>
    <row r="32" spans="1:15">
      <c r="A32" s="27">
        <v>45842</v>
      </c>
      <c r="B32" s="74" t="s">
        <v>33</v>
      </c>
      <c r="C32" s="74"/>
      <c r="D32" s="74"/>
      <c r="E32" s="75"/>
      <c r="F32" s="73">
        <v>0</v>
      </c>
      <c r="G32" s="73">
        <v>9</v>
      </c>
      <c r="H32" s="73">
        <v>9</v>
      </c>
      <c r="I32" s="4">
        <v>15878</v>
      </c>
      <c r="J32" s="36">
        <v>0</v>
      </c>
      <c r="K32" s="36">
        <v>0</v>
      </c>
      <c r="L32" s="73">
        <f t="shared" si="0"/>
        <v>13184</v>
      </c>
      <c r="M32" s="73">
        <f t="shared" si="1"/>
        <v>8</v>
      </c>
    </row>
    <row r="33" spans="1:13">
      <c r="A33" s="27">
        <v>45843</v>
      </c>
      <c r="B33" s="74" t="s">
        <v>33</v>
      </c>
      <c r="C33" s="74"/>
      <c r="D33" s="74"/>
      <c r="E33" s="75"/>
      <c r="F33" s="73">
        <v>0</v>
      </c>
      <c r="G33" s="73">
        <v>9</v>
      </c>
      <c r="H33" s="73">
        <v>9</v>
      </c>
      <c r="I33" s="4">
        <v>15887</v>
      </c>
      <c r="J33" s="36">
        <v>0</v>
      </c>
      <c r="K33" s="36">
        <v>0</v>
      </c>
      <c r="L33" s="73">
        <f t="shared" si="0"/>
        <v>13184</v>
      </c>
      <c r="M33" s="73">
        <f t="shared" si="1"/>
        <v>8</v>
      </c>
    </row>
    <row r="34" spans="1:13">
      <c r="A34" s="27">
        <v>45844</v>
      </c>
      <c r="B34" s="74" t="s">
        <v>33</v>
      </c>
      <c r="C34" s="74"/>
      <c r="D34" s="74"/>
      <c r="E34" s="75"/>
      <c r="F34" s="73">
        <v>0</v>
      </c>
      <c r="G34" s="73">
        <v>40</v>
      </c>
      <c r="H34" s="73">
        <v>40</v>
      </c>
      <c r="I34" s="4">
        <v>15927</v>
      </c>
      <c r="J34" s="36">
        <v>0</v>
      </c>
      <c r="K34" s="36">
        <v>0</v>
      </c>
      <c r="L34" s="73">
        <f t="shared" si="0"/>
        <v>13184</v>
      </c>
      <c r="M34" s="73">
        <f t="shared" si="1"/>
        <v>8</v>
      </c>
    </row>
    <row r="35" spans="1:13">
      <c r="A35" s="27">
        <v>45845</v>
      </c>
      <c r="B35" s="74" t="s">
        <v>33</v>
      </c>
      <c r="C35" s="74"/>
      <c r="D35" s="74"/>
      <c r="E35" s="75"/>
      <c r="F35" s="73">
        <v>0</v>
      </c>
      <c r="G35" s="73">
        <v>8</v>
      </c>
      <c r="H35" s="73">
        <v>8</v>
      </c>
      <c r="I35" s="4">
        <v>15935</v>
      </c>
      <c r="J35" s="36">
        <v>0</v>
      </c>
      <c r="K35" s="36">
        <v>0</v>
      </c>
      <c r="L35" s="73">
        <f t="shared" si="0"/>
        <v>13184</v>
      </c>
      <c r="M35" s="73">
        <f t="shared" si="1"/>
        <v>8</v>
      </c>
    </row>
    <row r="36" spans="1:13">
      <c r="A36" s="27">
        <v>45846</v>
      </c>
      <c r="B36" s="74" t="s">
        <v>49</v>
      </c>
      <c r="C36" s="74"/>
      <c r="D36" s="74"/>
      <c r="E36" s="75"/>
      <c r="F36" s="73">
        <v>0</v>
      </c>
      <c r="G36" s="73">
        <v>1</v>
      </c>
      <c r="H36" s="73">
        <v>1</v>
      </c>
      <c r="I36" s="4">
        <v>15936</v>
      </c>
      <c r="J36" s="36">
        <v>0</v>
      </c>
      <c r="K36" s="36">
        <v>0</v>
      </c>
      <c r="L36" s="73">
        <f t="shared" si="0"/>
        <v>13184</v>
      </c>
      <c r="M36" s="73">
        <f t="shared" si="1"/>
        <v>8</v>
      </c>
    </row>
    <row r="37" spans="1:13">
      <c r="A37" s="27">
        <v>45846</v>
      </c>
      <c r="B37" s="74" t="s">
        <v>33</v>
      </c>
      <c r="C37" s="74"/>
      <c r="D37" s="74"/>
      <c r="E37" s="75"/>
      <c r="F37" s="73">
        <v>0</v>
      </c>
      <c r="G37" s="73">
        <v>8</v>
      </c>
      <c r="H37" s="73">
        <v>8</v>
      </c>
      <c r="I37" s="4">
        <v>15944</v>
      </c>
      <c r="J37" s="36">
        <v>0</v>
      </c>
      <c r="K37" s="36">
        <v>0</v>
      </c>
      <c r="L37" s="73">
        <f t="shared" si="0"/>
        <v>13184</v>
      </c>
      <c r="M37" s="73">
        <f t="shared" si="1"/>
        <v>8</v>
      </c>
    </row>
    <row r="38" spans="1:13">
      <c r="A38" s="27">
        <v>45847</v>
      </c>
      <c r="B38" s="74" t="s">
        <v>33</v>
      </c>
      <c r="C38" s="74"/>
      <c r="D38" s="74"/>
      <c r="E38" s="75"/>
      <c r="F38" s="73">
        <v>0</v>
      </c>
      <c r="G38" s="73">
        <v>8</v>
      </c>
      <c r="H38" s="73">
        <v>8</v>
      </c>
      <c r="I38" s="4">
        <v>15952</v>
      </c>
      <c r="J38" s="36">
        <v>0</v>
      </c>
      <c r="K38" s="36">
        <v>0</v>
      </c>
      <c r="L38" s="73">
        <f t="shared" si="0"/>
        <v>13184</v>
      </c>
      <c r="M38" s="73">
        <f t="shared" si="1"/>
        <v>8</v>
      </c>
    </row>
    <row r="39" spans="1:13">
      <c r="A39" s="27">
        <v>45848</v>
      </c>
      <c r="B39" s="74" t="s">
        <v>49</v>
      </c>
      <c r="C39" s="74"/>
      <c r="D39" s="74"/>
      <c r="E39" s="75"/>
      <c r="F39" s="73">
        <v>0</v>
      </c>
      <c r="G39" s="73">
        <v>1</v>
      </c>
      <c r="H39" s="73">
        <v>1</v>
      </c>
      <c r="I39" s="4">
        <v>15953</v>
      </c>
      <c r="J39" s="36">
        <v>0</v>
      </c>
      <c r="K39" s="36">
        <v>0</v>
      </c>
      <c r="L39" s="73">
        <f t="shared" si="0"/>
        <v>13184</v>
      </c>
      <c r="M39" s="73">
        <f t="shared" si="1"/>
        <v>8</v>
      </c>
    </row>
    <row r="40" spans="1:13">
      <c r="A40" s="27">
        <v>45848</v>
      </c>
      <c r="B40" s="74" t="s">
        <v>33</v>
      </c>
      <c r="C40" s="74"/>
      <c r="D40" s="74"/>
      <c r="E40" s="75"/>
      <c r="F40" s="73">
        <v>0</v>
      </c>
      <c r="G40" s="73">
        <v>7</v>
      </c>
      <c r="H40" s="73">
        <v>7</v>
      </c>
      <c r="I40" s="4">
        <v>15960</v>
      </c>
      <c r="J40" s="36">
        <v>0</v>
      </c>
      <c r="K40" s="36">
        <v>0</v>
      </c>
      <c r="L40" s="73">
        <f t="shared" si="0"/>
        <v>13184</v>
      </c>
      <c r="M40" s="73">
        <f t="shared" si="1"/>
        <v>8</v>
      </c>
    </row>
    <row r="41" spans="1:13">
      <c r="A41" s="27">
        <v>45849</v>
      </c>
      <c r="B41" s="74" t="s">
        <v>49</v>
      </c>
      <c r="C41" s="74"/>
      <c r="D41" s="74"/>
      <c r="E41" s="75"/>
      <c r="F41" s="73">
        <v>0</v>
      </c>
      <c r="G41" s="73">
        <v>1</v>
      </c>
      <c r="H41" s="73">
        <v>1</v>
      </c>
      <c r="I41" s="4">
        <v>15961</v>
      </c>
      <c r="J41" s="36">
        <v>0</v>
      </c>
      <c r="K41" s="36">
        <v>0</v>
      </c>
      <c r="L41" s="73">
        <f t="shared" si="0"/>
        <v>13184</v>
      </c>
      <c r="M41" s="73">
        <f t="shared" si="1"/>
        <v>8</v>
      </c>
    </row>
    <row r="42" spans="1:13">
      <c r="A42" s="27">
        <v>45849</v>
      </c>
      <c r="B42" s="74" t="s">
        <v>33</v>
      </c>
      <c r="C42" s="74"/>
      <c r="D42" s="74"/>
      <c r="E42" s="75"/>
      <c r="F42" s="73">
        <v>0</v>
      </c>
      <c r="G42" s="73">
        <v>9</v>
      </c>
      <c r="H42" s="73">
        <v>9</v>
      </c>
      <c r="I42" s="4">
        <v>15970</v>
      </c>
      <c r="J42" s="36">
        <v>0</v>
      </c>
      <c r="K42" s="36">
        <v>0</v>
      </c>
      <c r="L42" s="73">
        <f t="shared" si="0"/>
        <v>13184</v>
      </c>
      <c r="M42" s="73">
        <f t="shared" si="1"/>
        <v>8</v>
      </c>
    </row>
    <row r="43" spans="1:13">
      <c r="A43" s="27">
        <v>45850</v>
      </c>
      <c r="B43" s="74" t="s">
        <v>49</v>
      </c>
      <c r="C43" s="74"/>
      <c r="D43" s="74"/>
      <c r="E43" s="75"/>
      <c r="F43" s="73">
        <v>0</v>
      </c>
      <c r="G43" s="73">
        <v>1</v>
      </c>
      <c r="H43" s="73">
        <v>1</v>
      </c>
      <c r="I43" s="4">
        <v>15971</v>
      </c>
      <c r="J43" s="36">
        <v>0</v>
      </c>
      <c r="K43" s="36">
        <v>0</v>
      </c>
      <c r="L43" s="73">
        <f t="shared" si="0"/>
        <v>13184</v>
      </c>
      <c r="M43" s="73">
        <f t="shared" si="1"/>
        <v>8</v>
      </c>
    </row>
    <row r="44" spans="1:13">
      <c r="A44" s="27">
        <v>45850</v>
      </c>
      <c r="B44" s="74" t="s">
        <v>33</v>
      </c>
      <c r="C44" s="74"/>
      <c r="D44" s="74"/>
      <c r="E44" s="75"/>
      <c r="F44" s="73">
        <v>0</v>
      </c>
      <c r="G44" s="73">
        <v>8</v>
      </c>
      <c r="H44" s="73">
        <v>8</v>
      </c>
      <c r="I44" s="4">
        <v>15979</v>
      </c>
      <c r="J44" s="36">
        <v>0</v>
      </c>
      <c r="K44" s="36">
        <v>0</v>
      </c>
      <c r="L44" s="73">
        <f t="shared" si="0"/>
        <v>13184</v>
      </c>
      <c r="M44" s="73">
        <f t="shared" si="1"/>
        <v>8</v>
      </c>
    </row>
    <row r="45" spans="1:13">
      <c r="A45" s="27">
        <v>45851</v>
      </c>
      <c r="B45" s="74" t="s">
        <v>30</v>
      </c>
      <c r="C45" s="74"/>
      <c r="D45" s="74"/>
      <c r="E45" s="75"/>
      <c r="F45" s="73">
        <v>0</v>
      </c>
      <c r="G45" s="4">
        <v>2000</v>
      </c>
      <c r="H45" s="4">
        <v>2000</v>
      </c>
      <c r="I45" s="4">
        <v>17979</v>
      </c>
      <c r="J45" s="36">
        <v>0</v>
      </c>
      <c r="K45" s="36">
        <v>0</v>
      </c>
      <c r="L45" s="73">
        <f t="shared" si="0"/>
        <v>13184</v>
      </c>
      <c r="M45" s="73">
        <f t="shared" si="1"/>
        <v>8</v>
      </c>
    </row>
    <row r="46" spans="1:13">
      <c r="A46" s="27">
        <v>45851</v>
      </c>
      <c r="B46" s="74" t="s">
        <v>33</v>
      </c>
      <c r="C46" s="74"/>
      <c r="D46" s="74"/>
      <c r="E46" s="75"/>
      <c r="F46" s="73">
        <v>0</v>
      </c>
      <c r="G46" s="73">
        <v>37</v>
      </c>
      <c r="H46" s="73">
        <v>37</v>
      </c>
      <c r="I46" s="4">
        <v>18016</v>
      </c>
      <c r="J46" s="36">
        <v>0</v>
      </c>
      <c r="K46" s="36">
        <v>0</v>
      </c>
      <c r="L46" s="73">
        <f t="shared" si="0"/>
        <v>13184</v>
      </c>
      <c r="M46" s="73">
        <f t="shared" si="1"/>
        <v>8</v>
      </c>
    </row>
    <row r="47" spans="1:13">
      <c r="A47" s="27">
        <v>45852</v>
      </c>
      <c r="B47" s="74" t="s">
        <v>33</v>
      </c>
      <c r="C47" s="74"/>
      <c r="D47" s="74"/>
      <c r="E47" s="75"/>
      <c r="F47" s="73">
        <v>0</v>
      </c>
      <c r="G47" s="73">
        <v>8</v>
      </c>
      <c r="H47" s="73">
        <v>8</v>
      </c>
      <c r="I47" s="4">
        <v>18024</v>
      </c>
      <c r="J47" s="36">
        <v>0</v>
      </c>
      <c r="K47" s="36">
        <v>0</v>
      </c>
      <c r="L47" s="73">
        <f t="shared" si="0"/>
        <v>13184</v>
      </c>
      <c r="M47" s="73">
        <f t="shared" si="1"/>
        <v>8</v>
      </c>
    </row>
    <row r="48" spans="1:13">
      <c r="A48" s="27">
        <v>45853</v>
      </c>
      <c r="B48" s="74" t="s">
        <v>49</v>
      </c>
      <c r="C48" s="74"/>
      <c r="D48" s="74"/>
      <c r="E48" s="75"/>
      <c r="F48" s="73">
        <v>0</v>
      </c>
      <c r="G48" s="73">
        <v>1</v>
      </c>
      <c r="H48" s="73">
        <v>1</v>
      </c>
      <c r="I48" s="4">
        <v>18025</v>
      </c>
      <c r="J48" s="36">
        <v>0</v>
      </c>
      <c r="K48" s="36">
        <v>0</v>
      </c>
      <c r="L48" s="73">
        <f t="shared" si="0"/>
        <v>13184</v>
      </c>
      <c r="M48" s="73">
        <f t="shared" si="1"/>
        <v>8</v>
      </c>
    </row>
    <row r="49" spans="1:13">
      <c r="A49" s="27">
        <v>45853</v>
      </c>
      <c r="B49" s="74" t="s">
        <v>33</v>
      </c>
      <c r="C49" s="74"/>
      <c r="D49" s="74"/>
      <c r="E49" s="75"/>
      <c r="F49" s="73">
        <v>0</v>
      </c>
      <c r="G49" s="73">
        <v>8</v>
      </c>
      <c r="H49" s="73">
        <v>8</v>
      </c>
      <c r="I49" s="4">
        <v>18033</v>
      </c>
      <c r="J49" s="36">
        <v>0</v>
      </c>
      <c r="K49" s="36">
        <v>0</v>
      </c>
      <c r="L49" s="73">
        <f t="shared" si="0"/>
        <v>13184</v>
      </c>
      <c r="M49" s="73">
        <f t="shared" si="1"/>
        <v>8</v>
      </c>
    </row>
    <row r="50" spans="1:13">
      <c r="A50" s="27">
        <v>45854</v>
      </c>
      <c r="B50" s="74" t="s">
        <v>33</v>
      </c>
      <c r="C50" s="74"/>
      <c r="D50" s="74"/>
      <c r="E50" s="75"/>
      <c r="F50" s="73">
        <v>0</v>
      </c>
      <c r="G50" s="73">
        <v>6</v>
      </c>
      <c r="H50" s="73">
        <v>6</v>
      </c>
      <c r="I50" s="4">
        <v>18039</v>
      </c>
      <c r="J50" s="36">
        <v>0</v>
      </c>
      <c r="K50" s="36">
        <v>0</v>
      </c>
      <c r="L50" s="73">
        <f t="shared" si="0"/>
        <v>13184</v>
      </c>
      <c r="M50" s="73">
        <f t="shared" si="1"/>
        <v>8</v>
      </c>
    </row>
    <row r="51" spans="1:13">
      <c r="A51" s="27">
        <v>45855</v>
      </c>
      <c r="B51" s="74" t="s">
        <v>33</v>
      </c>
      <c r="C51" s="74"/>
      <c r="D51" s="74"/>
      <c r="E51" s="75"/>
      <c r="F51" s="73">
        <v>0</v>
      </c>
      <c r="G51" s="73">
        <v>7</v>
      </c>
      <c r="H51" s="73">
        <v>7</v>
      </c>
      <c r="I51" s="4">
        <v>18046</v>
      </c>
      <c r="J51" s="36">
        <v>0</v>
      </c>
      <c r="K51" s="36">
        <v>0</v>
      </c>
      <c r="L51" s="73">
        <f t="shared" si="0"/>
        <v>13184</v>
      </c>
      <c r="M51" s="73">
        <f t="shared" si="1"/>
        <v>8</v>
      </c>
    </row>
    <row r="52" spans="1:13">
      <c r="A52" s="27">
        <v>45856</v>
      </c>
      <c r="B52" s="74" t="s">
        <v>33</v>
      </c>
      <c r="C52" s="74"/>
      <c r="D52" s="74"/>
      <c r="E52" s="75"/>
      <c r="F52" s="73">
        <v>0</v>
      </c>
      <c r="G52" s="73">
        <v>10</v>
      </c>
      <c r="H52" s="73">
        <v>10</v>
      </c>
      <c r="I52" s="4">
        <v>18056</v>
      </c>
      <c r="J52" s="36">
        <v>0</v>
      </c>
      <c r="K52" s="36">
        <v>0</v>
      </c>
      <c r="L52" s="73">
        <f t="shared" si="0"/>
        <v>13184</v>
      </c>
      <c r="M52" s="73">
        <f t="shared" si="1"/>
        <v>8</v>
      </c>
    </row>
    <row r="53" spans="1:13">
      <c r="A53" s="27">
        <v>45857</v>
      </c>
      <c r="B53" s="74" t="s">
        <v>33</v>
      </c>
      <c r="C53" s="74"/>
      <c r="D53" s="74"/>
      <c r="E53" s="75"/>
      <c r="F53" s="73">
        <v>0</v>
      </c>
      <c r="G53" s="73">
        <v>7</v>
      </c>
      <c r="H53" s="73">
        <v>7</v>
      </c>
      <c r="I53" s="4">
        <v>18063</v>
      </c>
      <c r="J53" s="36">
        <v>0</v>
      </c>
      <c r="K53" s="36">
        <v>0</v>
      </c>
      <c r="L53" s="73">
        <f t="shared" si="0"/>
        <v>13184</v>
      </c>
      <c r="M53" s="73">
        <f t="shared" si="1"/>
        <v>8</v>
      </c>
    </row>
    <row r="54" spans="1:13">
      <c r="A54" s="27">
        <v>45858</v>
      </c>
      <c r="B54" s="74" t="s">
        <v>33</v>
      </c>
      <c r="C54" s="74"/>
      <c r="D54" s="74"/>
      <c r="E54" s="75"/>
      <c r="F54" s="73">
        <v>0</v>
      </c>
      <c r="G54" s="73">
        <v>28</v>
      </c>
      <c r="H54" s="73">
        <v>28</v>
      </c>
      <c r="I54" s="4">
        <v>18091</v>
      </c>
      <c r="J54" s="36">
        <v>0</v>
      </c>
      <c r="K54" s="36">
        <v>0</v>
      </c>
      <c r="L54" s="73">
        <f t="shared" si="0"/>
        <v>13184</v>
      </c>
      <c r="M54" s="73">
        <f t="shared" si="1"/>
        <v>8</v>
      </c>
    </row>
    <row r="55" spans="1:13">
      <c r="A55" s="27">
        <v>45859</v>
      </c>
      <c r="B55" s="74" t="s">
        <v>33</v>
      </c>
      <c r="C55" s="74"/>
      <c r="D55" s="74"/>
      <c r="E55" s="75"/>
      <c r="F55" s="73">
        <v>0</v>
      </c>
      <c r="G55" s="73">
        <v>12</v>
      </c>
      <c r="H55" s="73">
        <v>12</v>
      </c>
      <c r="I55" s="4">
        <v>18103</v>
      </c>
      <c r="J55" s="36">
        <v>0</v>
      </c>
      <c r="K55" s="36">
        <v>0</v>
      </c>
      <c r="L55" s="73">
        <f t="shared" si="0"/>
        <v>13184</v>
      </c>
      <c r="M55" s="73">
        <f t="shared" si="1"/>
        <v>8</v>
      </c>
    </row>
    <row r="56" spans="1:13">
      <c r="A56" s="27">
        <v>45860</v>
      </c>
      <c r="B56" s="1" t="s">
        <v>41</v>
      </c>
      <c r="C56" s="1" t="s">
        <v>13</v>
      </c>
      <c r="D56" s="1" t="s">
        <v>42</v>
      </c>
      <c r="E56" s="1" t="s">
        <v>50</v>
      </c>
      <c r="F56" s="73">
        <v>425</v>
      </c>
      <c r="G56" s="28">
        <v>106</v>
      </c>
      <c r="H56" s="73">
        <v>531</v>
      </c>
      <c r="I56" s="4">
        <v>18634</v>
      </c>
      <c r="J56" s="36">
        <v>1050</v>
      </c>
      <c r="K56" s="36">
        <v>1</v>
      </c>
      <c r="L56" s="73">
        <f t="shared" si="0"/>
        <v>14234</v>
      </c>
      <c r="M56" s="73">
        <f t="shared" si="1"/>
        <v>9</v>
      </c>
    </row>
    <row r="57" spans="1:13">
      <c r="A57" s="27">
        <v>45860</v>
      </c>
      <c r="B57" s="74" t="s">
        <v>33</v>
      </c>
      <c r="C57" s="74"/>
      <c r="D57" s="74"/>
      <c r="E57" s="75"/>
      <c r="F57" s="73">
        <v>0</v>
      </c>
      <c r="G57" s="73">
        <v>56</v>
      </c>
      <c r="H57" s="73">
        <v>56</v>
      </c>
      <c r="I57" s="4">
        <v>18690</v>
      </c>
      <c r="J57" s="36">
        <v>0</v>
      </c>
      <c r="K57" s="36">
        <v>0</v>
      </c>
      <c r="L57" s="73">
        <f t="shared" si="0"/>
        <v>14234</v>
      </c>
      <c r="M57" s="73">
        <f t="shared" si="1"/>
        <v>9</v>
      </c>
    </row>
    <row r="58" spans="1:13">
      <c r="A58" s="27">
        <v>45860</v>
      </c>
      <c r="B58" s="74" t="s">
        <v>28</v>
      </c>
      <c r="C58" s="74"/>
      <c r="D58" s="74"/>
      <c r="E58" s="75"/>
      <c r="F58" s="73">
        <v>0</v>
      </c>
      <c r="G58" s="4">
        <v>5000</v>
      </c>
      <c r="H58" s="4">
        <v>5000</v>
      </c>
      <c r="I58" s="4">
        <v>23690</v>
      </c>
      <c r="J58" s="36">
        <v>0</v>
      </c>
      <c r="K58" s="36">
        <v>0</v>
      </c>
      <c r="L58" s="73">
        <f t="shared" si="0"/>
        <v>14234</v>
      </c>
      <c r="M58" s="73">
        <f t="shared" si="1"/>
        <v>9</v>
      </c>
    </row>
    <row r="59" spans="1:13">
      <c r="A59" s="27">
        <v>45861</v>
      </c>
      <c r="B59" s="74" t="s">
        <v>33</v>
      </c>
      <c r="C59" s="74"/>
      <c r="D59" s="74"/>
      <c r="E59" s="75"/>
      <c r="F59" s="73">
        <v>0</v>
      </c>
      <c r="G59" s="73">
        <v>113</v>
      </c>
      <c r="H59" s="73">
        <v>113</v>
      </c>
      <c r="I59" s="4">
        <v>23803</v>
      </c>
      <c r="J59" s="36">
        <v>0</v>
      </c>
      <c r="K59" s="36">
        <v>0</v>
      </c>
      <c r="L59" s="73">
        <f t="shared" si="0"/>
        <v>14234</v>
      </c>
      <c r="M59" s="73">
        <f t="shared" si="1"/>
        <v>9</v>
      </c>
    </row>
    <row r="60" spans="1:13">
      <c r="A60" s="27">
        <v>45862</v>
      </c>
      <c r="B60" s="74" t="s">
        <v>33</v>
      </c>
      <c r="C60" s="74"/>
      <c r="D60" s="74"/>
      <c r="E60" s="75"/>
      <c r="F60" s="73">
        <v>0</v>
      </c>
      <c r="G60" s="73">
        <v>9</v>
      </c>
      <c r="H60" s="73">
        <v>9</v>
      </c>
      <c r="I60" s="4">
        <v>23812</v>
      </c>
      <c r="J60" s="36">
        <v>0</v>
      </c>
      <c r="K60" s="36">
        <v>0</v>
      </c>
      <c r="L60" s="73">
        <f t="shared" si="0"/>
        <v>14234</v>
      </c>
      <c r="M60" s="73">
        <f t="shared" si="1"/>
        <v>9</v>
      </c>
    </row>
    <row r="61" spans="1:13">
      <c r="A61" s="27">
        <v>45863</v>
      </c>
      <c r="B61" s="74" t="s">
        <v>33</v>
      </c>
      <c r="C61" s="74"/>
      <c r="D61" s="74"/>
      <c r="E61" s="75"/>
      <c r="F61" s="73">
        <v>0</v>
      </c>
      <c r="G61" s="73">
        <v>9</v>
      </c>
      <c r="H61" s="73">
        <v>9</v>
      </c>
      <c r="I61" s="4">
        <v>23821</v>
      </c>
      <c r="J61" s="36">
        <v>0</v>
      </c>
      <c r="K61" s="36">
        <v>0</v>
      </c>
      <c r="L61" s="73">
        <f t="shared" si="0"/>
        <v>14234</v>
      </c>
      <c r="M61" s="73">
        <f t="shared" si="1"/>
        <v>9</v>
      </c>
    </row>
    <row r="62" spans="1:13">
      <c r="A62" s="27">
        <v>45864</v>
      </c>
      <c r="B62" s="74" t="s">
        <v>49</v>
      </c>
      <c r="C62" s="74"/>
      <c r="D62" s="74"/>
      <c r="E62" s="75"/>
      <c r="F62" s="73">
        <v>0</v>
      </c>
      <c r="G62" s="73">
        <v>1</v>
      </c>
      <c r="H62" s="73">
        <v>1</v>
      </c>
      <c r="I62" s="4">
        <v>23822</v>
      </c>
      <c r="J62" s="36">
        <v>0</v>
      </c>
      <c r="K62" s="36">
        <v>0</v>
      </c>
      <c r="L62" s="73">
        <f t="shared" si="0"/>
        <v>14234</v>
      </c>
      <c r="M62" s="73">
        <f t="shared" si="1"/>
        <v>9</v>
      </c>
    </row>
    <row r="63" spans="1:13">
      <c r="A63" s="27">
        <v>45864</v>
      </c>
      <c r="B63" s="74" t="s">
        <v>33</v>
      </c>
      <c r="C63" s="74"/>
      <c r="D63" s="74"/>
      <c r="E63" s="75"/>
      <c r="F63" s="73">
        <v>0</v>
      </c>
      <c r="G63" s="73">
        <v>5</v>
      </c>
      <c r="H63" s="73">
        <v>5</v>
      </c>
      <c r="I63" s="4">
        <v>23827</v>
      </c>
      <c r="J63" s="36">
        <v>0</v>
      </c>
      <c r="K63" s="36">
        <v>0</v>
      </c>
      <c r="L63" s="73">
        <f t="shared" si="0"/>
        <v>14234</v>
      </c>
      <c r="M63" s="73">
        <f t="shared" si="1"/>
        <v>9</v>
      </c>
    </row>
    <row r="64" spans="1:13">
      <c r="A64" s="27">
        <v>45865</v>
      </c>
      <c r="B64" s="1" t="s">
        <v>51</v>
      </c>
      <c r="C64" s="1" t="s">
        <v>24</v>
      </c>
      <c r="D64" s="1" t="s">
        <v>42</v>
      </c>
      <c r="E64" s="1" t="s">
        <v>50</v>
      </c>
      <c r="F64" s="73">
        <v>425</v>
      </c>
      <c r="G64" s="28">
        <v>106</v>
      </c>
      <c r="H64" s="73">
        <v>531</v>
      </c>
      <c r="I64" s="4">
        <v>24358</v>
      </c>
      <c r="J64" s="36">
        <v>1050</v>
      </c>
      <c r="K64" s="36">
        <v>1</v>
      </c>
      <c r="L64" s="73">
        <f t="shared" si="0"/>
        <v>15284</v>
      </c>
      <c r="M64" s="73">
        <f t="shared" si="1"/>
        <v>10</v>
      </c>
    </row>
    <row r="65" spans="1:13">
      <c r="A65" s="27">
        <v>45865</v>
      </c>
      <c r="B65" s="74" t="s">
        <v>33</v>
      </c>
      <c r="C65" s="74"/>
      <c r="D65" s="74"/>
      <c r="E65" s="75"/>
      <c r="F65" s="73">
        <v>0</v>
      </c>
      <c r="G65" s="73">
        <v>29</v>
      </c>
      <c r="H65" s="73">
        <v>29</v>
      </c>
      <c r="I65" s="4">
        <v>24387</v>
      </c>
      <c r="J65" s="36">
        <v>0</v>
      </c>
      <c r="K65" s="36">
        <v>0</v>
      </c>
      <c r="L65" s="73">
        <f t="shared" si="0"/>
        <v>15284</v>
      </c>
      <c r="M65" s="73">
        <f t="shared" si="1"/>
        <v>10</v>
      </c>
    </row>
    <row r="66" spans="1:13">
      <c r="A66" s="27">
        <v>45866</v>
      </c>
      <c r="B66" s="74" t="s">
        <v>33</v>
      </c>
      <c r="C66" s="74"/>
      <c r="D66" s="74"/>
      <c r="E66" s="75"/>
      <c r="F66" s="73">
        <v>0</v>
      </c>
      <c r="G66" s="73">
        <v>9</v>
      </c>
      <c r="H66" s="73">
        <v>9</v>
      </c>
      <c r="I66" s="4">
        <v>24396</v>
      </c>
      <c r="J66" s="36">
        <v>0</v>
      </c>
      <c r="K66" s="36">
        <v>0</v>
      </c>
      <c r="L66" s="73">
        <f t="shared" si="0"/>
        <v>15284</v>
      </c>
      <c r="M66" s="73">
        <f t="shared" si="1"/>
        <v>10</v>
      </c>
    </row>
    <row r="67" spans="1:13">
      <c r="A67" s="27">
        <v>45867</v>
      </c>
      <c r="B67" s="74" t="s">
        <v>49</v>
      </c>
      <c r="C67" s="74"/>
      <c r="D67" s="74"/>
      <c r="E67" s="75"/>
      <c r="F67" s="73">
        <v>0</v>
      </c>
      <c r="G67" s="73">
        <v>1</v>
      </c>
      <c r="H67" s="73">
        <v>1</v>
      </c>
      <c r="I67" s="4">
        <v>24397</v>
      </c>
      <c r="J67" s="36">
        <v>0</v>
      </c>
      <c r="K67" s="36">
        <v>0</v>
      </c>
      <c r="L67" s="73">
        <f t="shared" si="0"/>
        <v>15284</v>
      </c>
      <c r="M67" s="73">
        <f t="shared" si="1"/>
        <v>10</v>
      </c>
    </row>
    <row r="68" spans="1:13">
      <c r="A68" s="27">
        <v>45867</v>
      </c>
      <c r="B68" s="74" t="s">
        <v>33</v>
      </c>
      <c r="C68" s="74"/>
      <c r="D68" s="74"/>
      <c r="E68" s="75"/>
      <c r="F68" s="73">
        <v>0</v>
      </c>
      <c r="G68" s="73">
        <v>10</v>
      </c>
      <c r="H68" s="73">
        <v>10</v>
      </c>
      <c r="I68" s="4">
        <v>24407</v>
      </c>
      <c r="J68" s="36">
        <v>0</v>
      </c>
      <c r="K68" s="36">
        <v>0</v>
      </c>
      <c r="L68" s="73">
        <f t="shared" si="0"/>
        <v>15284</v>
      </c>
      <c r="M68" s="73">
        <f t="shared" si="1"/>
        <v>10</v>
      </c>
    </row>
    <row r="69" spans="1:13">
      <c r="A69" s="27">
        <v>45868</v>
      </c>
      <c r="B69" s="74" t="s">
        <v>49</v>
      </c>
      <c r="C69" s="74"/>
      <c r="D69" s="74"/>
      <c r="E69" s="75"/>
      <c r="F69" s="73">
        <v>0</v>
      </c>
      <c r="G69" s="73">
        <v>1</v>
      </c>
      <c r="H69" s="73">
        <v>1</v>
      </c>
      <c r="I69" s="4">
        <v>24408</v>
      </c>
      <c r="J69" s="36">
        <v>0</v>
      </c>
      <c r="K69" s="36">
        <v>0</v>
      </c>
      <c r="L69" s="73">
        <f t="shared" ref="L69:L123" si="2">J69+L68</f>
        <v>15284</v>
      </c>
      <c r="M69" s="73">
        <f t="shared" ref="M69:M123" si="3">K69+M68</f>
        <v>10</v>
      </c>
    </row>
    <row r="70" spans="1:13">
      <c r="A70" s="27">
        <v>45868</v>
      </c>
      <c r="B70" s="74" t="s">
        <v>33</v>
      </c>
      <c r="C70" s="74"/>
      <c r="D70" s="74"/>
      <c r="E70" s="75"/>
      <c r="F70" s="73">
        <v>0</v>
      </c>
      <c r="G70" s="73">
        <v>13</v>
      </c>
      <c r="H70" s="73">
        <v>13</v>
      </c>
      <c r="I70" s="4">
        <v>24421</v>
      </c>
      <c r="J70" s="36">
        <v>0</v>
      </c>
      <c r="K70" s="36">
        <v>0</v>
      </c>
      <c r="L70" s="73">
        <f t="shared" si="2"/>
        <v>15284</v>
      </c>
      <c r="M70" s="73">
        <f t="shared" si="3"/>
        <v>10</v>
      </c>
    </row>
    <row r="71" spans="1:13">
      <c r="A71" s="27">
        <v>45869</v>
      </c>
      <c r="B71" s="74" t="s">
        <v>33</v>
      </c>
      <c r="C71" s="74"/>
      <c r="D71" s="74"/>
      <c r="E71" s="75"/>
      <c r="F71" s="73">
        <v>0</v>
      </c>
      <c r="G71" s="73">
        <v>8</v>
      </c>
      <c r="H71" s="73">
        <v>8</v>
      </c>
      <c r="I71" s="4">
        <v>24429</v>
      </c>
      <c r="J71" s="36">
        <v>0</v>
      </c>
      <c r="K71" s="36">
        <v>0</v>
      </c>
      <c r="L71" s="73">
        <f t="shared" si="2"/>
        <v>15284</v>
      </c>
      <c r="M71" s="73">
        <f t="shared" si="3"/>
        <v>10</v>
      </c>
    </row>
    <row r="72" spans="1:13">
      <c r="A72" s="27">
        <v>45870</v>
      </c>
      <c r="B72" s="74" t="s">
        <v>33</v>
      </c>
      <c r="C72" s="74"/>
      <c r="D72" s="74"/>
      <c r="E72" s="75"/>
      <c r="F72" s="73">
        <v>0</v>
      </c>
      <c r="G72" s="73">
        <v>18</v>
      </c>
      <c r="H72" s="73">
        <v>18</v>
      </c>
      <c r="I72" s="4">
        <v>24447</v>
      </c>
      <c r="J72" s="36">
        <v>0</v>
      </c>
      <c r="K72" s="36">
        <v>0</v>
      </c>
      <c r="L72" s="73">
        <f t="shared" si="2"/>
        <v>15284</v>
      </c>
      <c r="M72" s="73">
        <f t="shared" si="3"/>
        <v>10</v>
      </c>
    </row>
    <row r="73" spans="1:13">
      <c r="A73" s="27">
        <v>45871</v>
      </c>
      <c r="B73" s="1" t="s">
        <v>52</v>
      </c>
      <c r="C73" s="1" t="s">
        <v>53</v>
      </c>
      <c r="D73" s="1" t="s">
        <v>42</v>
      </c>
      <c r="E73" s="1" t="s">
        <v>50</v>
      </c>
      <c r="F73" s="73">
        <v>158</v>
      </c>
      <c r="G73" s="28">
        <v>40</v>
      </c>
      <c r="H73" s="73">
        <v>198</v>
      </c>
      <c r="I73" s="4">
        <v>24645</v>
      </c>
      <c r="J73" s="36">
        <v>516</v>
      </c>
      <c r="K73" s="36">
        <v>1</v>
      </c>
      <c r="L73" s="73">
        <f t="shared" si="2"/>
        <v>15800</v>
      </c>
      <c r="M73" s="73">
        <f t="shared" si="3"/>
        <v>11</v>
      </c>
    </row>
    <row r="74" spans="1:13">
      <c r="A74" s="27">
        <v>45871</v>
      </c>
      <c r="B74" s="74" t="s">
        <v>33</v>
      </c>
      <c r="C74" s="74"/>
      <c r="D74" s="74"/>
      <c r="E74" s="75"/>
      <c r="F74" s="73">
        <v>0</v>
      </c>
      <c r="G74" s="73">
        <v>9</v>
      </c>
      <c r="H74" s="73">
        <v>9</v>
      </c>
      <c r="I74" s="4">
        <v>24654</v>
      </c>
      <c r="J74" s="36">
        <v>0</v>
      </c>
      <c r="K74" s="36">
        <v>0</v>
      </c>
      <c r="L74" s="73">
        <f t="shared" si="2"/>
        <v>15800</v>
      </c>
      <c r="M74" s="73">
        <f t="shared" si="3"/>
        <v>11</v>
      </c>
    </row>
    <row r="75" spans="1:13">
      <c r="A75" s="27">
        <v>45872</v>
      </c>
      <c r="B75" s="1" t="s">
        <v>54</v>
      </c>
      <c r="C75" s="1" t="s">
        <v>55</v>
      </c>
      <c r="D75" s="1" t="s">
        <v>42</v>
      </c>
      <c r="E75" s="1" t="s">
        <v>50</v>
      </c>
      <c r="F75" s="73">
        <v>158</v>
      </c>
      <c r="G75" s="28">
        <v>40</v>
      </c>
      <c r="H75" s="73">
        <v>198</v>
      </c>
      <c r="I75" s="4">
        <v>24852</v>
      </c>
      <c r="J75" s="36">
        <v>516</v>
      </c>
      <c r="K75" s="36">
        <v>1</v>
      </c>
      <c r="L75" s="73">
        <f t="shared" si="2"/>
        <v>16316</v>
      </c>
      <c r="M75" s="73">
        <f t="shared" si="3"/>
        <v>12</v>
      </c>
    </row>
    <row r="76" spans="1:13">
      <c r="A76" s="27">
        <v>45872</v>
      </c>
      <c r="B76" s="74" t="s">
        <v>33</v>
      </c>
      <c r="C76" s="74"/>
      <c r="D76" s="74"/>
      <c r="E76" s="75"/>
      <c r="F76" s="73">
        <v>0</v>
      </c>
      <c r="G76" s="73">
        <v>70</v>
      </c>
      <c r="H76" s="73">
        <v>70</v>
      </c>
      <c r="I76" s="4">
        <v>24922</v>
      </c>
      <c r="J76" s="36">
        <v>0</v>
      </c>
      <c r="K76" s="36">
        <v>0</v>
      </c>
      <c r="L76" s="73">
        <f t="shared" si="2"/>
        <v>16316</v>
      </c>
      <c r="M76" s="73">
        <f t="shared" si="3"/>
        <v>12</v>
      </c>
    </row>
    <row r="77" spans="1:13">
      <c r="A77" s="27">
        <v>45873</v>
      </c>
      <c r="B77" s="74" t="s">
        <v>33</v>
      </c>
      <c r="C77" s="74"/>
      <c r="D77" s="74"/>
      <c r="E77" s="75"/>
      <c r="F77" s="73">
        <v>0</v>
      </c>
      <c r="G77" s="73">
        <v>49</v>
      </c>
      <c r="H77" s="73">
        <v>49</v>
      </c>
      <c r="I77" s="4">
        <v>24971</v>
      </c>
      <c r="J77" s="36">
        <v>0</v>
      </c>
      <c r="K77" s="36">
        <v>0</v>
      </c>
      <c r="L77" s="73">
        <f t="shared" si="2"/>
        <v>16316</v>
      </c>
      <c r="M77" s="73">
        <f t="shared" si="3"/>
        <v>12</v>
      </c>
    </row>
    <row r="78" spans="1:13">
      <c r="A78" s="27">
        <v>45874</v>
      </c>
      <c r="B78" s="74" t="s">
        <v>33</v>
      </c>
      <c r="C78" s="74"/>
      <c r="D78" s="74"/>
      <c r="E78" s="75"/>
      <c r="F78" s="73">
        <v>0</v>
      </c>
      <c r="G78" s="73">
        <v>6</v>
      </c>
      <c r="H78" s="73">
        <v>6</v>
      </c>
      <c r="I78" s="4">
        <v>24977</v>
      </c>
      <c r="J78" s="36">
        <v>0</v>
      </c>
      <c r="K78" s="36">
        <v>0</v>
      </c>
      <c r="L78" s="73">
        <f t="shared" si="2"/>
        <v>16316</v>
      </c>
      <c r="M78" s="73">
        <f t="shared" si="3"/>
        <v>12</v>
      </c>
    </row>
    <row r="79" spans="1:13">
      <c r="A79" s="27">
        <v>45875</v>
      </c>
      <c r="B79" s="1" t="s">
        <v>56</v>
      </c>
      <c r="C79" s="1" t="s">
        <v>57</v>
      </c>
      <c r="D79" s="1" t="s">
        <v>42</v>
      </c>
      <c r="E79" s="1" t="s">
        <v>43</v>
      </c>
      <c r="F79" s="73">
        <v>308</v>
      </c>
      <c r="G79" s="28">
        <v>77</v>
      </c>
      <c r="H79" s="73">
        <v>385</v>
      </c>
      <c r="I79" s="4">
        <v>25362</v>
      </c>
      <c r="J79" s="36">
        <v>1016</v>
      </c>
      <c r="K79" s="36">
        <v>1</v>
      </c>
      <c r="L79" s="73">
        <f t="shared" si="2"/>
        <v>17332</v>
      </c>
      <c r="M79" s="73">
        <f t="shared" si="3"/>
        <v>13</v>
      </c>
    </row>
    <row r="80" spans="1:13">
      <c r="A80" s="27">
        <v>45875</v>
      </c>
      <c r="B80" s="1" t="s">
        <v>58</v>
      </c>
      <c r="C80" s="1" t="s">
        <v>59</v>
      </c>
      <c r="D80" s="1" t="s">
        <v>42</v>
      </c>
      <c r="E80" s="1" t="s">
        <v>43</v>
      </c>
      <c r="F80" s="73">
        <v>308</v>
      </c>
      <c r="G80" s="28">
        <v>77</v>
      </c>
      <c r="H80" s="73">
        <v>385</v>
      </c>
      <c r="I80" s="4">
        <v>25747</v>
      </c>
      <c r="J80" s="36">
        <v>1016</v>
      </c>
      <c r="K80" s="36">
        <v>1</v>
      </c>
      <c r="L80" s="73">
        <f t="shared" si="2"/>
        <v>18348</v>
      </c>
      <c r="M80" s="73">
        <f t="shared" si="3"/>
        <v>14</v>
      </c>
    </row>
    <row r="81" spans="1:13">
      <c r="A81" s="27">
        <v>45875</v>
      </c>
      <c r="B81" s="74" t="s">
        <v>33</v>
      </c>
      <c r="C81" s="74"/>
      <c r="D81" s="74"/>
      <c r="E81" s="75"/>
      <c r="F81" s="73">
        <v>0</v>
      </c>
      <c r="G81" s="73">
        <v>10</v>
      </c>
      <c r="H81" s="73">
        <v>10</v>
      </c>
      <c r="I81" s="4">
        <v>25757</v>
      </c>
      <c r="J81" s="36">
        <v>0</v>
      </c>
      <c r="K81" s="36">
        <v>0</v>
      </c>
      <c r="L81" s="73">
        <f t="shared" si="2"/>
        <v>18348</v>
      </c>
      <c r="M81" s="73">
        <f t="shared" si="3"/>
        <v>14</v>
      </c>
    </row>
    <row r="82" spans="1:13">
      <c r="A82" s="27">
        <v>45876</v>
      </c>
      <c r="B82" s="74" t="s">
        <v>33</v>
      </c>
      <c r="C82" s="74"/>
      <c r="D82" s="74"/>
      <c r="E82" s="75"/>
      <c r="F82" s="73">
        <v>0</v>
      </c>
      <c r="G82" s="73">
        <v>106</v>
      </c>
      <c r="H82" s="73">
        <v>106</v>
      </c>
      <c r="I82" s="4">
        <v>25863</v>
      </c>
      <c r="J82" s="36">
        <v>0</v>
      </c>
      <c r="K82" s="36">
        <v>0</v>
      </c>
      <c r="L82" s="73">
        <f t="shared" si="2"/>
        <v>18348</v>
      </c>
      <c r="M82" s="73">
        <f t="shared" si="3"/>
        <v>14</v>
      </c>
    </row>
    <row r="83" spans="1:13">
      <c r="A83" s="29">
        <v>45877</v>
      </c>
      <c r="B83" s="76" t="s">
        <v>33</v>
      </c>
      <c r="C83" s="76"/>
      <c r="D83" s="76"/>
      <c r="E83" s="77"/>
      <c r="F83" s="72">
        <v>0</v>
      </c>
      <c r="G83" s="72">
        <v>6</v>
      </c>
      <c r="H83" s="72">
        <v>6</v>
      </c>
      <c r="I83" s="30">
        <v>25869</v>
      </c>
      <c r="J83" s="40">
        <v>0</v>
      </c>
      <c r="K83" s="40">
        <v>0</v>
      </c>
      <c r="L83" s="73">
        <f t="shared" si="2"/>
        <v>18348</v>
      </c>
      <c r="M83" s="73">
        <f t="shared" si="3"/>
        <v>14</v>
      </c>
    </row>
    <row r="84" spans="1:13">
      <c r="A84" s="27">
        <v>45878</v>
      </c>
      <c r="B84" s="74" t="s">
        <v>33</v>
      </c>
      <c r="C84" s="74"/>
      <c r="D84" s="74"/>
      <c r="E84" s="75"/>
      <c r="F84" s="73">
        <v>0</v>
      </c>
      <c r="G84" s="73">
        <v>8</v>
      </c>
      <c r="H84" s="73">
        <v>8</v>
      </c>
      <c r="I84" s="4">
        <v>25878</v>
      </c>
      <c r="J84" s="73">
        <v>0</v>
      </c>
      <c r="K84" s="73">
        <v>0</v>
      </c>
      <c r="L84" s="73">
        <f t="shared" si="2"/>
        <v>18348</v>
      </c>
      <c r="M84" s="73">
        <f t="shared" si="3"/>
        <v>14</v>
      </c>
    </row>
    <row r="85" spans="1:13">
      <c r="A85" s="27">
        <v>45879</v>
      </c>
      <c r="B85" s="74" t="s">
        <v>49</v>
      </c>
      <c r="C85" s="74"/>
      <c r="D85" s="74"/>
      <c r="E85" s="75"/>
      <c r="F85" s="73">
        <v>0</v>
      </c>
      <c r="G85" s="73">
        <v>1</v>
      </c>
      <c r="H85" s="73">
        <v>1</v>
      </c>
      <c r="I85" s="4">
        <v>25879</v>
      </c>
      <c r="J85" s="73">
        <v>0</v>
      </c>
      <c r="K85" s="73">
        <v>0</v>
      </c>
      <c r="L85" s="73">
        <f t="shared" si="2"/>
        <v>18348</v>
      </c>
      <c r="M85" s="73">
        <f t="shared" si="3"/>
        <v>14</v>
      </c>
    </row>
    <row r="86" spans="1:13">
      <c r="A86" s="27">
        <v>45879</v>
      </c>
      <c r="B86" s="74" t="s">
        <v>33</v>
      </c>
      <c r="C86" s="74"/>
      <c r="D86" s="74"/>
      <c r="E86" s="75"/>
      <c r="F86" s="73">
        <v>0</v>
      </c>
      <c r="G86" s="73">
        <v>21</v>
      </c>
      <c r="H86" s="73">
        <v>21</v>
      </c>
      <c r="I86" s="4">
        <v>25900</v>
      </c>
      <c r="J86" s="73">
        <v>0</v>
      </c>
      <c r="K86" s="73">
        <v>0</v>
      </c>
      <c r="L86" s="73">
        <f t="shared" si="2"/>
        <v>18348</v>
      </c>
      <c r="M86" s="73">
        <f t="shared" si="3"/>
        <v>14</v>
      </c>
    </row>
    <row r="87" spans="1:13">
      <c r="A87" s="27">
        <v>45880</v>
      </c>
      <c r="B87" s="74" t="s">
        <v>33</v>
      </c>
      <c r="C87" s="74"/>
      <c r="D87" s="74"/>
      <c r="E87" s="75"/>
      <c r="F87" s="73">
        <v>0</v>
      </c>
      <c r="G87" s="73">
        <v>9</v>
      </c>
      <c r="H87" s="73">
        <v>9</v>
      </c>
      <c r="I87" s="4">
        <v>25909</v>
      </c>
      <c r="J87" s="73">
        <v>0</v>
      </c>
      <c r="K87" s="73">
        <v>0</v>
      </c>
      <c r="L87" s="73">
        <f t="shared" si="2"/>
        <v>18348</v>
      </c>
      <c r="M87" s="73">
        <f t="shared" si="3"/>
        <v>14</v>
      </c>
    </row>
    <row r="88" spans="1:13">
      <c r="A88" s="27">
        <v>45881</v>
      </c>
      <c r="B88" s="74" t="s">
        <v>33</v>
      </c>
      <c r="C88" s="74"/>
      <c r="D88" s="74"/>
      <c r="E88" s="75"/>
      <c r="F88" s="73">
        <v>0</v>
      </c>
      <c r="G88" s="73">
        <v>9</v>
      </c>
      <c r="H88" s="73">
        <v>9</v>
      </c>
      <c r="I88" s="4">
        <v>25918</v>
      </c>
      <c r="J88" s="73">
        <v>0</v>
      </c>
      <c r="K88" s="73">
        <v>0</v>
      </c>
      <c r="L88" s="73">
        <f t="shared" si="2"/>
        <v>18348</v>
      </c>
      <c r="M88" s="73">
        <f t="shared" si="3"/>
        <v>14</v>
      </c>
    </row>
    <row r="89" spans="1:13">
      <c r="A89" s="27">
        <v>45882</v>
      </c>
      <c r="B89" s="74" t="s">
        <v>33</v>
      </c>
      <c r="C89" s="74"/>
      <c r="D89" s="74"/>
      <c r="E89" s="75"/>
      <c r="F89" s="73">
        <v>0</v>
      </c>
      <c r="G89" s="73">
        <v>59</v>
      </c>
      <c r="H89" s="73">
        <v>59</v>
      </c>
      <c r="I89" s="4">
        <v>25977</v>
      </c>
      <c r="J89" s="73">
        <v>0</v>
      </c>
      <c r="K89" s="73">
        <v>0</v>
      </c>
      <c r="L89" s="73">
        <f t="shared" si="2"/>
        <v>18348</v>
      </c>
      <c r="M89" s="73">
        <f t="shared" si="3"/>
        <v>14</v>
      </c>
    </row>
    <row r="90" spans="1:13">
      <c r="A90" s="27">
        <v>45883</v>
      </c>
      <c r="B90" s="74" t="s">
        <v>33</v>
      </c>
      <c r="C90" s="74"/>
      <c r="D90" s="74"/>
      <c r="E90" s="75"/>
      <c r="F90" s="73">
        <v>0</v>
      </c>
      <c r="G90" s="73">
        <v>61</v>
      </c>
      <c r="H90" s="73">
        <v>61</v>
      </c>
      <c r="I90" s="4">
        <v>26038</v>
      </c>
      <c r="J90" s="73">
        <v>0</v>
      </c>
      <c r="K90" s="73">
        <v>0</v>
      </c>
      <c r="L90" s="73">
        <f t="shared" si="2"/>
        <v>18348</v>
      </c>
      <c r="M90" s="73">
        <f t="shared" si="3"/>
        <v>14</v>
      </c>
    </row>
    <row r="91" spans="1:13">
      <c r="A91" s="27">
        <v>45884</v>
      </c>
      <c r="B91" s="74" t="s">
        <v>33</v>
      </c>
      <c r="C91" s="74"/>
      <c r="D91" s="74"/>
      <c r="E91" s="75"/>
      <c r="F91" s="73">
        <v>0</v>
      </c>
      <c r="G91" s="73">
        <v>8</v>
      </c>
      <c r="H91" s="73">
        <v>8</v>
      </c>
      <c r="I91" s="4">
        <v>26046</v>
      </c>
      <c r="J91" s="73">
        <v>0</v>
      </c>
      <c r="K91" s="73">
        <v>0</v>
      </c>
      <c r="L91" s="73">
        <f t="shared" si="2"/>
        <v>18348</v>
      </c>
      <c r="M91" s="73">
        <f t="shared" si="3"/>
        <v>14</v>
      </c>
    </row>
    <row r="92" spans="1:13">
      <c r="A92" s="27">
        <v>45885</v>
      </c>
      <c r="B92" s="74" t="s">
        <v>33</v>
      </c>
      <c r="C92" s="74"/>
      <c r="D92" s="74"/>
      <c r="E92" s="75"/>
      <c r="F92" s="73">
        <v>0</v>
      </c>
      <c r="G92" s="73">
        <v>9</v>
      </c>
      <c r="H92" s="73">
        <v>9</v>
      </c>
      <c r="I92" s="4">
        <v>26055</v>
      </c>
      <c r="J92" s="73">
        <v>0</v>
      </c>
      <c r="K92" s="73">
        <v>0</v>
      </c>
      <c r="L92" s="73">
        <f t="shared" si="2"/>
        <v>18348</v>
      </c>
      <c r="M92" s="73">
        <f t="shared" si="3"/>
        <v>14</v>
      </c>
    </row>
    <row r="93" spans="1:13">
      <c r="A93" s="29">
        <v>45886</v>
      </c>
      <c r="B93" s="76" t="s">
        <v>33</v>
      </c>
      <c r="C93" s="76"/>
      <c r="D93" s="76"/>
      <c r="E93" s="77"/>
      <c r="F93" s="72">
        <v>0</v>
      </c>
      <c r="G93" s="72">
        <v>27</v>
      </c>
      <c r="H93" s="72">
        <v>27</v>
      </c>
      <c r="I93" s="30">
        <v>26082</v>
      </c>
      <c r="J93" s="72">
        <v>0</v>
      </c>
      <c r="K93" s="72">
        <v>0</v>
      </c>
      <c r="L93" s="73">
        <f t="shared" si="2"/>
        <v>18348</v>
      </c>
      <c r="M93" s="73">
        <f t="shared" si="3"/>
        <v>14</v>
      </c>
    </row>
    <row r="94" spans="1:13">
      <c r="A94" s="27">
        <v>45887</v>
      </c>
      <c r="B94" s="74" t="s">
        <v>33</v>
      </c>
      <c r="C94" s="74"/>
      <c r="D94" s="74"/>
      <c r="E94" s="75"/>
      <c r="F94" s="73">
        <v>0</v>
      </c>
      <c r="G94" s="73">
        <v>9</v>
      </c>
      <c r="H94" s="73">
        <v>9</v>
      </c>
      <c r="I94" s="4">
        <v>28598</v>
      </c>
      <c r="J94" s="73">
        <v>0</v>
      </c>
      <c r="K94" s="73">
        <v>0</v>
      </c>
      <c r="L94" s="73">
        <f t="shared" si="2"/>
        <v>18348</v>
      </c>
      <c r="M94" s="73">
        <f t="shared" si="3"/>
        <v>14</v>
      </c>
    </row>
    <row r="95" spans="1:13">
      <c r="A95" s="27">
        <v>45888</v>
      </c>
      <c r="B95" s="74" t="s">
        <v>33</v>
      </c>
      <c r="C95" s="74"/>
      <c r="D95" s="74"/>
      <c r="E95" s="75"/>
      <c r="F95" s="73">
        <v>0</v>
      </c>
      <c r="G95" s="73">
        <v>8</v>
      </c>
      <c r="H95" s="73">
        <v>8</v>
      </c>
      <c r="I95" s="4">
        <v>28606</v>
      </c>
      <c r="J95" s="73">
        <v>0</v>
      </c>
      <c r="K95" s="73">
        <v>0</v>
      </c>
      <c r="L95" s="73">
        <f t="shared" si="2"/>
        <v>18348</v>
      </c>
      <c r="M95" s="73">
        <f t="shared" si="3"/>
        <v>14</v>
      </c>
    </row>
    <row r="96" spans="1:13">
      <c r="A96" s="27">
        <v>45889</v>
      </c>
      <c r="B96" s="74" t="s">
        <v>33</v>
      </c>
      <c r="C96" s="74"/>
      <c r="D96" s="74"/>
      <c r="E96" s="75"/>
      <c r="F96" s="73">
        <v>0</v>
      </c>
      <c r="G96" s="73">
        <v>18</v>
      </c>
      <c r="H96" s="73">
        <v>18</v>
      </c>
      <c r="I96" s="4">
        <v>28624</v>
      </c>
      <c r="J96" s="73">
        <v>0</v>
      </c>
      <c r="K96" s="73">
        <v>0</v>
      </c>
      <c r="L96" s="73">
        <f t="shared" si="2"/>
        <v>18348</v>
      </c>
      <c r="M96" s="73">
        <f t="shared" si="3"/>
        <v>14</v>
      </c>
    </row>
    <row r="97" spans="1:13">
      <c r="A97" s="27">
        <v>45890</v>
      </c>
      <c r="B97" s="1" t="s">
        <v>60</v>
      </c>
      <c r="C97" s="1" t="s">
        <v>61</v>
      </c>
      <c r="D97" s="1" t="s">
        <v>42</v>
      </c>
      <c r="E97" s="1" t="s">
        <v>43</v>
      </c>
      <c r="F97" s="73">
        <v>389</v>
      </c>
      <c r="G97" s="28">
        <v>147</v>
      </c>
      <c r="H97" s="73">
        <v>536</v>
      </c>
      <c r="I97" s="4">
        <v>29160</v>
      </c>
      <c r="J97" s="4">
        <v>1178</v>
      </c>
      <c r="K97" s="73">
        <v>1</v>
      </c>
      <c r="L97" s="73">
        <f t="shared" si="2"/>
        <v>19526</v>
      </c>
      <c r="M97" s="73">
        <f t="shared" si="3"/>
        <v>15</v>
      </c>
    </row>
    <row r="98" spans="1:13">
      <c r="A98" s="27">
        <v>45890</v>
      </c>
      <c r="B98" s="74" t="s">
        <v>33</v>
      </c>
      <c r="C98" s="74"/>
      <c r="D98" s="74"/>
      <c r="E98" s="75"/>
      <c r="F98" s="73">
        <v>0</v>
      </c>
      <c r="G98" s="73">
        <v>8</v>
      </c>
      <c r="H98" s="73">
        <v>8</v>
      </c>
      <c r="I98" s="4">
        <v>29168</v>
      </c>
      <c r="J98" s="73">
        <v>0</v>
      </c>
      <c r="K98" s="73">
        <v>0</v>
      </c>
      <c r="L98" s="73">
        <f t="shared" si="2"/>
        <v>19526</v>
      </c>
      <c r="M98" s="73">
        <f t="shared" si="3"/>
        <v>15</v>
      </c>
    </row>
    <row r="99" spans="1:13">
      <c r="A99" s="27">
        <v>45891</v>
      </c>
      <c r="B99" s="1" t="s">
        <v>62</v>
      </c>
      <c r="C99" s="1" t="s">
        <v>63</v>
      </c>
      <c r="D99" s="1" t="s">
        <v>42</v>
      </c>
      <c r="E99" s="1" t="s">
        <v>43</v>
      </c>
      <c r="F99" s="73">
        <v>389</v>
      </c>
      <c r="G99" s="28">
        <v>147</v>
      </c>
      <c r="H99" s="73">
        <v>536</v>
      </c>
      <c r="I99" s="4">
        <v>29704</v>
      </c>
      <c r="J99" s="4">
        <v>1178</v>
      </c>
      <c r="K99" s="73">
        <v>1</v>
      </c>
      <c r="L99" s="73">
        <f t="shared" si="2"/>
        <v>20704</v>
      </c>
      <c r="M99" s="73">
        <f t="shared" si="3"/>
        <v>16</v>
      </c>
    </row>
    <row r="100" spans="1:13">
      <c r="A100" s="27">
        <v>45891</v>
      </c>
      <c r="B100" s="74" t="s">
        <v>33</v>
      </c>
      <c r="C100" s="74"/>
      <c r="D100" s="74"/>
      <c r="E100" s="75"/>
      <c r="F100" s="73">
        <v>0</v>
      </c>
      <c r="G100" s="73">
        <v>57</v>
      </c>
      <c r="H100" s="73">
        <v>57</v>
      </c>
      <c r="I100" s="4">
        <v>29761</v>
      </c>
      <c r="J100" s="73">
        <v>0</v>
      </c>
      <c r="K100" s="73">
        <v>0</v>
      </c>
      <c r="L100" s="73">
        <f t="shared" si="2"/>
        <v>20704</v>
      </c>
      <c r="M100" s="73">
        <f t="shared" si="3"/>
        <v>16</v>
      </c>
    </row>
    <row r="101" spans="1:13">
      <c r="A101" s="27">
        <v>45892</v>
      </c>
      <c r="B101" s="74" t="s">
        <v>33</v>
      </c>
      <c r="C101" s="74"/>
      <c r="D101" s="74"/>
      <c r="E101" s="75"/>
      <c r="F101" s="73">
        <v>0</v>
      </c>
      <c r="G101" s="73">
        <v>6</v>
      </c>
      <c r="H101" s="73">
        <v>6</v>
      </c>
      <c r="I101" s="4">
        <v>29767</v>
      </c>
      <c r="J101" s="73">
        <v>0</v>
      </c>
      <c r="K101" s="73">
        <v>0</v>
      </c>
      <c r="L101" s="73">
        <f t="shared" si="2"/>
        <v>20704</v>
      </c>
      <c r="M101" s="73">
        <f t="shared" si="3"/>
        <v>16</v>
      </c>
    </row>
    <row r="102" spans="1:13">
      <c r="A102" s="29">
        <v>45893</v>
      </c>
      <c r="B102" s="76" t="s">
        <v>33</v>
      </c>
      <c r="C102" s="76"/>
      <c r="D102" s="76"/>
      <c r="E102" s="77"/>
      <c r="F102" s="72">
        <v>0</v>
      </c>
      <c r="G102" s="72">
        <v>31</v>
      </c>
      <c r="H102" s="72">
        <v>31</v>
      </c>
      <c r="I102" s="30">
        <v>29798</v>
      </c>
      <c r="J102" s="72">
        <v>0</v>
      </c>
      <c r="K102" s="72">
        <v>0</v>
      </c>
      <c r="L102" s="73">
        <f t="shared" si="2"/>
        <v>20704</v>
      </c>
      <c r="M102" s="73">
        <f t="shared" si="3"/>
        <v>16</v>
      </c>
    </row>
    <row r="103" spans="1:13">
      <c r="A103" s="27">
        <v>45894</v>
      </c>
      <c r="B103" s="74" t="s">
        <v>33</v>
      </c>
      <c r="C103" s="74"/>
      <c r="D103" s="74"/>
      <c r="E103" s="75"/>
      <c r="F103" s="73">
        <v>0</v>
      </c>
      <c r="G103" s="73">
        <v>56</v>
      </c>
      <c r="H103" s="73">
        <v>56</v>
      </c>
      <c r="I103" s="4">
        <v>31355</v>
      </c>
      <c r="J103" s="73">
        <v>0</v>
      </c>
      <c r="K103" s="73">
        <v>0</v>
      </c>
      <c r="L103" s="73">
        <f t="shared" si="2"/>
        <v>20704</v>
      </c>
      <c r="M103" s="73">
        <f t="shared" si="3"/>
        <v>16</v>
      </c>
    </row>
    <row r="104" spans="1:13">
      <c r="A104" s="27">
        <v>45895</v>
      </c>
      <c r="B104" s="74" t="s">
        <v>33</v>
      </c>
      <c r="C104" s="74"/>
      <c r="D104" s="74"/>
      <c r="E104" s="75"/>
      <c r="F104" s="73">
        <v>0</v>
      </c>
      <c r="G104" s="73">
        <v>8</v>
      </c>
      <c r="H104" s="73">
        <v>8</v>
      </c>
      <c r="I104" s="4">
        <v>31363</v>
      </c>
      <c r="J104" s="73">
        <v>0</v>
      </c>
      <c r="K104" s="73">
        <v>0</v>
      </c>
      <c r="L104" s="73">
        <f t="shared" si="2"/>
        <v>20704</v>
      </c>
      <c r="M104" s="73">
        <f t="shared" si="3"/>
        <v>16</v>
      </c>
    </row>
    <row r="105" spans="1:13">
      <c r="A105" s="27">
        <v>45896</v>
      </c>
      <c r="B105" s="74" t="s">
        <v>49</v>
      </c>
      <c r="C105" s="74"/>
      <c r="D105" s="74"/>
      <c r="E105" s="75"/>
      <c r="F105" s="73">
        <v>0</v>
      </c>
      <c r="G105" s="73">
        <v>1</v>
      </c>
      <c r="H105" s="73">
        <v>1</v>
      </c>
      <c r="I105" s="4">
        <v>31364</v>
      </c>
      <c r="J105" s="73">
        <v>0</v>
      </c>
      <c r="K105" s="73">
        <v>0</v>
      </c>
      <c r="L105" s="73">
        <f t="shared" si="2"/>
        <v>20704</v>
      </c>
      <c r="M105" s="73">
        <f t="shared" si="3"/>
        <v>16</v>
      </c>
    </row>
    <row r="106" spans="1:13">
      <c r="A106" s="27">
        <v>45896</v>
      </c>
      <c r="B106" s="74" t="s">
        <v>33</v>
      </c>
      <c r="C106" s="74"/>
      <c r="D106" s="74"/>
      <c r="E106" s="75"/>
      <c r="F106" s="73">
        <v>0</v>
      </c>
      <c r="G106" s="73">
        <v>11</v>
      </c>
      <c r="H106" s="73">
        <v>11</v>
      </c>
      <c r="I106" s="4">
        <v>31375</v>
      </c>
      <c r="J106" s="73">
        <v>0</v>
      </c>
      <c r="K106" s="73">
        <v>0</v>
      </c>
      <c r="L106" s="73">
        <f t="shared" si="2"/>
        <v>20704</v>
      </c>
      <c r="M106" s="73">
        <f t="shared" si="3"/>
        <v>16</v>
      </c>
    </row>
    <row r="107" spans="1:13">
      <c r="A107" s="27">
        <v>45897</v>
      </c>
      <c r="B107" s="74" t="s">
        <v>49</v>
      </c>
      <c r="C107" s="74"/>
      <c r="D107" s="74"/>
      <c r="E107" s="75"/>
      <c r="F107" s="73">
        <v>0</v>
      </c>
      <c r="G107" s="73">
        <v>1</v>
      </c>
      <c r="H107" s="73">
        <v>1</v>
      </c>
      <c r="I107" s="4">
        <v>31376</v>
      </c>
      <c r="J107" s="73">
        <v>0</v>
      </c>
      <c r="K107" s="73">
        <v>0</v>
      </c>
      <c r="L107" s="73">
        <f t="shared" si="2"/>
        <v>20704</v>
      </c>
      <c r="M107" s="73">
        <f t="shared" si="3"/>
        <v>16</v>
      </c>
    </row>
    <row r="108" spans="1:13">
      <c r="A108" s="27">
        <v>45897</v>
      </c>
      <c r="B108" s="74" t="s">
        <v>33</v>
      </c>
      <c r="C108" s="74"/>
      <c r="D108" s="74"/>
      <c r="E108" s="75"/>
      <c r="F108" s="73">
        <v>0</v>
      </c>
      <c r="G108" s="73">
        <v>17</v>
      </c>
      <c r="H108" s="73">
        <v>17</v>
      </c>
      <c r="I108" s="4">
        <v>31393</v>
      </c>
      <c r="J108" s="73">
        <v>0</v>
      </c>
      <c r="K108" s="73">
        <v>0</v>
      </c>
      <c r="L108" s="73">
        <f t="shared" si="2"/>
        <v>20704</v>
      </c>
      <c r="M108" s="73">
        <f t="shared" si="3"/>
        <v>16</v>
      </c>
    </row>
    <row r="109" spans="1:13">
      <c r="A109" s="27">
        <v>45898</v>
      </c>
      <c r="B109" s="74" t="s">
        <v>33</v>
      </c>
      <c r="C109" s="74"/>
      <c r="D109" s="74"/>
      <c r="E109" s="75"/>
      <c r="F109" s="73">
        <v>0</v>
      </c>
      <c r="G109" s="73">
        <v>7</v>
      </c>
      <c r="H109" s="73">
        <v>7</v>
      </c>
      <c r="I109" s="4">
        <v>31400</v>
      </c>
      <c r="J109" s="73">
        <v>0</v>
      </c>
      <c r="K109" s="73">
        <v>0</v>
      </c>
      <c r="L109" s="73">
        <f t="shared" si="2"/>
        <v>20704</v>
      </c>
      <c r="M109" s="73">
        <f t="shared" si="3"/>
        <v>16</v>
      </c>
    </row>
    <row r="110" spans="1:13">
      <c r="A110" s="27">
        <v>45899</v>
      </c>
      <c r="B110" s="74" t="s">
        <v>33</v>
      </c>
      <c r="C110" s="74"/>
      <c r="D110" s="74"/>
      <c r="E110" s="75"/>
      <c r="F110" s="73">
        <v>0</v>
      </c>
      <c r="G110" s="73">
        <v>12</v>
      </c>
      <c r="H110" s="73">
        <v>12</v>
      </c>
      <c r="I110" s="4">
        <v>31412</v>
      </c>
      <c r="J110" s="73">
        <v>0</v>
      </c>
      <c r="K110" s="73">
        <v>0</v>
      </c>
      <c r="L110" s="73">
        <f t="shared" si="2"/>
        <v>20704</v>
      </c>
      <c r="M110" s="73">
        <f t="shared" si="3"/>
        <v>16</v>
      </c>
    </row>
    <row r="111" spans="1:13">
      <c r="A111" s="27">
        <v>45900</v>
      </c>
      <c r="B111" s="74" t="s">
        <v>49</v>
      </c>
      <c r="C111" s="74"/>
      <c r="D111" s="74"/>
      <c r="E111" s="75"/>
      <c r="F111" s="73">
        <v>0</v>
      </c>
      <c r="G111" s="73">
        <v>1</v>
      </c>
      <c r="H111" s="73">
        <v>1</v>
      </c>
      <c r="I111" s="4">
        <v>31413</v>
      </c>
      <c r="J111" s="73">
        <v>0</v>
      </c>
      <c r="K111" s="73">
        <v>0</v>
      </c>
      <c r="L111" s="73">
        <f t="shared" si="2"/>
        <v>20704</v>
      </c>
      <c r="M111" s="73">
        <f t="shared" si="3"/>
        <v>16</v>
      </c>
    </row>
    <row r="112" spans="1:13">
      <c r="A112" s="27">
        <v>45900</v>
      </c>
      <c r="B112" s="74" t="s">
        <v>33</v>
      </c>
      <c r="C112" s="74"/>
      <c r="D112" s="74"/>
      <c r="E112" s="75"/>
      <c r="F112" s="73">
        <v>0</v>
      </c>
      <c r="G112" s="73">
        <v>20</v>
      </c>
      <c r="H112" s="73">
        <v>20</v>
      </c>
      <c r="I112" s="4">
        <v>31433</v>
      </c>
      <c r="J112" s="73">
        <v>0</v>
      </c>
      <c r="K112" s="73">
        <v>0</v>
      </c>
      <c r="L112" s="73">
        <f t="shared" si="2"/>
        <v>20704</v>
      </c>
      <c r="M112" s="73">
        <f t="shared" si="3"/>
        <v>16</v>
      </c>
    </row>
    <row r="113" spans="1:13">
      <c r="A113" s="27">
        <v>45901</v>
      </c>
      <c r="B113" s="1" t="s">
        <v>64</v>
      </c>
      <c r="C113" s="1" t="s">
        <v>13</v>
      </c>
      <c r="D113" s="1" t="s">
        <v>42</v>
      </c>
      <c r="E113" s="1" t="s">
        <v>43</v>
      </c>
      <c r="F113" s="73">
        <v>624</v>
      </c>
      <c r="G113" s="28">
        <v>206</v>
      </c>
      <c r="H113" s="73">
        <v>830</v>
      </c>
      <c r="I113" s="4">
        <v>32263</v>
      </c>
      <c r="J113" s="4">
        <v>1648</v>
      </c>
      <c r="K113" s="73">
        <v>1</v>
      </c>
      <c r="L113" s="73">
        <f t="shared" si="2"/>
        <v>22352</v>
      </c>
      <c r="M113" s="73">
        <f t="shared" si="3"/>
        <v>17</v>
      </c>
    </row>
    <row r="114" spans="1:13">
      <c r="A114" s="27">
        <v>45901</v>
      </c>
      <c r="B114" s="74" t="s">
        <v>33</v>
      </c>
      <c r="C114" s="74"/>
      <c r="D114" s="74"/>
      <c r="E114" s="75"/>
      <c r="F114" s="73">
        <v>0</v>
      </c>
      <c r="G114" s="73">
        <v>66</v>
      </c>
      <c r="H114" s="73">
        <v>66</v>
      </c>
      <c r="I114" s="4">
        <v>32329</v>
      </c>
      <c r="J114" s="73">
        <v>0</v>
      </c>
      <c r="K114" s="73">
        <v>0</v>
      </c>
      <c r="L114" s="73">
        <f t="shared" si="2"/>
        <v>22352</v>
      </c>
      <c r="M114" s="73">
        <f t="shared" si="3"/>
        <v>17</v>
      </c>
    </row>
    <row r="115" spans="1:13">
      <c r="A115" s="27">
        <v>45902</v>
      </c>
      <c r="B115" s="74" t="s">
        <v>33</v>
      </c>
      <c r="C115" s="74"/>
      <c r="D115" s="74"/>
      <c r="E115" s="75"/>
      <c r="F115" s="73">
        <v>0</v>
      </c>
      <c r="G115" s="73">
        <v>8</v>
      </c>
      <c r="H115" s="73">
        <v>8</v>
      </c>
      <c r="I115" s="4">
        <v>32337</v>
      </c>
      <c r="J115" s="73">
        <v>0</v>
      </c>
      <c r="K115" s="73">
        <v>0</v>
      </c>
      <c r="L115" s="73">
        <f t="shared" si="2"/>
        <v>22352</v>
      </c>
      <c r="M115" s="73">
        <f t="shared" si="3"/>
        <v>17</v>
      </c>
    </row>
    <row r="116" spans="1:13">
      <c r="A116" s="27">
        <v>45903</v>
      </c>
      <c r="B116" s="1" t="s">
        <v>51</v>
      </c>
      <c r="C116" s="1" t="s">
        <v>24</v>
      </c>
      <c r="D116" s="1" t="s">
        <v>42</v>
      </c>
      <c r="E116" s="1" t="s">
        <v>43</v>
      </c>
      <c r="F116" s="73">
        <v>624</v>
      </c>
      <c r="G116" s="28">
        <v>206</v>
      </c>
      <c r="H116" s="73">
        <v>830</v>
      </c>
      <c r="I116" s="4">
        <v>33167</v>
      </c>
      <c r="J116" s="4">
        <v>1648</v>
      </c>
      <c r="K116" s="73">
        <v>1</v>
      </c>
      <c r="L116" s="73">
        <f t="shared" si="2"/>
        <v>24000</v>
      </c>
      <c r="M116" s="73">
        <f t="shared" si="3"/>
        <v>18</v>
      </c>
    </row>
    <row r="117" spans="1:13">
      <c r="A117" s="27">
        <v>45903</v>
      </c>
      <c r="B117" s="74" t="s">
        <v>33</v>
      </c>
      <c r="C117" s="74"/>
      <c r="D117" s="74"/>
      <c r="E117" s="75"/>
      <c r="F117" s="73">
        <v>0</v>
      </c>
      <c r="G117" s="73">
        <v>10</v>
      </c>
      <c r="H117" s="73">
        <v>10</v>
      </c>
      <c r="I117" s="4">
        <v>33177</v>
      </c>
      <c r="J117" s="73">
        <v>0</v>
      </c>
      <c r="K117" s="73">
        <v>0</v>
      </c>
      <c r="L117" s="73">
        <f t="shared" si="2"/>
        <v>24000</v>
      </c>
      <c r="M117" s="73">
        <f t="shared" si="3"/>
        <v>18</v>
      </c>
    </row>
    <row r="118" spans="1:13">
      <c r="A118" s="27">
        <v>45904</v>
      </c>
      <c r="B118" s="74" t="s">
        <v>33</v>
      </c>
      <c r="C118" s="74"/>
      <c r="D118" s="74"/>
      <c r="E118" s="75"/>
      <c r="F118" s="73">
        <v>0</v>
      </c>
      <c r="G118" s="73">
        <v>16</v>
      </c>
      <c r="H118" s="73">
        <v>16</v>
      </c>
      <c r="I118" s="4">
        <v>33193</v>
      </c>
      <c r="J118" s="73">
        <v>0</v>
      </c>
      <c r="K118" s="73">
        <v>0</v>
      </c>
      <c r="L118" s="73">
        <f t="shared" si="2"/>
        <v>24000</v>
      </c>
      <c r="M118" s="73">
        <f t="shared" si="3"/>
        <v>18</v>
      </c>
    </row>
    <row r="119" spans="1:13">
      <c r="A119" s="27">
        <v>45905</v>
      </c>
      <c r="B119" s="74" t="s">
        <v>33</v>
      </c>
      <c r="C119" s="74"/>
      <c r="D119" s="74"/>
      <c r="E119" s="75"/>
      <c r="F119" s="73">
        <v>0</v>
      </c>
      <c r="G119" s="73">
        <v>13</v>
      </c>
      <c r="H119" s="73">
        <v>13</v>
      </c>
      <c r="I119" s="4">
        <v>33206</v>
      </c>
      <c r="J119" s="73">
        <v>0</v>
      </c>
      <c r="K119" s="73">
        <v>0</v>
      </c>
      <c r="L119" s="73">
        <f t="shared" si="2"/>
        <v>24000</v>
      </c>
      <c r="M119" s="73">
        <f t="shared" si="3"/>
        <v>18</v>
      </c>
    </row>
    <row r="120" spans="1:13">
      <c r="A120" s="27">
        <v>45906</v>
      </c>
      <c r="B120" s="74" t="s">
        <v>33</v>
      </c>
      <c r="C120" s="74"/>
      <c r="D120" s="74"/>
      <c r="E120" s="75"/>
      <c r="F120" s="73">
        <v>0</v>
      </c>
      <c r="G120" s="73">
        <v>5</v>
      </c>
      <c r="H120" s="73">
        <v>5</v>
      </c>
      <c r="I120" s="4">
        <v>33211</v>
      </c>
      <c r="J120" s="73">
        <v>0</v>
      </c>
      <c r="K120" s="73">
        <v>0</v>
      </c>
      <c r="L120" s="73">
        <f t="shared" si="2"/>
        <v>24000</v>
      </c>
      <c r="M120" s="73">
        <f t="shared" si="3"/>
        <v>18</v>
      </c>
    </row>
    <row r="121" spans="1:13">
      <c r="A121" s="29">
        <v>45907</v>
      </c>
      <c r="B121" s="76" t="s">
        <v>33</v>
      </c>
      <c r="C121" s="76"/>
      <c r="D121" s="76"/>
      <c r="E121" s="77"/>
      <c r="F121" s="72">
        <v>0</v>
      </c>
      <c r="G121" s="72">
        <v>19</v>
      </c>
      <c r="H121" s="72">
        <v>19</v>
      </c>
      <c r="I121" s="30">
        <v>33230</v>
      </c>
      <c r="J121" s="72">
        <v>0</v>
      </c>
      <c r="K121" s="72">
        <v>0</v>
      </c>
      <c r="L121" s="73">
        <f t="shared" si="2"/>
        <v>24000</v>
      </c>
      <c r="M121" s="73">
        <f t="shared" si="3"/>
        <v>18</v>
      </c>
    </row>
    <row r="122" spans="1:13">
      <c r="A122" s="27">
        <v>45908</v>
      </c>
      <c r="B122" s="74" t="s">
        <v>33</v>
      </c>
      <c r="C122" s="74"/>
      <c r="D122" s="74"/>
      <c r="E122" s="75"/>
      <c r="F122" s="73">
        <v>0</v>
      </c>
      <c r="G122" s="73">
        <v>10</v>
      </c>
      <c r="H122" s="73">
        <v>10</v>
      </c>
      <c r="I122" s="4">
        <v>33244</v>
      </c>
      <c r="J122" s="73">
        <v>0</v>
      </c>
      <c r="K122" s="73">
        <v>0</v>
      </c>
      <c r="L122" s="73">
        <f t="shared" si="2"/>
        <v>24000</v>
      </c>
      <c r="M122" s="73">
        <f t="shared" si="3"/>
        <v>18</v>
      </c>
    </row>
    <row r="123" spans="1:13">
      <c r="A123" s="27">
        <v>45909</v>
      </c>
      <c r="B123" s="74" t="s">
        <v>33</v>
      </c>
      <c r="C123" s="74"/>
      <c r="D123" s="74"/>
      <c r="E123" s="75"/>
      <c r="F123" s="73">
        <v>0</v>
      </c>
      <c r="G123" s="73">
        <v>9</v>
      </c>
      <c r="H123" s="73">
        <v>9</v>
      </c>
      <c r="I123" s="4">
        <v>33253</v>
      </c>
      <c r="J123" s="73">
        <v>0</v>
      </c>
      <c r="K123" s="73">
        <v>0</v>
      </c>
      <c r="L123" s="73">
        <f t="shared" si="2"/>
        <v>24000</v>
      </c>
      <c r="M123" s="73">
        <f t="shared" si="3"/>
        <v>18</v>
      </c>
    </row>
    <row r="124" spans="1:13">
      <c r="A124" s="27">
        <v>45910</v>
      </c>
      <c r="B124" s="74" t="s">
        <v>65</v>
      </c>
      <c r="C124" s="74"/>
      <c r="D124" s="74"/>
      <c r="E124" s="75"/>
      <c r="F124" s="4">
        <v>2207</v>
      </c>
      <c r="G124" s="73">
        <v>0</v>
      </c>
      <c r="H124" s="4">
        <v>2207</v>
      </c>
      <c r="I124" s="4">
        <v>35460</v>
      </c>
      <c r="J124" s="73">
        <v>0</v>
      </c>
      <c r="K124" s="73">
        <v>0</v>
      </c>
      <c r="L124" s="73">
        <f t="shared" ref="L124:L129" si="4">J124+L123</f>
        <v>24000</v>
      </c>
      <c r="M124" s="73">
        <f t="shared" ref="M124:M129" si="5">K124+M123</f>
        <v>18</v>
      </c>
    </row>
    <row r="125" spans="1:13">
      <c r="A125" s="27">
        <v>45910</v>
      </c>
      <c r="B125" s="74" t="s">
        <v>33</v>
      </c>
      <c r="C125" s="74"/>
      <c r="D125" s="74"/>
      <c r="E125" s="75"/>
      <c r="F125" s="73">
        <v>0</v>
      </c>
      <c r="G125" s="73">
        <v>8</v>
      </c>
      <c r="H125" s="73">
        <v>8</v>
      </c>
      <c r="I125" s="4">
        <v>35468</v>
      </c>
      <c r="J125" s="73">
        <v>0</v>
      </c>
      <c r="K125" s="73">
        <v>0</v>
      </c>
      <c r="L125" s="73">
        <f t="shared" si="4"/>
        <v>24000</v>
      </c>
      <c r="M125" s="73">
        <f t="shared" si="5"/>
        <v>18</v>
      </c>
    </row>
    <row r="126" spans="1:13">
      <c r="A126" s="27">
        <v>45911</v>
      </c>
      <c r="B126" s="74" t="s">
        <v>65</v>
      </c>
      <c r="C126" s="74"/>
      <c r="D126" s="74"/>
      <c r="E126" s="75"/>
      <c r="F126" s="73">
        <v>12</v>
      </c>
      <c r="G126" s="73">
        <v>0</v>
      </c>
      <c r="H126" s="73">
        <v>12</v>
      </c>
      <c r="I126" s="4">
        <v>35480</v>
      </c>
      <c r="J126" s="73">
        <v>0</v>
      </c>
      <c r="K126" s="73">
        <v>0</v>
      </c>
      <c r="L126" s="73">
        <f t="shared" si="4"/>
        <v>24000</v>
      </c>
      <c r="M126" s="73">
        <f t="shared" si="5"/>
        <v>18</v>
      </c>
    </row>
    <row r="127" spans="1:13">
      <c r="A127" s="27">
        <v>45911</v>
      </c>
      <c r="B127" s="74" t="s">
        <v>33</v>
      </c>
      <c r="C127" s="74"/>
      <c r="D127" s="74"/>
      <c r="E127" s="75"/>
      <c r="F127" s="73">
        <v>0</v>
      </c>
      <c r="G127" s="73">
        <v>9</v>
      </c>
      <c r="H127" s="73">
        <v>9</v>
      </c>
      <c r="I127" s="4">
        <v>35489</v>
      </c>
      <c r="J127" s="73">
        <v>0</v>
      </c>
      <c r="K127" s="73">
        <v>0</v>
      </c>
      <c r="L127" s="73">
        <f t="shared" si="4"/>
        <v>24000</v>
      </c>
      <c r="M127" s="73">
        <f t="shared" si="5"/>
        <v>18</v>
      </c>
    </row>
    <row r="128" spans="1:13">
      <c r="A128" s="27">
        <v>45912</v>
      </c>
      <c r="B128" s="74" t="s">
        <v>33</v>
      </c>
      <c r="C128" s="74"/>
      <c r="D128" s="74"/>
      <c r="E128" s="75"/>
      <c r="F128" s="73">
        <v>0</v>
      </c>
      <c r="G128" s="73">
        <v>15</v>
      </c>
      <c r="H128" s="73">
        <v>15</v>
      </c>
      <c r="I128" s="4">
        <v>35504</v>
      </c>
      <c r="J128" s="73">
        <v>0</v>
      </c>
      <c r="K128" s="73">
        <v>0</v>
      </c>
      <c r="L128" s="73">
        <f t="shared" si="4"/>
        <v>24000</v>
      </c>
      <c r="M128" s="73">
        <f t="shared" si="5"/>
        <v>18</v>
      </c>
    </row>
    <row r="129" spans="1:13">
      <c r="A129" s="29">
        <v>45913</v>
      </c>
      <c r="B129" s="76" t="s">
        <v>33</v>
      </c>
      <c r="C129" s="76"/>
      <c r="D129" s="76"/>
      <c r="E129" s="77"/>
      <c r="F129" s="72">
        <v>0</v>
      </c>
      <c r="G129" s="72">
        <v>12</v>
      </c>
      <c r="H129" s="72">
        <v>12</v>
      </c>
      <c r="I129" s="30">
        <v>35516</v>
      </c>
      <c r="J129" s="72">
        <v>0</v>
      </c>
      <c r="K129" s="72">
        <v>0</v>
      </c>
      <c r="L129" s="73">
        <f t="shared" si="4"/>
        <v>24000</v>
      </c>
      <c r="M129" s="73">
        <f t="shared" si="5"/>
        <v>18</v>
      </c>
    </row>
    <row r="130" spans="1:13">
      <c r="A130" s="27">
        <v>45914</v>
      </c>
      <c r="B130" s="74" t="s">
        <v>49</v>
      </c>
      <c r="C130" s="74"/>
      <c r="D130" s="74"/>
      <c r="E130" s="75"/>
      <c r="F130" s="73">
        <v>0</v>
      </c>
      <c r="G130" s="73">
        <v>1</v>
      </c>
      <c r="H130" s="73">
        <v>1</v>
      </c>
      <c r="I130" s="4">
        <v>35522</v>
      </c>
      <c r="J130" s="73">
        <v>0</v>
      </c>
      <c r="K130" s="73">
        <v>0</v>
      </c>
      <c r="L130" s="73">
        <f t="shared" ref="L130:L144" si="6">J130+L129</f>
        <v>24000</v>
      </c>
      <c r="M130" s="73">
        <f t="shared" ref="M130:M144" si="7">K130+M129</f>
        <v>18</v>
      </c>
    </row>
    <row r="131" spans="1:13">
      <c r="A131" s="27">
        <v>45914</v>
      </c>
      <c r="B131" s="74" t="s">
        <v>33</v>
      </c>
      <c r="C131" s="74"/>
      <c r="D131" s="74"/>
      <c r="E131" s="75"/>
      <c r="F131" s="73">
        <v>0</v>
      </c>
      <c r="G131" s="73">
        <v>71</v>
      </c>
      <c r="H131" s="73">
        <v>71</v>
      </c>
      <c r="I131" s="4">
        <v>35593</v>
      </c>
      <c r="J131" s="73">
        <v>0</v>
      </c>
      <c r="K131" s="73">
        <v>0</v>
      </c>
      <c r="L131" s="73">
        <f t="shared" si="6"/>
        <v>24000</v>
      </c>
      <c r="M131" s="73">
        <f t="shared" si="7"/>
        <v>18</v>
      </c>
    </row>
    <row r="132" spans="1:13">
      <c r="A132" s="29">
        <v>45914</v>
      </c>
      <c r="B132" s="76" t="s">
        <v>39</v>
      </c>
      <c r="C132" s="76"/>
      <c r="D132" s="76"/>
      <c r="E132" s="77"/>
      <c r="F132" s="30">
        <v>-1500</v>
      </c>
      <c r="G132" s="72">
        <v>0</v>
      </c>
      <c r="H132" s="30">
        <v>-1500</v>
      </c>
      <c r="I132" s="30">
        <v>34093</v>
      </c>
      <c r="J132" s="72">
        <v>0</v>
      </c>
      <c r="K132" s="72">
        <v>0</v>
      </c>
      <c r="L132" s="73">
        <f t="shared" ref="L132:L144" si="8">J132+L131</f>
        <v>24000</v>
      </c>
      <c r="M132" s="73">
        <f t="shared" ref="M132:M144" si="9">K132+M131</f>
        <v>18</v>
      </c>
    </row>
    <row r="133" spans="1:13">
      <c r="A133" s="27">
        <v>45915</v>
      </c>
      <c r="B133" s="1" t="s">
        <v>66</v>
      </c>
      <c r="C133" s="1" t="s">
        <v>13</v>
      </c>
      <c r="D133" s="1" t="s">
        <v>42</v>
      </c>
      <c r="E133" s="1" t="s">
        <v>43</v>
      </c>
      <c r="F133" s="73">
        <v>624</v>
      </c>
      <c r="G133" s="28">
        <v>206</v>
      </c>
      <c r="H133" s="73">
        <v>830</v>
      </c>
      <c r="I133" s="4">
        <v>34923</v>
      </c>
      <c r="J133" s="4">
        <v>1648</v>
      </c>
      <c r="K133" s="73">
        <v>1</v>
      </c>
      <c r="L133" s="73">
        <f t="shared" si="8"/>
        <v>25648</v>
      </c>
      <c r="M133" s="73">
        <f t="shared" si="9"/>
        <v>19</v>
      </c>
    </row>
    <row r="134" spans="1:13">
      <c r="A134" s="27">
        <v>45915</v>
      </c>
      <c r="B134" s="74" t="s">
        <v>33</v>
      </c>
      <c r="C134" s="74"/>
      <c r="D134" s="74"/>
      <c r="E134" s="75"/>
      <c r="F134" s="73">
        <v>0</v>
      </c>
      <c r="G134" s="73">
        <v>17</v>
      </c>
      <c r="H134" s="73">
        <v>17</v>
      </c>
      <c r="I134" s="4">
        <v>34940</v>
      </c>
      <c r="J134" s="73">
        <v>0</v>
      </c>
      <c r="K134" s="73">
        <v>0</v>
      </c>
      <c r="L134" s="73">
        <f t="shared" si="8"/>
        <v>25648</v>
      </c>
      <c r="M134" s="73">
        <f t="shared" si="9"/>
        <v>19</v>
      </c>
    </row>
    <row r="135" spans="1:13">
      <c r="A135" s="27">
        <v>45916</v>
      </c>
      <c r="B135" s="74" t="s">
        <v>33</v>
      </c>
      <c r="C135" s="74"/>
      <c r="D135" s="74"/>
      <c r="E135" s="75"/>
      <c r="F135" s="73">
        <v>0</v>
      </c>
      <c r="G135" s="73">
        <v>8</v>
      </c>
      <c r="H135" s="73">
        <v>8</v>
      </c>
      <c r="I135" s="4">
        <v>34948</v>
      </c>
      <c r="J135" s="73">
        <v>0</v>
      </c>
      <c r="K135" s="73">
        <v>0</v>
      </c>
      <c r="L135" s="73">
        <f t="shared" si="8"/>
        <v>25648</v>
      </c>
      <c r="M135" s="73">
        <f t="shared" si="9"/>
        <v>19</v>
      </c>
    </row>
    <row r="136" spans="1:13">
      <c r="A136" s="27">
        <v>45917</v>
      </c>
      <c r="B136" s="1" t="s">
        <v>67</v>
      </c>
      <c r="C136" s="1" t="s">
        <v>24</v>
      </c>
      <c r="D136" s="1" t="s">
        <v>42</v>
      </c>
      <c r="E136" s="1" t="s">
        <v>43</v>
      </c>
      <c r="F136" s="73">
        <v>624</v>
      </c>
      <c r="G136" s="28">
        <v>206</v>
      </c>
      <c r="H136" s="73">
        <v>830</v>
      </c>
      <c r="I136" s="4">
        <v>35778</v>
      </c>
      <c r="J136" s="4">
        <v>1648</v>
      </c>
      <c r="K136" s="73">
        <v>1</v>
      </c>
      <c r="L136" s="73">
        <f t="shared" si="8"/>
        <v>27296</v>
      </c>
      <c r="M136" s="73">
        <f t="shared" si="9"/>
        <v>20</v>
      </c>
    </row>
    <row r="137" spans="1:13">
      <c r="A137" s="27">
        <v>45917</v>
      </c>
      <c r="B137" s="74" t="s">
        <v>33</v>
      </c>
      <c r="C137" s="74"/>
      <c r="D137" s="74"/>
      <c r="E137" s="75"/>
      <c r="F137" s="73">
        <v>0</v>
      </c>
      <c r="G137" s="73">
        <v>10</v>
      </c>
      <c r="H137" s="73">
        <v>10</v>
      </c>
      <c r="I137" s="4">
        <v>35788</v>
      </c>
      <c r="J137" s="73">
        <v>0</v>
      </c>
      <c r="K137" s="73">
        <v>0</v>
      </c>
      <c r="L137" s="73">
        <f t="shared" si="8"/>
        <v>27296</v>
      </c>
      <c r="M137" s="73">
        <f t="shared" si="9"/>
        <v>20</v>
      </c>
    </row>
    <row r="138" spans="1:13">
      <c r="A138" s="27">
        <v>45918</v>
      </c>
      <c r="B138" s="74" t="s">
        <v>33</v>
      </c>
      <c r="C138" s="74"/>
      <c r="D138" s="74"/>
      <c r="E138" s="75"/>
      <c r="F138" s="73">
        <v>0</v>
      </c>
      <c r="G138" s="73">
        <v>11</v>
      </c>
      <c r="H138" s="73">
        <v>11</v>
      </c>
      <c r="I138" s="4">
        <v>35799</v>
      </c>
      <c r="J138" s="73">
        <v>0</v>
      </c>
      <c r="K138" s="73">
        <v>0</v>
      </c>
      <c r="L138" s="73">
        <f t="shared" si="8"/>
        <v>27296</v>
      </c>
      <c r="M138" s="73">
        <f t="shared" si="9"/>
        <v>20</v>
      </c>
    </row>
    <row r="139" spans="1:13">
      <c r="A139" s="27">
        <v>45919</v>
      </c>
      <c r="B139" s="74" t="s">
        <v>33</v>
      </c>
      <c r="C139" s="74"/>
      <c r="D139" s="74"/>
      <c r="E139" s="75"/>
      <c r="F139" s="73">
        <v>0</v>
      </c>
      <c r="G139" s="73">
        <v>9</v>
      </c>
      <c r="H139" s="73">
        <v>9</v>
      </c>
      <c r="I139" s="4">
        <v>35808</v>
      </c>
      <c r="J139" s="73">
        <v>0</v>
      </c>
      <c r="K139" s="73">
        <v>0</v>
      </c>
      <c r="L139" s="73">
        <f t="shared" si="8"/>
        <v>27296</v>
      </c>
      <c r="M139" s="73">
        <f t="shared" si="9"/>
        <v>20</v>
      </c>
    </row>
    <row r="140" spans="1:13">
      <c r="A140" s="27">
        <v>45919</v>
      </c>
      <c r="B140" s="74" t="s">
        <v>37</v>
      </c>
      <c r="C140" s="74"/>
      <c r="D140" s="74"/>
      <c r="E140" s="75"/>
      <c r="F140" s="4">
        <v>-7000</v>
      </c>
      <c r="G140" s="73">
        <v>0</v>
      </c>
      <c r="H140" s="4">
        <v>-7000</v>
      </c>
      <c r="I140" s="4">
        <v>28808</v>
      </c>
      <c r="J140" s="73">
        <v>0</v>
      </c>
      <c r="K140" s="73">
        <v>0</v>
      </c>
      <c r="L140" s="73">
        <f t="shared" si="8"/>
        <v>27296</v>
      </c>
      <c r="M140" s="73">
        <f t="shared" si="9"/>
        <v>20</v>
      </c>
    </row>
    <row r="141" spans="1:13">
      <c r="A141" s="27">
        <v>45919</v>
      </c>
      <c r="B141" s="74" t="s">
        <v>37</v>
      </c>
      <c r="C141" s="74"/>
      <c r="D141" s="74"/>
      <c r="E141" s="75"/>
      <c r="F141" s="4">
        <v>-7000</v>
      </c>
      <c r="G141" s="73">
        <v>0</v>
      </c>
      <c r="H141" s="4">
        <v>-7000</v>
      </c>
      <c r="I141" s="4">
        <v>21808</v>
      </c>
      <c r="J141" s="73">
        <v>0</v>
      </c>
      <c r="K141" s="73">
        <v>0</v>
      </c>
      <c r="L141" s="73">
        <f t="shared" si="8"/>
        <v>27296</v>
      </c>
      <c r="M141" s="73">
        <f t="shared" si="9"/>
        <v>20</v>
      </c>
    </row>
    <row r="142" spans="1:13">
      <c r="A142" s="27">
        <v>45919</v>
      </c>
      <c r="B142" s="74" t="s">
        <v>37</v>
      </c>
      <c r="C142" s="74"/>
      <c r="D142" s="74"/>
      <c r="E142" s="75"/>
      <c r="F142" s="4">
        <v>-7000</v>
      </c>
      <c r="G142" s="73">
        <v>0</v>
      </c>
      <c r="H142" s="4">
        <v>-7000</v>
      </c>
      <c r="I142" s="4">
        <v>14808</v>
      </c>
      <c r="J142" s="73">
        <v>0</v>
      </c>
      <c r="K142" s="73">
        <v>0</v>
      </c>
      <c r="L142" s="73">
        <f t="shared" si="8"/>
        <v>27296</v>
      </c>
      <c r="M142" s="73">
        <f t="shared" si="9"/>
        <v>20</v>
      </c>
    </row>
    <row r="143" spans="1:13">
      <c r="A143" s="27">
        <v>45919</v>
      </c>
      <c r="B143" s="74" t="s">
        <v>37</v>
      </c>
      <c r="C143" s="74"/>
      <c r="D143" s="74"/>
      <c r="E143" s="75"/>
      <c r="F143" s="4">
        <v>-7000</v>
      </c>
      <c r="G143" s="73">
        <v>0</v>
      </c>
      <c r="H143" s="4">
        <v>-7000</v>
      </c>
      <c r="I143" s="4">
        <v>7808</v>
      </c>
      <c r="J143" s="73">
        <v>0</v>
      </c>
      <c r="K143" s="73">
        <v>0</v>
      </c>
      <c r="L143" s="73">
        <f t="shared" si="8"/>
        <v>27296</v>
      </c>
      <c r="M143" s="73">
        <f t="shared" si="9"/>
        <v>20</v>
      </c>
    </row>
    <row r="144" spans="1:13">
      <c r="A144" s="29">
        <v>45920</v>
      </c>
      <c r="B144" s="76" t="s">
        <v>33</v>
      </c>
      <c r="C144" s="76"/>
      <c r="D144" s="76"/>
      <c r="E144" s="77"/>
      <c r="F144" s="72">
        <v>0</v>
      </c>
      <c r="G144" s="72">
        <v>8</v>
      </c>
      <c r="H144" s="72">
        <v>8</v>
      </c>
      <c r="I144" s="30">
        <v>7816</v>
      </c>
      <c r="J144" s="72">
        <v>0</v>
      </c>
      <c r="K144" s="72">
        <v>0</v>
      </c>
      <c r="L144" s="73">
        <f t="shared" si="8"/>
        <v>27296</v>
      </c>
      <c r="M144" s="73">
        <f t="shared" si="9"/>
        <v>20</v>
      </c>
    </row>
    <row r="145" spans="1:13">
      <c r="A145" s="27">
        <v>45921</v>
      </c>
      <c r="B145" s="74" t="s">
        <v>33</v>
      </c>
      <c r="C145" s="74"/>
      <c r="D145" s="74"/>
      <c r="E145" s="75"/>
      <c r="F145" s="73">
        <v>0</v>
      </c>
      <c r="G145" s="73">
        <v>27</v>
      </c>
      <c r="H145" s="73">
        <v>27</v>
      </c>
      <c r="I145" s="4">
        <v>7847</v>
      </c>
      <c r="J145" s="73">
        <v>0</v>
      </c>
      <c r="K145" s="73">
        <v>0</v>
      </c>
      <c r="L145" s="73">
        <f t="shared" ref="L145:L169" si="10">J145+L144</f>
        <v>27296</v>
      </c>
      <c r="M145" s="73">
        <f t="shared" ref="M145:M169" si="11">K145+M144</f>
        <v>20</v>
      </c>
    </row>
    <row r="146" spans="1:13">
      <c r="A146" s="27">
        <v>45922</v>
      </c>
      <c r="B146" s="74" t="s">
        <v>33</v>
      </c>
      <c r="C146" s="74"/>
      <c r="D146" s="74"/>
      <c r="E146" s="75"/>
      <c r="F146" s="73">
        <v>0</v>
      </c>
      <c r="G146" s="73">
        <v>8</v>
      </c>
      <c r="H146" s="73">
        <v>8</v>
      </c>
      <c r="I146" s="4">
        <v>7855</v>
      </c>
      <c r="J146" s="73">
        <v>0</v>
      </c>
      <c r="K146" s="73">
        <v>0</v>
      </c>
      <c r="L146" s="73">
        <f t="shared" si="10"/>
        <v>27296</v>
      </c>
      <c r="M146" s="73">
        <f t="shared" si="11"/>
        <v>20</v>
      </c>
    </row>
    <row r="147" spans="1:13">
      <c r="A147" s="27">
        <v>45923</v>
      </c>
      <c r="B147" s="74" t="s">
        <v>33</v>
      </c>
      <c r="C147" s="74"/>
      <c r="D147" s="74"/>
      <c r="E147" s="75"/>
      <c r="F147" s="73">
        <v>0</v>
      </c>
      <c r="G147" s="73">
        <v>10</v>
      </c>
      <c r="H147" s="73">
        <v>10</v>
      </c>
      <c r="I147" s="4">
        <v>7865</v>
      </c>
      <c r="J147" s="73">
        <v>0</v>
      </c>
      <c r="K147" s="73">
        <v>0</v>
      </c>
      <c r="L147" s="73">
        <f t="shared" si="10"/>
        <v>27296</v>
      </c>
      <c r="M147" s="73">
        <f t="shared" si="11"/>
        <v>20</v>
      </c>
    </row>
    <row r="148" spans="1:13">
      <c r="A148" s="27">
        <v>45924</v>
      </c>
      <c r="B148" s="74" t="s">
        <v>33</v>
      </c>
      <c r="C148" s="74"/>
      <c r="D148" s="74"/>
      <c r="E148" s="75"/>
      <c r="F148" s="73">
        <v>0</v>
      </c>
      <c r="G148" s="73">
        <v>7</v>
      </c>
      <c r="H148" s="73">
        <v>7</v>
      </c>
      <c r="I148" s="4">
        <v>7872</v>
      </c>
      <c r="J148" s="73">
        <v>0</v>
      </c>
      <c r="K148" s="73">
        <v>0</v>
      </c>
      <c r="L148" s="73">
        <f t="shared" si="10"/>
        <v>27296</v>
      </c>
      <c r="M148" s="73">
        <f t="shared" si="11"/>
        <v>20</v>
      </c>
    </row>
    <row r="149" spans="1:13">
      <c r="A149" s="27">
        <v>45925</v>
      </c>
      <c r="B149" s="74" t="s">
        <v>33</v>
      </c>
      <c r="C149" s="74"/>
      <c r="D149" s="74"/>
      <c r="E149" s="75"/>
      <c r="F149" s="73">
        <v>0</v>
      </c>
      <c r="G149" s="73">
        <v>55</v>
      </c>
      <c r="H149" s="73">
        <v>55</v>
      </c>
      <c r="I149" s="4">
        <v>7927</v>
      </c>
      <c r="J149" s="73">
        <v>0</v>
      </c>
      <c r="K149" s="73">
        <v>0</v>
      </c>
      <c r="L149" s="73">
        <f t="shared" si="10"/>
        <v>27296</v>
      </c>
      <c r="M149" s="73">
        <f t="shared" si="11"/>
        <v>20</v>
      </c>
    </row>
    <row r="150" spans="1:13">
      <c r="A150" s="27">
        <v>45926</v>
      </c>
      <c r="B150" s="1" t="s">
        <v>68</v>
      </c>
      <c r="C150" s="1" t="s">
        <v>69</v>
      </c>
      <c r="D150" s="1" t="s">
        <v>42</v>
      </c>
      <c r="E150" s="1" t="s">
        <v>50</v>
      </c>
      <c r="F150" s="73">
        <v>403</v>
      </c>
      <c r="G150" s="28">
        <v>151</v>
      </c>
      <c r="H150" s="73">
        <v>554</v>
      </c>
      <c r="I150" s="4">
        <v>8481</v>
      </c>
      <c r="J150" s="4">
        <v>1006</v>
      </c>
      <c r="K150" s="73">
        <v>1</v>
      </c>
      <c r="L150" s="73">
        <f t="shared" si="10"/>
        <v>28302</v>
      </c>
      <c r="M150" s="73">
        <f t="shared" si="11"/>
        <v>21</v>
      </c>
    </row>
    <row r="151" spans="1:13">
      <c r="A151" s="27">
        <v>45926</v>
      </c>
      <c r="B151" s="1" t="s">
        <v>70</v>
      </c>
      <c r="C151" s="1" t="s">
        <v>71</v>
      </c>
      <c r="D151" s="1" t="s">
        <v>42</v>
      </c>
      <c r="E151" s="1" t="s">
        <v>50</v>
      </c>
      <c r="F151" s="73">
        <v>403</v>
      </c>
      <c r="G151" s="28">
        <v>151</v>
      </c>
      <c r="H151" s="73">
        <v>554</v>
      </c>
      <c r="I151" s="4">
        <v>9035</v>
      </c>
      <c r="J151" s="4">
        <v>1006</v>
      </c>
      <c r="K151" s="73">
        <v>1</v>
      </c>
      <c r="L151" s="73">
        <f t="shared" si="10"/>
        <v>29308</v>
      </c>
      <c r="M151" s="73">
        <f t="shared" si="11"/>
        <v>22</v>
      </c>
    </row>
    <row r="152" spans="1:13">
      <c r="A152" s="27">
        <v>45926</v>
      </c>
      <c r="B152" s="1" t="s">
        <v>72</v>
      </c>
      <c r="C152" s="1" t="s">
        <v>73</v>
      </c>
      <c r="D152" s="1" t="s">
        <v>42</v>
      </c>
      <c r="E152" s="1" t="s">
        <v>50</v>
      </c>
      <c r="F152" s="73">
        <v>98</v>
      </c>
      <c r="G152" s="28">
        <v>75</v>
      </c>
      <c r="H152" s="73">
        <v>173</v>
      </c>
      <c r="I152" s="4">
        <v>9208</v>
      </c>
      <c r="J152" s="73">
        <v>396</v>
      </c>
      <c r="K152" s="73">
        <v>1</v>
      </c>
      <c r="L152" s="73">
        <f t="shared" si="10"/>
        <v>29704</v>
      </c>
      <c r="M152" s="73">
        <f t="shared" si="11"/>
        <v>23</v>
      </c>
    </row>
    <row r="153" spans="1:13">
      <c r="A153" s="27">
        <v>45926</v>
      </c>
      <c r="B153" s="1" t="s">
        <v>74</v>
      </c>
      <c r="C153" s="1" t="s">
        <v>75</v>
      </c>
      <c r="D153" s="1" t="s">
        <v>42</v>
      </c>
      <c r="E153" s="1" t="s">
        <v>50</v>
      </c>
      <c r="F153" s="73">
        <v>98</v>
      </c>
      <c r="G153" s="28">
        <v>75</v>
      </c>
      <c r="H153" s="73">
        <v>173</v>
      </c>
      <c r="I153" s="4">
        <v>9381</v>
      </c>
      <c r="J153" s="73">
        <v>396</v>
      </c>
      <c r="K153" s="73">
        <v>1</v>
      </c>
      <c r="L153" s="73">
        <f t="shared" si="10"/>
        <v>30100</v>
      </c>
      <c r="M153" s="73">
        <f t="shared" si="11"/>
        <v>24</v>
      </c>
    </row>
    <row r="154" spans="1:13">
      <c r="A154" s="27">
        <v>45926</v>
      </c>
      <c r="B154" s="1" t="s">
        <v>76</v>
      </c>
      <c r="C154" s="1" t="s">
        <v>77</v>
      </c>
      <c r="D154" s="1" t="s">
        <v>42</v>
      </c>
      <c r="E154" s="1" t="s">
        <v>50</v>
      </c>
      <c r="F154" s="73">
        <v>182</v>
      </c>
      <c r="G154" s="28">
        <v>96</v>
      </c>
      <c r="H154" s="73">
        <v>278</v>
      </c>
      <c r="I154" s="4">
        <v>9659</v>
      </c>
      <c r="J154" s="73">
        <v>564</v>
      </c>
      <c r="K154" s="73">
        <v>1</v>
      </c>
      <c r="L154" s="73">
        <f t="shared" si="10"/>
        <v>30664</v>
      </c>
      <c r="M154" s="73">
        <f t="shared" si="11"/>
        <v>25</v>
      </c>
    </row>
    <row r="155" spans="1:13">
      <c r="A155" s="27">
        <v>45926</v>
      </c>
      <c r="B155" s="1" t="s">
        <v>78</v>
      </c>
      <c r="C155" s="1" t="s">
        <v>79</v>
      </c>
      <c r="D155" s="1" t="s">
        <v>42</v>
      </c>
      <c r="E155" s="1" t="s">
        <v>50</v>
      </c>
      <c r="F155" s="73">
        <v>182</v>
      </c>
      <c r="G155" s="28">
        <v>96</v>
      </c>
      <c r="H155" s="73">
        <v>278</v>
      </c>
      <c r="I155" s="4">
        <v>9937</v>
      </c>
      <c r="J155" s="73">
        <v>564</v>
      </c>
      <c r="K155" s="73">
        <v>1</v>
      </c>
      <c r="L155" s="73">
        <f t="shared" si="10"/>
        <v>31228</v>
      </c>
      <c r="M155" s="73">
        <f t="shared" si="11"/>
        <v>26</v>
      </c>
    </row>
    <row r="156" spans="1:13">
      <c r="A156" s="27">
        <v>45926</v>
      </c>
      <c r="B156" s="1" t="s">
        <v>12</v>
      </c>
      <c r="C156" s="1" t="s">
        <v>13</v>
      </c>
      <c r="D156" s="1" t="s">
        <v>42</v>
      </c>
      <c r="E156" s="1" t="s">
        <v>50</v>
      </c>
      <c r="F156" s="73">
        <v>425</v>
      </c>
      <c r="G156" s="28">
        <v>156</v>
      </c>
      <c r="H156" s="73">
        <v>581</v>
      </c>
      <c r="I156" s="4">
        <v>10518</v>
      </c>
      <c r="J156" s="4">
        <v>1050</v>
      </c>
      <c r="K156" s="73">
        <v>1</v>
      </c>
      <c r="L156" s="73">
        <f t="shared" si="10"/>
        <v>32278</v>
      </c>
      <c r="M156" s="73">
        <f t="shared" si="11"/>
        <v>27</v>
      </c>
    </row>
    <row r="157" spans="1:13">
      <c r="A157" s="27">
        <v>45926</v>
      </c>
      <c r="B157" s="74" t="s">
        <v>33</v>
      </c>
      <c r="C157" s="74"/>
      <c r="D157" s="74"/>
      <c r="E157" s="75"/>
      <c r="F157" s="73">
        <v>0</v>
      </c>
      <c r="G157" s="73">
        <v>7</v>
      </c>
      <c r="H157" s="73">
        <v>7</v>
      </c>
      <c r="I157" s="4">
        <v>10525</v>
      </c>
      <c r="J157" s="73">
        <v>0</v>
      </c>
      <c r="K157" s="73">
        <v>0</v>
      </c>
      <c r="L157" s="73">
        <f t="shared" si="10"/>
        <v>32278</v>
      </c>
      <c r="M157" s="73">
        <f t="shared" si="11"/>
        <v>27</v>
      </c>
    </row>
    <row r="158" spans="1:13">
      <c r="A158" s="27">
        <v>45927</v>
      </c>
      <c r="B158" s="1" t="s">
        <v>80</v>
      </c>
      <c r="C158" s="1" t="s">
        <v>81</v>
      </c>
      <c r="D158" s="1" t="s">
        <v>42</v>
      </c>
      <c r="E158" s="1" t="s">
        <v>50</v>
      </c>
      <c r="F158" s="73">
        <v>29</v>
      </c>
      <c r="G158" s="28">
        <v>57</v>
      </c>
      <c r="H158" s="73">
        <v>86</v>
      </c>
      <c r="I158" s="4">
        <v>10611</v>
      </c>
      <c r="J158" s="73">
        <v>258</v>
      </c>
      <c r="K158" s="73">
        <v>1</v>
      </c>
      <c r="L158" s="73">
        <f t="shared" si="10"/>
        <v>32536</v>
      </c>
      <c r="M158" s="73">
        <f t="shared" si="11"/>
        <v>28</v>
      </c>
    </row>
    <row r="159" spans="1:13">
      <c r="A159" s="27">
        <v>45927</v>
      </c>
      <c r="B159" s="1" t="s">
        <v>82</v>
      </c>
      <c r="C159" s="1" t="s">
        <v>83</v>
      </c>
      <c r="D159" s="1" t="s">
        <v>42</v>
      </c>
      <c r="E159" s="1" t="s">
        <v>50</v>
      </c>
      <c r="F159" s="73">
        <v>29</v>
      </c>
      <c r="G159" s="28">
        <v>57</v>
      </c>
      <c r="H159" s="73">
        <v>86</v>
      </c>
      <c r="I159" s="4">
        <v>10697</v>
      </c>
      <c r="J159" s="73">
        <v>258</v>
      </c>
      <c r="K159" s="73">
        <v>1</v>
      </c>
      <c r="L159" s="73">
        <f t="shared" si="10"/>
        <v>32794</v>
      </c>
      <c r="M159" s="73">
        <f t="shared" si="11"/>
        <v>29</v>
      </c>
    </row>
    <row r="160" spans="1:13">
      <c r="A160" s="27">
        <v>45927</v>
      </c>
      <c r="B160" s="1" t="s">
        <v>84</v>
      </c>
      <c r="C160" s="1" t="s">
        <v>85</v>
      </c>
      <c r="D160" s="1" t="s">
        <v>42</v>
      </c>
      <c r="E160" s="1" t="s">
        <v>50</v>
      </c>
      <c r="F160" s="73">
        <v>54</v>
      </c>
      <c r="G160" s="28">
        <v>64</v>
      </c>
      <c r="H160" s="73">
        <v>118</v>
      </c>
      <c r="I160" s="4">
        <v>10815</v>
      </c>
      <c r="J160" s="73">
        <v>308</v>
      </c>
      <c r="K160" s="73">
        <v>1</v>
      </c>
      <c r="L160" s="73">
        <f t="shared" si="10"/>
        <v>33102</v>
      </c>
      <c r="M160" s="73">
        <f t="shared" si="11"/>
        <v>30</v>
      </c>
    </row>
    <row r="161" spans="1:13">
      <c r="A161" s="27">
        <v>45927</v>
      </c>
      <c r="B161" s="1" t="s">
        <v>86</v>
      </c>
      <c r="C161" s="1" t="s">
        <v>87</v>
      </c>
      <c r="D161" s="1" t="s">
        <v>42</v>
      </c>
      <c r="E161" s="1" t="s">
        <v>50</v>
      </c>
      <c r="F161" s="73">
        <v>60</v>
      </c>
      <c r="G161" s="28">
        <v>65</v>
      </c>
      <c r="H161" s="73">
        <v>125</v>
      </c>
      <c r="I161" s="4">
        <v>10940</v>
      </c>
      <c r="J161" s="73">
        <v>320</v>
      </c>
      <c r="K161" s="73">
        <v>1</v>
      </c>
      <c r="L161" s="73">
        <f t="shared" si="10"/>
        <v>33422</v>
      </c>
      <c r="M161" s="73">
        <f t="shared" si="11"/>
        <v>31</v>
      </c>
    </row>
    <row r="162" spans="1:13">
      <c r="A162" s="27">
        <v>45927</v>
      </c>
      <c r="B162" s="1" t="s">
        <v>88</v>
      </c>
      <c r="C162" s="1" t="s">
        <v>89</v>
      </c>
      <c r="D162" s="1" t="s">
        <v>42</v>
      </c>
      <c r="E162" s="1" t="s">
        <v>50</v>
      </c>
      <c r="F162" s="73">
        <v>60</v>
      </c>
      <c r="G162" s="28">
        <v>65</v>
      </c>
      <c r="H162" s="73">
        <v>125</v>
      </c>
      <c r="I162" s="4">
        <v>11065</v>
      </c>
      <c r="J162" s="73">
        <v>320</v>
      </c>
      <c r="K162" s="73">
        <v>1</v>
      </c>
      <c r="L162" s="73">
        <f t="shared" si="10"/>
        <v>33742</v>
      </c>
      <c r="M162" s="73">
        <f t="shared" si="11"/>
        <v>32</v>
      </c>
    </row>
    <row r="163" spans="1:13">
      <c r="A163" s="27">
        <v>45927</v>
      </c>
      <c r="B163" s="1" t="s">
        <v>90</v>
      </c>
      <c r="C163" s="1" t="s">
        <v>91</v>
      </c>
      <c r="D163" s="1" t="s">
        <v>42</v>
      </c>
      <c r="E163" s="1" t="s">
        <v>50</v>
      </c>
      <c r="F163" s="73">
        <v>185</v>
      </c>
      <c r="G163" s="28">
        <v>96</v>
      </c>
      <c r="H163" s="73">
        <v>281</v>
      </c>
      <c r="I163" s="4">
        <v>11346</v>
      </c>
      <c r="J163" s="73">
        <v>570</v>
      </c>
      <c r="K163" s="73">
        <v>1</v>
      </c>
      <c r="L163" s="73">
        <f t="shared" si="10"/>
        <v>34312</v>
      </c>
      <c r="M163" s="73">
        <f t="shared" si="11"/>
        <v>33</v>
      </c>
    </row>
    <row r="164" spans="1:13">
      <c r="A164" s="27">
        <v>45927</v>
      </c>
      <c r="B164" s="1" t="s">
        <v>92</v>
      </c>
      <c r="C164" s="1" t="s">
        <v>93</v>
      </c>
      <c r="D164" s="1" t="s">
        <v>42</v>
      </c>
      <c r="E164" s="1" t="s">
        <v>50</v>
      </c>
      <c r="F164" s="73">
        <v>133</v>
      </c>
      <c r="G164" s="28">
        <v>83</v>
      </c>
      <c r="H164" s="73">
        <v>216</v>
      </c>
      <c r="I164" s="4">
        <v>11562</v>
      </c>
      <c r="J164" s="73">
        <v>466</v>
      </c>
      <c r="K164" s="73">
        <v>1</v>
      </c>
      <c r="L164" s="73">
        <f t="shared" si="10"/>
        <v>34778</v>
      </c>
      <c r="M164" s="73">
        <f t="shared" si="11"/>
        <v>34</v>
      </c>
    </row>
    <row r="165" spans="1:13">
      <c r="A165" s="27">
        <v>45927</v>
      </c>
      <c r="B165" s="1" t="s">
        <v>94</v>
      </c>
      <c r="C165" s="1" t="s">
        <v>71</v>
      </c>
      <c r="D165" s="1" t="s">
        <v>42</v>
      </c>
      <c r="E165" s="1" t="s">
        <v>50</v>
      </c>
      <c r="F165" s="73">
        <v>403</v>
      </c>
      <c r="G165" s="28">
        <v>151</v>
      </c>
      <c r="H165" s="73">
        <v>554</v>
      </c>
      <c r="I165" s="4">
        <v>12116</v>
      </c>
      <c r="J165" s="4">
        <v>1006</v>
      </c>
      <c r="K165" s="73">
        <v>1</v>
      </c>
      <c r="L165" s="73">
        <f t="shared" si="10"/>
        <v>35784</v>
      </c>
      <c r="M165" s="73">
        <f t="shared" si="11"/>
        <v>35</v>
      </c>
    </row>
    <row r="166" spans="1:13">
      <c r="A166" s="27">
        <v>45927</v>
      </c>
      <c r="B166" s="1" t="s">
        <v>95</v>
      </c>
      <c r="C166" s="1" t="s">
        <v>69</v>
      </c>
      <c r="D166" s="1" t="s">
        <v>42</v>
      </c>
      <c r="E166" s="1" t="s">
        <v>50</v>
      </c>
      <c r="F166" s="73">
        <v>403</v>
      </c>
      <c r="G166" s="28">
        <v>151</v>
      </c>
      <c r="H166" s="73">
        <v>554</v>
      </c>
      <c r="I166" s="4">
        <v>12670</v>
      </c>
      <c r="J166" s="4">
        <v>1006</v>
      </c>
      <c r="K166" s="73">
        <v>1</v>
      </c>
      <c r="L166" s="73">
        <f t="shared" si="10"/>
        <v>36790</v>
      </c>
      <c r="M166" s="73">
        <f t="shared" si="11"/>
        <v>36</v>
      </c>
    </row>
    <row r="167" spans="1:13">
      <c r="A167" s="27">
        <v>45927</v>
      </c>
      <c r="B167" s="74" t="s">
        <v>33</v>
      </c>
      <c r="C167" s="74"/>
      <c r="D167" s="74"/>
      <c r="E167" s="75"/>
      <c r="F167" s="73">
        <v>0</v>
      </c>
      <c r="G167" s="73">
        <v>160</v>
      </c>
      <c r="H167" s="73">
        <v>160</v>
      </c>
      <c r="I167" s="4">
        <v>12830</v>
      </c>
      <c r="J167" s="73">
        <v>0</v>
      </c>
      <c r="K167" s="73">
        <v>0</v>
      </c>
      <c r="L167" s="73">
        <f t="shared" si="10"/>
        <v>36790</v>
      </c>
      <c r="M167" s="73">
        <f t="shared" si="11"/>
        <v>36</v>
      </c>
    </row>
    <row r="168" spans="1:13">
      <c r="A168" s="27">
        <v>45928</v>
      </c>
      <c r="B168" s="74" t="s">
        <v>33</v>
      </c>
      <c r="C168" s="74"/>
      <c r="D168" s="74"/>
      <c r="E168" s="75"/>
      <c r="F168" s="73">
        <v>0</v>
      </c>
      <c r="G168" s="73">
        <v>172</v>
      </c>
      <c r="H168" s="73">
        <v>172</v>
      </c>
      <c r="I168" s="4">
        <v>13002</v>
      </c>
      <c r="J168" s="73">
        <v>0</v>
      </c>
      <c r="K168" s="73">
        <v>0</v>
      </c>
      <c r="L168" s="73">
        <f t="shared" si="10"/>
        <v>36790</v>
      </c>
      <c r="M168" s="73">
        <f t="shared" si="11"/>
        <v>36</v>
      </c>
    </row>
    <row r="169" spans="1:13">
      <c r="A169" s="29">
        <v>45929</v>
      </c>
      <c r="B169" s="76" t="s">
        <v>33</v>
      </c>
      <c r="C169" s="76"/>
      <c r="D169" s="76"/>
      <c r="E169" s="77"/>
      <c r="F169" s="72">
        <v>0</v>
      </c>
      <c r="G169" s="72">
        <v>219</v>
      </c>
      <c r="H169" s="72">
        <v>219</v>
      </c>
      <c r="I169" s="30">
        <v>13221</v>
      </c>
      <c r="J169" s="72">
        <v>0</v>
      </c>
      <c r="K169" s="72">
        <v>0</v>
      </c>
      <c r="L169" s="73">
        <f t="shared" si="10"/>
        <v>36790</v>
      </c>
      <c r="M169" s="73">
        <f t="shared" si="11"/>
        <v>36</v>
      </c>
    </row>
    <row r="170" spans="1:13">
      <c r="A170" s="27">
        <v>45930</v>
      </c>
      <c r="B170" s="74" t="s">
        <v>49</v>
      </c>
      <c r="C170" s="74"/>
      <c r="D170" s="74"/>
      <c r="E170" s="75"/>
      <c r="F170" s="73">
        <v>0</v>
      </c>
      <c r="G170" s="73">
        <v>1</v>
      </c>
      <c r="H170" s="73">
        <v>1</v>
      </c>
      <c r="I170" s="4">
        <v>15617</v>
      </c>
      <c r="J170" s="73">
        <v>0</v>
      </c>
      <c r="K170" s="73">
        <v>0</v>
      </c>
      <c r="L170" s="73">
        <f t="shared" ref="L170:L197" si="12">J170+L169</f>
        <v>36790</v>
      </c>
      <c r="M170" s="73">
        <f t="shared" ref="M170:M197" si="13">K170+M169</f>
        <v>36</v>
      </c>
    </row>
    <row r="171" spans="1:13">
      <c r="A171" s="27">
        <v>45930</v>
      </c>
      <c r="B171" s="74" t="s">
        <v>33</v>
      </c>
      <c r="C171" s="74"/>
      <c r="D171" s="74"/>
      <c r="E171" s="75"/>
      <c r="F171" s="73">
        <v>0</v>
      </c>
      <c r="G171" s="73">
        <v>4</v>
      </c>
      <c r="H171" s="73">
        <v>4</v>
      </c>
      <c r="I171" s="4">
        <v>15621</v>
      </c>
      <c r="J171" s="73">
        <v>0</v>
      </c>
      <c r="K171" s="73">
        <v>0</v>
      </c>
      <c r="L171" s="73">
        <f t="shared" si="12"/>
        <v>36790</v>
      </c>
      <c r="M171" s="73">
        <f t="shared" si="13"/>
        <v>36</v>
      </c>
    </row>
    <row r="172" spans="1:13">
      <c r="A172" s="27">
        <v>45931</v>
      </c>
      <c r="B172" s="74" t="s">
        <v>33</v>
      </c>
      <c r="C172" s="74"/>
      <c r="D172" s="74"/>
      <c r="E172" s="75"/>
      <c r="F172" s="73">
        <v>0</v>
      </c>
      <c r="G172" s="73">
        <v>18</v>
      </c>
      <c r="H172" s="73">
        <v>18</v>
      </c>
      <c r="I172" s="4">
        <v>15639</v>
      </c>
      <c r="J172" s="73">
        <v>0</v>
      </c>
      <c r="K172" s="73">
        <v>0</v>
      </c>
      <c r="L172" s="73">
        <f t="shared" si="12"/>
        <v>36790</v>
      </c>
      <c r="M172" s="73">
        <f t="shared" si="13"/>
        <v>36</v>
      </c>
    </row>
    <row r="173" spans="1:13">
      <c r="A173" s="27">
        <v>45932</v>
      </c>
      <c r="B173" s="1" t="s">
        <v>96</v>
      </c>
      <c r="C173" s="1" t="s">
        <v>61</v>
      </c>
      <c r="D173" s="1" t="s">
        <v>42</v>
      </c>
      <c r="E173" s="1" t="s">
        <v>43</v>
      </c>
      <c r="F173" s="73">
        <v>389</v>
      </c>
      <c r="G173" s="28">
        <v>264</v>
      </c>
      <c r="H173" s="73">
        <v>653</v>
      </c>
      <c r="I173" s="4">
        <v>16292</v>
      </c>
      <c r="J173" s="4">
        <v>1178</v>
      </c>
      <c r="K173" s="73">
        <v>1</v>
      </c>
      <c r="L173" s="73">
        <f t="shared" si="12"/>
        <v>37968</v>
      </c>
      <c r="M173" s="73">
        <f t="shared" si="13"/>
        <v>37</v>
      </c>
    </row>
    <row r="174" spans="1:13">
      <c r="A174" s="27">
        <v>45932</v>
      </c>
      <c r="B174" s="74" t="s">
        <v>33</v>
      </c>
      <c r="C174" s="74"/>
      <c r="D174" s="74"/>
      <c r="E174" s="75"/>
      <c r="F174" s="73">
        <v>0</v>
      </c>
      <c r="G174" s="73">
        <v>8</v>
      </c>
      <c r="H174" s="73">
        <v>8</v>
      </c>
      <c r="I174" s="4">
        <v>16300</v>
      </c>
      <c r="J174" s="73">
        <v>0</v>
      </c>
      <c r="K174" s="73">
        <v>0</v>
      </c>
      <c r="L174" s="73">
        <f t="shared" si="12"/>
        <v>37968</v>
      </c>
      <c r="M174" s="73">
        <f t="shared" si="13"/>
        <v>37</v>
      </c>
    </row>
    <row r="175" spans="1:13">
      <c r="A175" s="27">
        <v>45933</v>
      </c>
      <c r="B175" s="74" t="s">
        <v>49</v>
      </c>
      <c r="C175" s="74"/>
      <c r="D175" s="74"/>
      <c r="E175" s="75"/>
      <c r="F175" s="73">
        <v>0</v>
      </c>
      <c r="G175" s="73">
        <v>1</v>
      </c>
      <c r="H175" s="73">
        <v>1</v>
      </c>
      <c r="I175" s="4">
        <v>16301</v>
      </c>
      <c r="J175" s="73">
        <v>0</v>
      </c>
      <c r="K175" s="73">
        <v>0</v>
      </c>
      <c r="L175" s="73">
        <f t="shared" si="12"/>
        <v>37968</v>
      </c>
      <c r="M175" s="73">
        <f t="shared" si="13"/>
        <v>37</v>
      </c>
    </row>
    <row r="176" spans="1:13">
      <c r="A176" s="27">
        <v>45933</v>
      </c>
      <c r="B176" s="74" t="s">
        <v>33</v>
      </c>
      <c r="C176" s="74"/>
      <c r="D176" s="74"/>
      <c r="E176" s="75"/>
      <c r="F176" s="73">
        <v>0</v>
      </c>
      <c r="G176" s="73">
        <v>8</v>
      </c>
      <c r="H176" s="73">
        <v>8</v>
      </c>
      <c r="I176" s="4">
        <v>16309</v>
      </c>
      <c r="J176" s="73">
        <v>0</v>
      </c>
      <c r="K176" s="73">
        <v>0</v>
      </c>
      <c r="L176" s="73">
        <f t="shared" si="12"/>
        <v>37968</v>
      </c>
      <c r="M176" s="73">
        <f t="shared" si="13"/>
        <v>37</v>
      </c>
    </row>
    <row r="177" spans="1:13">
      <c r="A177" s="27">
        <v>45934</v>
      </c>
      <c r="B177" s="1" t="s">
        <v>97</v>
      </c>
      <c r="C177" s="1" t="s">
        <v>13</v>
      </c>
      <c r="D177" s="1" t="s">
        <v>42</v>
      </c>
      <c r="E177" s="1" t="s">
        <v>50</v>
      </c>
      <c r="F177" s="73">
        <v>425</v>
      </c>
      <c r="G177" s="28">
        <v>284</v>
      </c>
      <c r="H177" s="73">
        <v>709</v>
      </c>
      <c r="I177" s="4">
        <v>17018</v>
      </c>
      <c r="J177" s="4">
        <v>1050</v>
      </c>
      <c r="K177" s="73">
        <v>1</v>
      </c>
      <c r="L177" s="73">
        <f t="shared" si="12"/>
        <v>39018</v>
      </c>
      <c r="M177" s="73">
        <f t="shared" si="13"/>
        <v>38</v>
      </c>
    </row>
    <row r="178" spans="1:13">
      <c r="A178" s="27">
        <v>45934</v>
      </c>
      <c r="B178" s="74" t="s">
        <v>49</v>
      </c>
      <c r="C178" s="74"/>
      <c r="D178" s="74"/>
      <c r="E178" s="75"/>
      <c r="F178" s="73">
        <v>0</v>
      </c>
      <c r="G178" s="73">
        <v>1</v>
      </c>
      <c r="H178" s="73">
        <v>1</v>
      </c>
      <c r="I178" s="4">
        <v>17019</v>
      </c>
      <c r="J178" s="73">
        <v>0</v>
      </c>
      <c r="K178" s="73">
        <v>0</v>
      </c>
      <c r="L178" s="73">
        <f t="shared" si="12"/>
        <v>39018</v>
      </c>
      <c r="M178" s="73">
        <f t="shared" si="13"/>
        <v>38</v>
      </c>
    </row>
    <row r="179" spans="1:13">
      <c r="A179" s="27">
        <v>45934</v>
      </c>
      <c r="B179" s="74" t="s">
        <v>33</v>
      </c>
      <c r="C179" s="74"/>
      <c r="D179" s="74"/>
      <c r="E179" s="75"/>
      <c r="F179" s="73">
        <v>0</v>
      </c>
      <c r="G179" s="73">
        <v>7</v>
      </c>
      <c r="H179" s="73">
        <v>7</v>
      </c>
      <c r="I179" s="4">
        <v>17026</v>
      </c>
      <c r="J179" s="73">
        <v>0</v>
      </c>
      <c r="K179" s="73">
        <v>0</v>
      </c>
      <c r="L179" s="73">
        <f t="shared" si="12"/>
        <v>39018</v>
      </c>
      <c r="M179" s="73">
        <f t="shared" si="13"/>
        <v>38</v>
      </c>
    </row>
    <row r="180" spans="1:13">
      <c r="A180" s="27">
        <v>45935</v>
      </c>
      <c r="B180" s="1" t="s">
        <v>84</v>
      </c>
      <c r="C180" s="1" t="s">
        <v>85</v>
      </c>
      <c r="D180" s="1" t="s">
        <v>42</v>
      </c>
      <c r="E180" s="1" t="s">
        <v>50</v>
      </c>
      <c r="F180" s="73">
        <v>54</v>
      </c>
      <c r="G180" s="28">
        <v>80</v>
      </c>
      <c r="H180" s="73">
        <v>134</v>
      </c>
      <c r="I180" s="4">
        <v>17160</v>
      </c>
      <c r="J180" s="73">
        <v>308</v>
      </c>
      <c r="K180" s="73">
        <v>1</v>
      </c>
      <c r="L180" s="73">
        <f t="shared" si="12"/>
        <v>39326</v>
      </c>
      <c r="M180" s="73">
        <f t="shared" si="13"/>
        <v>39</v>
      </c>
    </row>
    <row r="181" spans="1:13">
      <c r="A181" s="27">
        <v>45935</v>
      </c>
      <c r="B181" s="1" t="s">
        <v>86</v>
      </c>
      <c r="C181" s="1" t="s">
        <v>87</v>
      </c>
      <c r="D181" s="1" t="s">
        <v>42</v>
      </c>
      <c r="E181" s="1" t="s">
        <v>50</v>
      </c>
      <c r="F181" s="73">
        <v>60</v>
      </c>
      <c r="G181" s="28">
        <v>83</v>
      </c>
      <c r="H181" s="73">
        <v>143</v>
      </c>
      <c r="I181" s="4">
        <v>17303</v>
      </c>
      <c r="J181" s="73">
        <v>320</v>
      </c>
      <c r="K181" s="73">
        <v>1</v>
      </c>
      <c r="L181" s="73">
        <f t="shared" si="12"/>
        <v>39646</v>
      </c>
      <c r="M181" s="73">
        <f t="shared" si="13"/>
        <v>40</v>
      </c>
    </row>
    <row r="182" spans="1:13">
      <c r="A182" s="27">
        <v>45935</v>
      </c>
      <c r="B182" s="1" t="s">
        <v>88</v>
      </c>
      <c r="C182" s="1" t="s">
        <v>89</v>
      </c>
      <c r="D182" s="1" t="s">
        <v>42</v>
      </c>
      <c r="E182" s="1" t="s">
        <v>50</v>
      </c>
      <c r="F182" s="73">
        <v>60</v>
      </c>
      <c r="G182" s="28">
        <v>83</v>
      </c>
      <c r="H182" s="73">
        <v>143</v>
      </c>
      <c r="I182" s="4">
        <v>17446</v>
      </c>
      <c r="J182" s="73">
        <v>320</v>
      </c>
      <c r="K182" s="73">
        <v>1</v>
      </c>
      <c r="L182" s="73">
        <f t="shared" si="12"/>
        <v>39966</v>
      </c>
      <c r="M182" s="73">
        <f t="shared" si="13"/>
        <v>41</v>
      </c>
    </row>
    <row r="183" spans="1:13">
      <c r="A183" s="27">
        <v>45935</v>
      </c>
      <c r="B183" s="1" t="s">
        <v>90</v>
      </c>
      <c r="C183" s="1" t="s">
        <v>91</v>
      </c>
      <c r="D183" s="1" t="s">
        <v>42</v>
      </c>
      <c r="E183" s="1" t="s">
        <v>50</v>
      </c>
      <c r="F183" s="73">
        <v>185</v>
      </c>
      <c r="G183" s="28">
        <v>152</v>
      </c>
      <c r="H183" s="73">
        <v>337</v>
      </c>
      <c r="I183" s="4">
        <v>17783</v>
      </c>
      <c r="J183" s="73">
        <v>570</v>
      </c>
      <c r="K183" s="73">
        <v>1</v>
      </c>
      <c r="L183" s="73">
        <f t="shared" si="12"/>
        <v>40536</v>
      </c>
      <c r="M183" s="73">
        <f t="shared" si="13"/>
        <v>42</v>
      </c>
    </row>
    <row r="184" spans="1:13">
      <c r="A184" s="27">
        <v>45935</v>
      </c>
      <c r="B184" s="1" t="s">
        <v>98</v>
      </c>
      <c r="C184" s="1" t="s">
        <v>93</v>
      </c>
      <c r="D184" s="1" t="s">
        <v>42</v>
      </c>
      <c r="E184" s="1" t="s">
        <v>50</v>
      </c>
      <c r="F184" s="73">
        <v>133</v>
      </c>
      <c r="G184" s="28">
        <v>123</v>
      </c>
      <c r="H184" s="73">
        <v>256</v>
      </c>
      <c r="I184" s="4">
        <v>18039</v>
      </c>
      <c r="J184" s="73">
        <v>466</v>
      </c>
      <c r="K184" s="73">
        <v>1</v>
      </c>
      <c r="L184" s="73">
        <f t="shared" si="12"/>
        <v>41002</v>
      </c>
      <c r="M184" s="73">
        <f t="shared" si="13"/>
        <v>43</v>
      </c>
    </row>
    <row r="185" spans="1:13">
      <c r="A185" s="27">
        <v>45935</v>
      </c>
      <c r="B185" s="1" t="s">
        <v>95</v>
      </c>
      <c r="C185" s="1" t="s">
        <v>69</v>
      </c>
      <c r="D185" s="1" t="s">
        <v>42</v>
      </c>
      <c r="E185" s="1" t="s">
        <v>50</v>
      </c>
      <c r="F185" s="73">
        <v>403</v>
      </c>
      <c r="G185" s="28">
        <v>272</v>
      </c>
      <c r="H185" s="73">
        <v>675</v>
      </c>
      <c r="I185" s="4">
        <v>18714</v>
      </c>
      <c r="J185" s="4">
        <v>1006</v>
      </c>
      <c r="K185" s="73">
        <v>1</v>
      </c>
      <c r="L185" s="73">
        <f t="shared" si="12"/>
        <v>42008</v>
      </c>
      <c r="M185" s="73">
        <f t="shared" si="13"/>
        <v>44</v>
      </c>
    </row>
    <row r="186" spans="1:13">
      <c r="A186" s="27">
        <v>45935</v>
      </c>
      <c r="B186" s="1" t="s">
        <v>99</v>
      </c>
      <c r="C186" s="1" t="s">
        <v>100</v>
      </c>
      <c r="D186" s="1" t="s">
        <v>42</v>
      </c>
      <c r="E186" s="1" t="s">
        <v>50</v>
      </c>
      <c r="F186" s="73">
        <v>738</v>
      </c>
      <c r="G186" s="28">
        <v>456</v>
      </c>
      <c r="H186" s="4">
        <v>1194</v>
      </c>
      <c r="I186" s="4">
        <v>19908</v>
      </c>
      <c r="J186" s="4">
        <v>1676</v>
      </c>
      <c r="K186" s="73">
        <v>1</v>
      </c>
      <c r="L186" s="73">
        <f t="shared" si="12"/>
        <v>43684</v>
      </c>
      <c r="M186" s="73">
        <f t="shared" si="13"/>
        <v>45</v>
      </c>
    </row>
    <row r="187" spans="1:13">
      <c r="A187" s="27">
        <v>45935</v>
      </c>
      <c r="B187" s="74" t="s">
        <v>49</v>
      </c>
      <c r="C187" s="74"/>
      <c r="D187" s="74"/>
      <c r="E187" s="75"/>
      <c r="F187" s="73">
        <v>0</v>
      </c>
      <c r="G187" s="73">
        <v>1</v>
      </c>
      <c r="H187" s="73">
        <v>1</v>
      </c>
      <c r="I187" s="4">
        <v>19909</v>
      </c>
      <c r="J187" s="73">
        <v>0</v>
      </c>
      <c r="K187" s="73">
        <v>0</v>
      </c>
      <c r="L187" s="73">
        <f t="shared" si="12"/>
        <v>43684</v>
      </c>
      <c r="M187" s="73">
        <f t="shared" si="13"/>
        <v>45</v>
      </c>
    </row>
    <row r="188" spans="1:13">
      <c r="A188" s="27">
        <v>45935</v>
      </c>
      <c r="B188" s="74" t="s">
        <v>33</v>
      </c>
      <c r="C188" s="74"/>
      <c r="D188" s="74"/>
      <c r="E188" s="75"/>
      <c r="F188" s="73">
        <v>0</v>
      </c>
      <c r="G188" s="73">
        <v>22</v>
      </c>
      <c r="H188" s="73">
        <v>22</v>
      </c>
      <c r="I188" s="4">
        <v>19931</v>
      </c>
      <c r="J188" s="73">
        <v>0</v>
      </c>
      <c r="K188" s="73">
        <v>0</v>
      </c>
      <c r="L188" s="73">
        <f t="shared" si="12"/>
        <v>43684</v>
      </c>
      <c r="M188" s="73">
        <f t="shared" si="13"/>
        <v>45</v>
      </c>
    </row>
    <row r="189" spans="1:13">
      <c r="A189" s="27">
        <v>45936</v>
      </c>
      <c r="B189" s="74" t="s">
        <v>33</v>
      </c>
      <c r="C189" s="74"/>
      <c r="D189" s="74"/>
      <c r="E189" s="75"/>
      <c r="F189" s="73">
        <v>0</v>
      </c>
      <c r="G189" s="73">
        <v>9</v>
      </c>
      <c r="H189" s="73">
        <v>9</v>
      </c>
      <c r="I189" s="4">
        <v>19940</v>
      </c>
      <c r="J189" s="73">
        <v>0</v>
      </c>
      <c r="K189" s="73">
        <v>0</v>
      </c>
      <c r="L189" s="73">
        <f t="shared" si="12"/>
        <v>43684</v>
      </c>
      <c r="M189" s="73">
        <f t="shared" si="13"/>
        <v>45</v>
      </c>
    </row>
    <row r="190" spans="1:13">
      <c r="A190" s="27">
        <v>45937</v>
      </c>
      <c r="B190" s="74" t="s">
        <v>33</v>
      </c>
      <c r="C190" s="74"/>
      <c r="D190" s="74"/>
      <c r="E190" s="75"/>
      <c r="F190" s="73">
        <v>0</v>
      </c>
      <c r="G190" s="73">
        <v>10</v>
      </c>
      <c r="H190" s="73">
        <v>10</v>
      </c>
      <c r="I190" s="4">
        <v>19950</v>
      </c>
      <c r="J190" s="73">
        <v>0</v>
      </c>
      <c r="K190" s="73">
        <v>0</v>
      </c>
      <c r="L190" s="73">
        <f t="shared" si="12"/>
        <v>43684</v>
      </c>
      <c r="M190" s="73">
        <f t="shared" si="13"/>
        <v>45</v>
      </c>
    </row>
    <row r="191" spans="1:13">
      <c r="A191" s="27">
        <v>45938</v>
      </c>
      <c r="B191" s="74" t="s">
        <v>33</v>
      </c>
      <c r="C191" s="74"/>
      <c r="D191" s="74"/>
      <c r="E191" s="75"/>
      <c r="F191" s="73">
        <v>0</v>
      </c>
      <c r="G191" s="73">
        <v>7</v>
      </c>
      <c r="H191" s="73">
        <v>7</v>
      </c>
      <c r="I191" s="4">
        <v>19957</v>
      </c>
      <c r="J191" s="73">
        <v>0</v>
      </c>
      <c r="K191" s="73">
        <v>0</v>
      </c>
      <c r="L191" s="73">
        <f t="shared" si="12"/>
        <v>43684</v>
      </c>
      <c r="M191" s="73">
        <f t="shared" si="13"/>
        <v>45</v>
      </c>
    </row>
    <row r="192" spans="1:13">
      <c r="A192" s="27">
        <v>45939</v>
      </c>
      <c r="B192" s="1" t="s">
        <v>101</v>
      </c>
      <c r="C192" s="1" t="s">
        <v>13</v>
      </c>
      <c r="D192" s="1" t="s">
        <v>42</v>
      </c>
      <c r="E192" s="1" t="s">
        <v>43</v>
      </c>
      <c r="F192" s="73">
        <v>624</v>
      </c>
      <c r="G192" s="28">
        <v>705</v>
      </c>
      <c r="H192" s="4">
        <v>1329</v>
      </c>
      <c r="I192" s="4">
        <v>21286</v>
      </c>
      <c r="J192" s="4">
        <v>1648</v>
      </c>
      <c r="K192" s="73">
        <v>1</v>
      </c>
      <c r="L192" s="73">
        <f t="shared" si="12"/>
        <v>45332</v>
      </c>
      <c r="M192" s="73">
        <f t="shared" si="13"/>
        <v>46</v>
      </c>
    </row>
    <row r="193" spans="1:13">
      <c r="A193" s="27">
        <v>45939</v>
      </c>
      <c r="B193" s="74" t="s">
        <v>33</v>
      </c>
      <c r="C193" s="74"/>
      <c r="D193" s="74"/>
      <c r="E193" s="75"/>
      <c r="F193" s="73">
        <v>0</v>
      </c>
      <c r="G193" s="73">
        <v>8</v>
      </c>
      <c r="H193" s="73">
        <v>8</v>
      </c>
      <c r="I193" s="4">
        <v>21294</v>
      </c>
      <c r="J193" s="73">
        <v>0</v>
      </c>
      <c r="K193" s="73">
        <v>0</v>
      </c>
      <c r="L193" s="73">
        <f t="shared" si="12"/>
        <v>45332</v>
      </c>
      <c r="M193" s="73">
        <f t="shared" si="13"/>
        <v>46</v>
      </c>
    </row>
    <row r="194" spans="1:13">
      <c r="A194" s="27">
        <v>45940</v>
      </c>
      <c r="B194" s="74" t="s">
        <v>65</v>
      </c>
      <c r="C194" s="74"/>
      <c r="D194" s="74"/>
      <c r="E194" s="75"/>
      <c r="F194" s="4">
        <v>7252</v>
      </c>
      <c r="G194" s="73">
        <v>0</v>
      </c>
      <c r="H194" s="4">
        <v>7252</v>
      </c>
      <c r="I194" s="4">
        <v>28546</v>
      </c>
      <c r="J194" s="73">
        <v>0</v>
      </c>
      <c r="K194" s="73">
        <v>0</v>
      </c>
      <c r="L194" s="73">
        <f t="shared" si="12"/>
        <v>45332</v>
      </c>
      <c r="M194" s="73">
        <f t="shared" si="13"/>
        <v>46</v>
      </c>
    </row>
    <row r="195" spans="1:13">
      <c r="A195" s="27">
        <v>45940</v>
      </c>
      <c r="B195" s="74" t="s">
        <v>33</v>
      </c>
      <c r="C195" s="74"/>
      <c r="D195" s="74"/>
      <c r="E195" s="75"/>
      <c r="F195" s="73">
        <v>0</v>
      </c>
      <c r="G195" s="73">
        <v>7</v>
      </c>
      <c r="H195" s="73">
        <v>7</v>
      </c>
      <c r="I195" s="4">
        <v>28553</v>
      </c>
      <c r="J195" s="73">
        <v>0</v>
      </c>
      <c r="K195" s="73">
        <v>0</v>
      </c>
      <c r="L195" s="73">
        <f t="shared" si="12"/>
        <v>45332</v>
      </c>
      <c r="M195" s="73">
        <f t="shared" si="13"/>
        <v>46</v>
      </c>
    </row>
    <row r="196" spans="1:13">
      <c r="A196" s="27">
        <v>45941</v>
      </c>
      <c r="B196" s="74" t="s">
        <v>33</v>
      </c>
      <c r="C196" s="74"/>
      <c r="D196" s="74"/>
      <c r="E196" s="75"/>
      <c r="F196" s="73">
        <v>0</v>
      </c>
      <c r="G196" s="73">
        <v>57</v>
      </c>
      <c r="H196" s="73">
        <v>57</v>
      </c>
      <c r="I196" s="4">
        <v>28610</v>
      </c>
      <c r="J196" s="73">
        <v>0</v>
      </c>
      <c r="K196" s="73">
        <v>0</v>
      </c>
      <c r="L196" s="73">
        <f t="shared" si="12"/>
        <v>45332</v>
      </c>
      <c r="M196" s="73">
        <f t="shared" si="13"/>
        <v>46</v>
      </c>
    </row>
    <row r="197" spans="1:13">
      <c r="A197" s="29">
        <v>45942</v>
      </c>
      <c r="B197" s="76" t="s">
        <v>33</v>
      </c>
      <c r="C197" s="76"/>
      <c r="D197" s="76"/>
      <c r="E197" s="77"/>
      <c r="F197" s="72">
        <v>0</v>
      </c>
      <c r="G197" s="72">
        <v>23</v>
      </c>
      <c r="H197" s="72">
        <v>23</v>
      </c>
      <c r="I197" s="30">
        <v>28633</v>
      </c>
      <c r="J197" s="72">
        <v>0</v>
      </c>
      <c r="K197" s="72">
        <v>0</v>
      </c>
      <c r="L197" s="73">
        <f t="shared" si="12"/>
        <v>45332</v>
      </c>
      <c r="M197" s="73">
        <f t="shared" si="13"/>
        <v>46</v>
      </c>
    </row>
    <row r="198" spans="1:13">
      <c r="A198" s="27">
        <v>45943</v>
      </c>
      <c r="B198" s="74" t="s">
        <v>33</v>
      </c>
      <c r="C198" s="74"/>
      <c r="D198" s="74"/>
      <c r="E198" s="75"/>
      <c r="F198" s="73">
        <v>0</v>
      </c>
      <c r="G198" s="73">
        <v>8</v>
      </c>
      <c r="H198" s="73">
        <v>8</v>
      </c>
      <c r="I198" s="4">
        <v>29982</v>
      </c>
      <c r="J198" s="73">
        <v>0</v>
      </c>
      <c r="K198" s="73">
        <v>0</v>
      </c>
      <c r="L198" s="73">
        <f t="shared" ref="L198:L206" si="14">J198+L197</f>
        <v>45332</v>
      </c>
      <c r="M198" s="73">
        <f t="shared" ref="M198:M206" si="15">K198+M197</f>
        <v>46</v>
      </c>
    </row>
    <row r="199" spans="1:13">
      <c r="A199" s="27">
        <v>45944</v>
      </c>
      <c r="B199" s="1" t="s">
        <v>102</v>
      </c>
      <c r="C199" s="3" t="s">
        <v>103</v>
      </c>
      <c r="D199" s="3" t="s">
        <v>20</v>
      </c>
      <c r="E199" s="1" t="s">
        <v>20</v>
      </c>
      <c r="F199" s="73">
        <v>0</v>
      </c>
      <c r="G199" s="73">
        <v>0</v>
      </c>
      <c r="H199" s="73">
        <v>0</v>
      </c>
      <c r="I199" s="4">
        <v>29982</v>
      </c>
      <c r="J199" s="73">
        <v>0</v>
      </c>
      <c r="K199" s="73">
        <v>0</v>
      </c>
      <c r="L199" s="73">
        <f t="shared" si="14"/>
        <v>45332</v>
      </c>
      <c r="M199" s="73">
        <f t="shared" si="15"/>
        <v>46</v>
      </c>
    </row>
    <row r="200" spans="1:13">
      <c r="A200" s="27">
        <v>45944</v>
      </c>
      <c r="B200" s="1" t="s">
        <v>104</v>
      </c>
      <c r="C200" s="3" t="s">
        <v>105</v>
      </c>
      <c r="D200" s="3" t="s">
        <v>20</v>
      </c>
      <c r="E200" s="1" t="s">
        <v>20</v>
      </c>
      <c r="F200" s="73">
        <v>0</v>
      </c>
      <c r="G200" s="73">
        <v>0</v>
      </c>
      <c r="H200" s="73">
        <v>0</v>
      </c>
      <c r="I200" s="4">
        <v>29982</v>
      </c>
      <c r="J200" s="73">
        <v>0</v>
      </c>
      <c r="K200" s="73">
        <v>0</v>
      </c>
      <c r="L200" s="73">
        <f t="shared" si="14"/>
        <v>45332</v>
      </c>
      <c r="M200" s="73">
        <f t="shared" si="15"/>
        <v>46</v>
      </c>
    </row>
    <row r="201" spans="1:13">
      <c r="A201" s="27">
        <v>45944</v>
      </c>
      <c r="B201" s="74" t="s">
        <v>33</v>
      </c>
      <c r="C201" s="74"/>
      <c r="D201" s="74"/>
      <c r="E201" s="75"/>
      <c r="F201" s="73">
        <v>0</v>
      </c>
      <c r="G201" s="73">
        <v>11</v>
      </c>
      <c r="H201" s="73">
        <v>11</v>
      </c>
      <c r="I201" s="4">
        <v>29993</v>
      </c>
      <c r="J201" s="73">
        <v>0</v>
      </c>
      <c r="K201" s="73">
        <v>0</v>
      </c>
      <c r="L201" s="73">
        <f t="shared" si="14"/>
        <v>45332</v>
      </c>
      <c r="M201" s="73">
        <f t="shared" si="15"/>
        <v>46</v>
      </c>
    </row>
    <row r="202" spans="1:13">
      <c r="A202" s="27">
        <v>45945</v>
      </c>
      <c r="B202" s="74" t="s">
        <v>33</v>
      </c>
      <c r="C202" s="74"/>
      <c r="D202" s="74"/>
      <c r="E202" s="75"/>
      <c r="F202" s="73">
        <v>0</v>
      </c>
      <c r="G202" s="73">
        <v>11</v>
      </c>
      <c r="H202" s="73">
        <v>11</v>
      </c>
      <c r="I202" s="4">
        <v>30004</v>
      </c>
      <c r="J202" s="73">
        <v>0</v>
      </c>
      <c r="K202" s="73">
        <v>0</v>
      </c>
      <c r="L202" s="73">
        <f t="shared" si="14"/>
        <v>45332</v>
      </c>
      <c r="M202" s="73">
        <f t="shared" si="15"/>
        <v>46</v>
      </c>
    </row>
    <row r="203" spans="1:13">
      <c r="A203" s="27">
        <v>45946</v>
      </c>
      <c r="B203" s="74" t="s">
        <v>33</v>
      </c>
      <c r="C203" s="74"/>
      <c r="D203" s="74"/>
      <c r="E203" s="75"/>
      <c r="F203" s="73">
        <v>0</v>
      </c>
      <c r="G203" s="73">
        <v>7</v>
      </c>
      <c r="H203" s="73">
        <v>7</v>
      </c>
      <c r="I203" s="4">
        <v>30011</v>
      </c>
      <c r="J203" s="73">
        <v>0</v>
      </c>
      <c r="K203" s="73">
        <v>0</v>
      </c>
      <c r="L203" s="73">
        <f t="shared" si="14"/>
        <v>45332</v>
      </c>
      <c r="M203" s="73">
        <f t="shared" si="15"/>
        <v>46</v>
      </c>
    </row>
    <row r="204" spans="1:13">
      <c r="A204" s="27">
        <v>45947</v>
      </c>
      <c r="B204" s="74" t="s">
        <v>33</v>
      </c>
      <c r="C204" s="74"/>
      <c r="D204" s="74"/>
      <c r="E204" s="75"/>
      <c r="F204" s="73">
        <v>0</v>
      </c>
      <c r="G204" s="73">
        <v>6</v>
      </c>
      <c r="H204" s="73">
        <v>6</v>
      </c>
      <c r="I204" s="4">
        <v>30017</v>
      </c>
      <c r="J204" s="73">
        <v>0</v>
      </c>
      <c r="K204" s="73">
        <v>0</v>
      </c>
      <c r="L204" s="73">
        <f t="shared" si="14"/>
        <v>45332</v>
      </c>
      <c r="M204" s="73">
        <f t="shared" si="15"/>
        <v>46</v>
      </c>
    </row>
    <row r="205" spans="1:13">
      <c r="A205" s="27">
        <v>45948</v>
      </c>
      <c r="B205" s="74" t="s">
        <v>33</v>
      </c>
      <c r="C205" s="74"/>
      <c r="D205" s="74"/>
      <c r="E205" s="75"/>
      <c r="F205" s="73">
        <v>0</v>
      </c>
      <c r="G205" s="73">
        <v>8</v>
      </c>
      <c r="H205" s="73">
        <v>8</v>
      </c>
      <c r="I205" s="4">
        <v>30025</v>
      </c>
      <c r="J205" s="73">
        <v>0</v>
      </c>
      <c r="K205" s="73">
        <v>0</v>
      </c>
      <c r="L205" s="73">
        <f t="shared" si="14"/>
        <v>45332</v>
      </c>
      <c r="M205" s="73">
        <f t="shared" si="15"/>
        <v>46</v>
      </c>
    </row>
    <row r="206" spans="1:13">
      <c r="A206" s="29">
        <v>45949</v>
      </c>
      <c r="B206" s="76" t="s">
        <v>33</v>
      </c>
      <c r="C206" s="76"/>
      <c r="D206" s="76"/>
      <c r="E206" s="77"/>
      <c r="F206" s="72">
        <v>0</v>
      </c>
      <c r="G206" s="72">
        <v>17</v>
      </c>
      <c r="H206" s="72">
        <v>17</v>
      </c>
      <c r="I206" s="30">
        <v>30042</v>
      </c>
      <c r="J206" s="72">
        <v>0</v>
      </c>
      <c r="K206" s="72">
        <v>0</v>
      </c>
      <c r="L206" s="73">
        <f t="shared" si="14"/>
        <v>45332</v>
      </c>
      <c r="M206" s="73">
        <f t="shared" si="15"/>
        <v>46</v>
      </c>
    </row>
    <row r="207" spans="1:13">
      <c r="A207" s="27">
        <v>45950</v>
      </c>
      <c r="B207" s="74" t="s">
        <v>33</v>
      </c>
      <c r="C207" s="74"/>
      <c r="D207" s="74"/>
      <c r="E207" s="75"/>
      <c r="F207" s="73">
        <v>0</v>
      </c>
      <c r="G207" s="73">
        <v>57</v>
      </c>
      <c r="H207" s="73">
        <v>57</v>
      </c>
      <c r="I207" s="4">
        <v>31102</v>
      </c>
      <c r="J207" s="73">
        <v>0</v>
      </c>
      <c r="K207" s="73">
        <v>0</v>
      </c>
      <c r="L207" s="73">
        <f t="shared" ref="L207:L216" si="16">J207+L206</f>
        <v>45332</v>
      </c>
      <c r="M207" s="73">
        <f t="shared" ref="M207:M216" si="17">K207+M206</f>
        <v>46</v>
      </c>
    </row>
    <row r="208" spans="1:13">
      <c r="A208" s="27">
        <v>45951</v>
      </c>
      <c r="B208" s="1" t="s">
        <v>106</v>
      </c>
      <c r="C208" s="1" t="s">
        <v>107</v>
      </c>
      <c r="D208" s="1" t="s">
        <v>42</v>
      </c>
      <c r="E208" s="1" t="s">
        <v>43</v>
      </c>
      <c r="F208" s="73">
        <v>308</v>
      </c>
      <c r="G208" s="28">
        <v>373</v>
      </c>
      <c r="H208" s="73">
        <v>681</v>
      </c>
      <c r="I208" s="4">
        <v>31783</v>
      </c>
      <c r="J208" s="4">
        <v>1016</v>
      </c>
      <c r="K208" s="73">
        <v>1</v>
      </c>
      <c r="L208" s="73">
        <f t="shared" si="16"/>
        <v>46348</v>
      </c>
      <c r="M208" s="73">
        <f t="shared" si="17"/>
        <v>47</v>
      </c>
    </row>
    <row r="209" spans="1:13">
      <c r="A209" s="27">
        <v>45951</v>
      </c>
      <c r="B209" s="74" t="s">
        <v>33</v>
      </c>
      <c r="C209" s="74"/>
      <c r="D209" s="74"/>
      <c r="E209" s="75"/>
      <c r="F209" s="73">
        <v>0</v>
      </c>
      <c r="G209" s="73">
        <v>17</v>
      </c>
      <c r="H209" s="73">
        <v>17</v>
      </c>
      <c r="I209" s="4">
        <v>31800</v>
      </c>
      <c r="J209" s="73">
        <v>0</v>
      </c>
      <c r="K209" s="73">
        <v>0</v>
      </c>
      <c r="L209" s="73">
        <f t="shared" si="16"/>
        <v>46348</v>
      </c>
      <c r="M209" s="73">
        <f t="shared" si="17"/>
        <v>47</v>
      </c>
    </row>
    <row r="210" spans="1:13">
      <c r="A210" s="27">
        <v>45952</v>
      </c>
      <c r="B210" s="74" t="s">
        <v>33</v>
      </c>
      <c r="C210" s="74"/>
      <c r="D210" s="74"/>
      <c r="E210" s="75"/>
      <c r="F210" s="73">
        <v>0</v>
      </c>
      <c r="G210" s="73">
        <v>7</v>
      </c>
      <c r="H210" s="73">
        <v>7</v>
      </c>
      <c r="I210" s="4">
        <v>31807</v>
      </c>
      <c r="J210" s="73">
        <v>0</v>
      </c>
      <c r="K210" s="73">
        <v>0</v>
      </c>
      <c r="L210" s="73">
        <f t="shared" si="16"/>
        <v>46348</v>
      </c>
      <c r="M210" s="73">
        <f t="shared" si="17"/>
        <v>47</v>
      </c>
    </row>
    <row r="211" spans="1:13">
      <c r="A211" s="27">
        <v>45953</v>
      </c>
      <c r="B211" s="1" t="s">
        <v>108</v>
      </c>
      <c r="C211" s="1" t="s">
        <v>109</v>
      </c>
      <c r="D211" s="1" t="s">
        <v>42</v>
      </c>
      <c r="E211" s="1" t="s">
        <v>50</v>
      </c>
      <c r="F211" s="73">
        <v>131</v>
      </c>
      <c r="G211" s="28">
        <v>188</v>
      </c>
      <c r="H211" s="73">
        <v>319</v>
      </c>
      <c r="I211" s="4">
        <v>32126</v>
      </c>
      <c r="J211" s="73">
        <v>662</v>
      </c>
      <c r="K211" s="73">
        <v>1</v>
      </c>
      <c r="L211" s="73">
        <f t="shared" si="16"/>
        <v>47010</v>
      </c>
      <c r="M211" s="73">
        <f t="shared" si="17"/>
        <v>48</v>
      </c>
    </row>
    <row r="212" spans="1:13">
      <c r="A212" s="27">
        <v>45953</v>
      </c>
      <c r="B212" s="74" t="s">
        <v>33</v>
      </c>
      <c r="C212" s="74"/>
      <c r="D212" s="74"/>
      <c r="E212" s="75"/>
      <c r="F212" s="73">
        <v>0</v>
      </c>
      <c r="G212" s="73">
        <v>3</v>
      </c>
      <c r="H212" s="73">
        <v>3</v>
      </c>
      <c r="I212" s="4">
        <v>32129</v>
      </c>
      <c r="J212" s="73">
        <v>0</v>
      </c>
      <c r="K212" s="73">
        <v>0</v>
      </c>
      <c r="L212" s="73">
        <f t="shared" si="16"/>
        <v>47010</v>
      </c>
      <c r="M212" s="73">
        <f t="shared" si="17"/>
        <v>48</v>
      </c>
    </row>
    <row r="213" spans="1:13">
      <c r="A213" s="27">
        <v>45954</v>
      </c>
      <c r="B213" s="1" t="s">
        <v>51</v>
      </c>
      <c r="C213" s="1" t="s">
        <v>24</v>
      </c>
      <c r="D213" s="1" t="s">
        <v>42</v>
      </c>
      <c r="E213" s="1" t="s">
        <v>43</v>
      </c>
      <c r="F213" s="73">
        <v>624</v>
      </c>
      <c r="G213" s="28">
        <v>705</v>
      </c>
      <c r="H213" s="4">
        <v>1329</v>
      </c>
      <c r="I213" s="4">
        <v>33458</v>
      </c>
      <c r="J213" s="4">
        <v>1648</v>
      </c>
      <c r="K213" s="73">
        <v>1</v>
      </c>
      <c r="L213" s="73">
        <f t="shared" si="16"/>
        <v>48658</v>
      </c>
      <c r="M213" s="73">
        <f t="shared" si="17"/>
        <v>49</v>
      </c>
    </row>
    <row r="214" spans="1:13">
      <c r="A214" s="27">
        <v>45954</v>
      </c>
      <c r="B214" s="74" t="s">
        <v>33</v>
      </c>
      <c r="C214" s="74"/>
      <c r="D214" s="74"/>
      <c r="E214" s="75"/>
      <c r="F214" s="73">
        <v>0</v>
      </c>
      <c r="G214" s="73">
        <v>60</v>
      </c>
      <c r="H214" s="73">
        <v>60</v>
      </c>
      <c r="I214" s="4">
        <v>33518</v>
      </c>
      <c r="J214" s="73">
        <v>0</v>
      </c>
      <c r="K214" s="73">
        <v>0</v>
      </c>
      <c r="L214" s="73">
        <f t="shared" si="16"/>
        <v>48658</v>
      </c>
      <c r="M214" s="73">
        <f t="shared" si="17"/>
        <v>49</v>
      </c>
    </row>
    <row r="215" spans="1:13">
      <c r="A215" s="27">
        <v>45955</v>
      </c>
      <c r="B215" s="74" t="s">
        <v>33</v>
      </c>
      <c r="C215" s="74"/>
      <c r="D215" s="74"/>
      <c r="E215" s="75"/>
      <c r="F215" s="73">
        <v>0</v>
      </c>
      <c r="G215" s="73">
        <v>8</v>
      </c>
      <c r="H215" s="73">
        <v>8</v>
      </c>
      <c r="I215" s="4">
        <v>33526</v>
      </c>
      <c r="J215" s="73">
        <v>0</v>
      </c>
      <c r="K215" s="73">
        <v>0</v>
      </c>
      <c r="L215" s="73">
        <f t="shared" si="16"/>
        <v>48658</v>
      </c>
      <c r="M215" s="73">
        <f t="shared" si="17"/>
        <v>49</v>
      </c>
    </row>
    <row r="216" spans="1:13">
      <c r="A216" s="29">
        <v>45956</v>
      </c>
      <c r="B216" s="76" t="s">
        <v>33</v>
      </c>
      <c r="C216" s="76"/>
      <c r="D216" s="76"/>
      <c r="E216" s="77"/>
      <c r="F216" s="72">
        <v>0</v>
      </c>
      <c r="G216" s="72">
        <v>19</v>
      </c>
      <c r="H216" s="72">
        <v>19</v>
      </c>
      <c r="I216" s="30">
        <v>33545</v>
      </c>
      <c r="J216" s="72">
        <v>0</v>
      </c>
      <c r="K216" s="72">
        <v>0</v>
      </c>
      <c r="L216" s="73">
        <f t="shared" si="16"/>
        <v>48658</v>
      </c>
      <c r="M216" s="73">
        <f t="shared" si="17"/>
        <v>49</v>
      </c>
    </row>
    <row r="217" spans="1:13">
      <c r="A217" s="27">
        <v>45957</v>
      </c>
      <c r="B217" s="74" t="s">
        <v>33</v>
      </c>
      <c r="C217" s="74"/>
      <c r="D217" s="74"/>
      <c r="E217" s="75"/>
      <c r="F217" s="73">
        <v>0</v>
      </c>
      <c r="G217" s="73">
        <v>7</v>
      </c>
      <c r="H217" s="73">
        <v>7</v>
      </c>
      <c r="I217" s="4">
        <v>33554</v>
      </c>
      <c r="J217" s="73">
        <v>0</v>
      </c>
      <c r="K217" s="73">
        <v>0</v>
      </c>
      <c r="L217" s="73">
        <f t="shared" ref="L217:L223" si="18">J217+L216</f>
        <v>48658</v>
      </c>
      <c r="M217" s="73">
        <f t="shared" ref="M217:M223" si="19">K217+M216</f>
        <v>49</v>
      </c>
    </row>
    <row r="218" spans="1:13">
      <c r="A218" s="27">
        <v>45958</v>
      </c>
      <c r="B218" s="74" t="s">
        <v>33</v>
      </c>
      <c r="C218" s="74"/>
      <c r="D218" s="74"/>
      <c r="E218" s="75"/>
      <c r="F218" s="73">
        <v>0</v>
      </c>
      <c r="G218" s="73">
        <v>10</v>
      </c>
      <c r="H218" s="73">
        <v>10</v>
      </c>
      <c r="I218" s="4">
        <v>33564</v>
      </c>
      <c r="J218" s="73">
        <v>0</v>
      </c>
      <c r="K218" s="73">
        <v>0</v>
      </c>
      <c r="L218" s="73">
        <f t="shared" si="18"/>
        <v>48658</v>
      </c>
      <c r="M218" s="73">
        <f t="shared" si="19"/>
        <v>49</v>
      </c>
    </row>
    <row r="219" spans="1:13">
      <c r="A219" s="27">
        <v>45959</v>
      </c>
      <c r="B219" s="74" t="s">
        <v>33</v>
      </c>
      <c r="C219" s="74"/>
      <c r="D219" s="74"/>
      <c r="E219" s="75"/>
      <c r="F219" s="73">
        <v>0</v>
      </c>
      <c r="G219" s="73">
        <v>9</v>
      </c>
      <c r="H219" s="73">
        <v>9</v>
      </c>
      <c r="I219" s="4">
        <v>33573</v>
      </c>
      <c r="J219" s="73">
        <v>0</v>
      </c>
      <c r="K219" s="73">
        <v>0</v>
      </c>
      <c r="L219" s="73">
        <f t="shared" si="18"/>
        <v>48658</v>
      </c>
      <c r="M219" s="73">
        <f t="shared" si="19"/>
        <v>49</v>
      </c>
    </row>
    <row r="220" spans="1:13">
      <c r="A220" s="27">
        <v>45960</v>
      </c>
      <c r="B220" s="74" t="s">
        <v>33</v>
      </c>
      <c r="C220" s="74"/>
      <c r="D220" s="74"/>
      <c r="E220" s="75"/>
      <c r="F220" s="73">
        <v>0</v>
      </c>
      <c r="G220" s="73">
        <v>9</v>
      </c>
      <c r="H220" s="73">
        <v>9</v>
      </c>
      <c r="I220" s="4">
        <v>33582</v>
      </c>
      <c r="J220" s="73">
        <v>0</v>
      </c>
      <c r="K220" s="73">
        <v>0</v>
      </c>
      <c r="L220" s="73">
        <f t="shared" si="18"/>
        <v>48658</v>
      </c>
      <c r="M220" s="73">
        <f t="shared" si="19"/>
        <v>49</v>
      </c>
    </row>
    <row r="221" spans="1:13">
      <c r="A221" s="27">
        <v>45961</v>
      </c>
      <c r="B221" s="74" t="s">
        <v>33</v>
      </c>
      <c r="C221" s="74"/>
      <c r="D221" s="74"/>
      <c r="E221" s="75"/>
      <c r="F221" s="73">
        <v>0</v>
      </c>
      <c r="G221" s="73">
        <v>11</v>
      </c>
      <c r="H221" s="73">
        <v>11</v>
      </c>
      <c r="I221" s="4">
        <v>33593</v>
      </c>
      <c r="J221" s="73">
        <v>0</v>
      </c>
      <c r="K221" s="73">
        <v>0</v>
      </c>
      <c r="L221" s="73">
        <f t="shared" si="18"/>
        <v>48658</v>
      </c>
      <c r="M221" s="73">
        <f t="shared" si="19"/>
        <v>49</v>
      </c>
    </row>
    <row r="222" spans="1:13">
      <c r="A222" s="27">
        <v>45962</v>
      </c>
      <c r="B222" s="74" t="s">
        <v>33</v>
      </c>
      <c r="C222" s="74"/>
      <c r="D222" s="74"/>
      <c r="E222" s="75"/>
      <c r="F222" s="73">
        <v>0</v>
      </c>
      <c r="G222" s="73">
        <v>27</v>
      </c>
      <c r="H222" s="73">
        <v>27</v>
      </c>
      <c r="I222" s="4">
        <v>33620</v>
      </c>
      <c r="J222" s="73">
        <v>0</v>
      </c>
      <c r="K222" s="73">
        <v>0</v>
      </c>
      <c r="L222" s="73">
        <f t="shared" si="18"/>
        <v>48658</v>
      </c>
      <c r="M222" s="73">
        <f t="shared" si="19"/>
        <v>49</v>
      </c>
    </row>
    <row r="223" spans="1:13">
      <c r="A223" s="29">
        <v>45963</v>
      </c>
      <c r="B223" s="76" t="s">
        <v>33</v>
      </c>
      <c r="C223" s="76"/>
      <c r="D223" s="76"/>
      <c r="E223" s="77"/>
      <c r="F223" s="72">
        <v>0</v>
      </c>
      <c r="G223" s="72">
        <v>21</v>
      </c>
      <c r="H223" s="72">
        <v>21</v>
      </c>
      <c r="I223" s="30">
        <v>33641</v>
      </c>
      <c r="J223" s="72">
        <v>0</v>
      </c>
      <c r="K223" s="72">
        <v>0</v>
      </c>
      <c r="L223" s="73">
        <f t="shared" si="18"/>
        <v>48658</v>
      </c>
      <c r="M223" s="73">
        <f t="shared" si="19"/>
        <v>49</v>
      </c>
    </row>
    <row r="224" spans="1:13">
      <c r="A224" s="27">
        <v>45964</v>
      </c>
      <c r="B224" s="74" t="s">
        <v>33</v>
      </c>
      <c r="C224" s="74"/>
      <c r="D224" s="74"/>
      <c r="E224" s="75"/>
      <c r="F224" s="73">
        <v>0</v>
      </c>
      <c r="G224" s="73">
        <v>15</v>
      </c>
      <c r="H224" s="73">
        <v>15</v>
      </c>
      <c r="I224" s="4">
        <v>33663</v>
      </c>
      <c r="J224" s="73">
        <v>0</v>
      </c>
      <c r="K224" s="73">
        <v>0</v>
      </c>
      <c r="L224" s="73">
        <f t="shared" ref="L224:L240" si="20">J224+L223</f>
        <v>48658</v>
      </c>
      <c r="M224" s="73">
        <f t="shared" ref="M224:M240" si="21">K224+M223</f>
        <v>49</v>
      </c>
    </row>
    <row r="225" spans="1:13">
      <c r="A225" s="27">
        <v>45965</v>
      </c>
      <c r="B225" s="74" t="s">
        <v>33</v>
      </c>
      <c r="C225" s="74"/>
      <c r="D225" s="74"/>
      <c r="E225" s="75"/>
      <c r="F225" s="73">
        <v>0</v>
      </c>
      <c r="G225" s="73">
        <v>10</v>
      </c>
      <c r="H225" s="73">
        <v>10</v>
      </c>
      <c r="I225" s="4">
        <v>33673</v>
      </c>
      <c r="J225" s="73">
        <v>0</v>
      </c>
      <c r="K225" s="73">
        <v>0</v>
      </c>
      <c r="L225" s="73">
        <f t="shared" si="20"/>
        <v>48658</v>
      </c>
      <c r="M225" s="73">
        <f t="shared" si="21"/>
        <v>49</v>
      </c>
    </row>
    <row r="226" spans="1:13">
      <c r="A226" s="27">
        <v>45966</v>
      </c>
      <c r="B226" s="74" t="s">
        <v>33</v>
      </c>
      <c r="C226" s="74"/>
      <c r="D226" s="74"/>
      <c r="E226" s="75"/>
      <c r="F226" s="73">
        <v>0</v>
      </c>
      <c r="G226" s="73">
        <v>10</v>
      </c>
      <c r="H226" s="73">
        <v>10</v>
      </c>
      <c r="I226" s="4">
        <v>33683</v>
      </c>
      <c r="J226" s="73">
        <v>0</v>
      </c>
      <c r="K226" s="73">
        <v>0</v>
      </c>
      <c r="L226" s="73">
        <f t="shared" si="20"/>
        <v>48658</v>
      </c>
      <c r="M226" s="73">
        <f t="shared" si="21"/>
        <v>49</v>
      </c>
    </row>
    <row r="227" spans="1:13">
      <c r="A227" s="27">
        <v>45967</v>
      </c>
      <c r="B227" s="74" t="s">
        <v>33</v>
      </c>
      <c r="C227" s="74"/>
      <c r="D227" s="74"/>
      <c r="E227" s="75"/>
      <c r="F227" s="73">
        <v>0</v>
      </c>
      <c r="G227" s="73">
        <v>9</v>
      </c>
      <c r="H227" s="73">
        <v>9</v>
      </c>
      <c r="I227" s="4">
        <v>33692</v>
      </c>
      <c r="J227" s="73">
        <v>0</v>
      </c>
      <c r="K227" s="73">
        <v>0</v>
      </c>
      <c r="L227" s="73">
        <f t="shared" si="20"/>
        <v>48658</v>
      </c>
      <c r="M227" s="73">
        <f t="shared" si="21"/>
        <v>49</v>
      </c>
    </row>
    <row r="228" spans="1:13">
      <c r="A228" s="27">
        <v>45968</v>
      </c>
      <c r="B228" s="74" t="s">
        <v>49</v>
      </c>
      <c r="C228" s="74"/>
      <c r="D228" s="74"/>
      <c r="E228" s="75"/>
      <c r="F228" s="73">
        <v>0</v>
      </c>
      <c r="G228" s="73">
        <v>2</v>
      </c>
      <c r="H228" s="73">
        <v>2</v>
      </c>
      <c r="I228" s="4">
        <v>33694</v>
      </c>
      <c r="J228" s="73">
        <v>0</v>
      </c>
      <c r="K228" s="73">
        <v>0</v>
      </c>
      <c r="L228" s="73">
        <f t="shared" si="20"/>
        <v>48658</v>
      </c>
      <c r="M228" s="73">
        <f t="shared" si="21"/>
        <v>49</v>
      </c>
    </row>
    <row r="229" spans="1:13">
      <c r="A229" s="27">
        <v>45968</v>
      </c>
      <c r="B229" s="74" t="s">
        <v>33</v>
      </c>
      <c r="C229" s="74"/>
      <c r="D229" s="74"/>
      <c r="E229" s="75"/>
      <c r="F229" s="73">
        <v>0</v>
      </c>
      <c r="G229" s="73">
        <v>7</v>
      </c>
      <c r="H229" s="73">
        <v>7</v>
      </c>
      <c r="I229" s="4">
        <v>33701</v>
      </c>
      <c r="J229" s="73">
        <v>0</v>
      </c>
      <c r="K229" s="73">
        <v>0</v>
      </c>
      <c r="L229" s="73">
        <f t="shared" si="20"/>
        <v>48658</v>
      </c>
      <c r="M229" s="73">
        <f t="shared" si="21"/>
        <v>49</v>
      </c>
    </row>
    <row r="230" spans="1:13">
      <c r="A230" s="27">
        <v>45969</v>
      </c>
      <c r="B230" s="74" t="s">
        <v>33</v>
      </c>
      <c r="C230" s="74"/>
      <c r="D230" s="74"/>
      <c r="E230" s="75"/>
      <c r="F230" s="73">
        <v>0</v>
      </c>
      <c r="G230" s="73">
        <v>9</v>
      </c>
      <c r="H230" s="73">
        <v>9</v>
      </c>
      <c r="I230" s="4">
        <v>33710</v>
      </c>
      <c r="J230" s="73">
        <v>0</v>
      </c>
      <c r="K230" s="73">
        <v>0</v>
      </c>
      <c r="L230" s="73">
        <f t="shared" si="20"/>
        <v>48658</v>
      </c>
      <c r="M230" s="73">
        <f t="shared" si="21"/>
        <v>49</v>
      </c>
    </row>
    <row r="231" spans="1:13">
      <c r="A231" s="27">
        <v>45970</v>
      </c>
      <c r="B231" s="74" t="s">
        <v>49</v>
      </c>
      <c r="C231" s="74"/>
      <c r="D231" s="74"/>
      <c r="E231" s="75"/>
      <c r="F231" s="73">
        <v>0</v>
      </c>
      <c r="G231" s="73">
        <v>1</v>
      </c>
      <c r="H231" s="73">
        <v>1</v>
      </c>
      <c r="I231" s="4">
        <v>33711</v>
      </c>
      <c r="J231" s="73">
        <v>0</v>
      </c>
      <c r="K231" s="73">
        <v>0</v>
      </c>
      <c r="L231" s="73">
        <f t="shared" si="20"/>
        <v>48658</v>
      </c>
      <c r="M231" s="73">
        <f t="shared" si="21"/>
        <v>49</v>
      </c>
    </row>
    <row r="232" spans="1:13">
      <c r="A232" s="27">
        <v>45970</v>
      </c>
      <c r="B232" s="74" t="s">
        <v>33</v>
      </c>
      <c r="C232" s="74"/>
      <c r="D232" s="74"/>
      <c r="E232" s="75"/>
      <c r="F232" s="73">
        <v>0</v>
      </c>
      <c r="G232" s="73">
        <v>22</v>
      </c>
      <c r="H232" s="73">
        <v>22</v>
      </c>
      <c r="I232" s="4">
        <v>33733</v>
      </c>
      <c r="J232" s="73">
        <v>0</v>
      </c>
      <c r="K232" s="73">
        <v>0</v>
      </c>
      <c r="L232" s="73">
        <f t="shared" si="20"/>
        <v>48658</v>
      </c>
      <c r="M232" s="73">
        <f t="shared" si="21"/>
        <v>49</v>
      </c>
    </row>
    <row r="233" spans="1:13">
      <c r="A233" s="27">
        <v>45971</v>
      </c>
      <c r="B233" s="74" t="s">
        <v>65</v>
      </c>
      <c r="C233" s="74"/>
      <c r="D233" s="74"/>
      <c r="E233" s="75"/>
      <c r="F233" s="4">
        <v>7457</v>
      </c>
      <c r="G233" s="73">
        <v>0</v>
      </c>
      <c r="H233" s="4">
        <v>7457</v>
      </c>
      <c r="I233" s="4">
        <v>41190</v>
      </c>
      <c r="J233" s="73">
        <v>0</v>
      </c>
      <c r="K233" s="73">
        <v>0</v>
      </c>
      <c r="L233" s="73">
        <f t="shared" si="20"/>
        <v>48658</v>
      </c>
      <c r="M233" s="73">
        <f t="shared" si="21"/>
        <v>49</v>
      </c>
    </row>
    <row r="234" spans="1:13">
      <c r="A234" s="27">
        <v>45971</v>
      </c>
      <c r="B234" s="74" t="s">
        <v>33</v>
      </c>
      <c r="C234" s="74"/>
      <c r="D234" s="74"/>
      <c r="E234" s="75"/>
      <c r="F234" s="73">
        <v>0</v>
      </c>
      <c r="G234" s="73">
        <v>9</v>
      </c>
      <c r="H234" s="73">
        <v>9</v>
      </c>
      <c r="I234" s="4">
        <v>41199</v>
      </c>
      <c r="J234" s="73">
        <v>0</v>
      </c>
      <c r="K234" s="73">
        <v>0</v>
      </c>
      <c r="L234" s="73">
        <f t="shared" si="20"/>
        <v>48658</v>
      </c>
      <c r="M234" s="73">
        <f t="shared" si="21"/>
        <v>49</v>
      </c>
    </row>
    <row r="235" spans="1:13">
      <c r="A235" s="27">
        <v>45972</v>
      </c>
      <c r="B235" s="74" t="s">
        <v>33</v>
      </c>
      <c r="C235" s="74"/>
      <c r="D235" s="74"/>
      <c r="E235" s="75"/>
      <c r="F235" s="73">
        <v>0</v>
      </c>
      <c r="G235" s="73">
        <v>8</v>
      </c>
      <c r="H235" s="73">
        <v>8</v>
      </c>
      <c r="I235" s="4">
        <v>41207</v>
      </c>
      <c r="J235" s="73">
        <v>0</v>
      </c>
      <c r="K235" s="73">
        <v>0</v>
      </c>
      <c r="L235" s="73">
        <f t="shared" si="20"/>
        <v>48658</v>
      </c>
      <c r="M235" s="73">
        <f t="shared" si="21"/>
        <v>49</v>
      </c>
    </row>
    <row r="236" spans="1:13">
      <c r="A236" s="27">
        <v>45973</v>
      </c>
      <c r="B236" s="74" t="s">
        <v>33</v>
      </c>
      <c r="C236" s="74"/>
      <c r="D236" s="74"/>
      <c r="E236" s="75"/>
      <c r="F236" s="73">
        <v>0</v>
      </c>
      <c r="G236" s="73">
        <v>17</v>
      </c>
      <c r="H236" s="73">
        <v>17</v>
      </c>
      <c r="I236" s="4">
        <v>41224</v>
      </c>
      <c r="J236" s="73">
        <v>0</v>
      </c>
      <c r="K236" s="73">
        <v>0</v>
      </c>
      <c r="L236" s="73">
        <f t="shared" si="20"/>
        <v>48658</v>
      </c>
      <c r="M236" s="73">
        <f t="shared" si="21"/>
        <v>49</v>
      </c>
    </row>
    <row r="237" spans="1:13">
      <c r="A237" s="27">
        <v>45974</v>
      </c>
      <c r="B237" s="74" t="s">
        <v>33</v>
      </c>
      <c r="C237" s="74"/>
      <c r="D237" s="74"/>
      <c r="E237" s="75"/>
      <c r="F237" s="73">
        <v>0</v>
      </c>
      <c r="G237" s="73">
        <v>15</v>
      </c>
      <c r="H237" s="73">
        <v>15</v>
      </c>
      <c r="I237" s="4">
        <v>41239</v>
      </c>
      <c r="J237" s="73">
        <v>0</v>
      </c>
      <c r="K237" s="73">
        <v>0</v>
      </c>
      <c r="L237" s="73">
        <f t="shared" si="20"/>
        <v>48658</v>
      </c>
      <c r="M237" s="73">
        <f t="shared" si="21"/>
        <v>49</v>
      </c>
    </row>
    <row r="238" spans="1:13">
      <c r="A238" s="27">
        <v>45975</v>
      </c>
      <c r="B238" s="74" t="s">
        <v>33</v>
      </c>
      <c r="C238" s="74"/>
      <c r="D238" s="74"/>
      <c r="E238" s="75"/>
      <c r="F238" s="73">
        <v>0</v>
      </c>
      <c r="G238" s="73">
        <v>7</v>
      </c>
      <c r="H238" s="73">
        <v>7</v>
      </c>
      <c r="I238" s="4">
        <v>41246</v>
      </c>
      <c r="J238" s="73">
        <v>0</v>
      </c>
      <c r="K238" s="73">
        <v>0</v>
      </c>
      <c r="L238" s="73">
        <f t="shared" si="20"/>
        <v>48658</v>
      </c>
      <c r="M238" s="73">
        <f t="shared" si="21"/>
        <v>49</v>
      </c>
    </row>
    <row r="239" spans="1:13">
      <c r="A239" s="27">
        <v>45976</v>
      </c>
      <c r="B239" s="74" t="s">
        <v>33</v>
      </c>
      <c r="C239" s="74"/>
      <c r="D239" s="74"/>
      <c r="E239" s="75"/>
      <c r="F239" s="73">
        <v>0</v>
      </c>
      <c r="G239" s="73">
        <v>7</v>
      </c>
      <c r="H239" s="73">
        <v>7</v>
      </c>
      <c r="I239" s="4">
        <v>41253</v>
      </c>
      <c r="J239" s="73">
        <v>0</v>
      </c>
      <c r="K239" s="73">
        <v>0</v>
      </c>
      <c r="L239" s="73">
        <f t="shared" si="20"/>
        <v>48658</v>
      </c>
      <c r="M239" s="73">
        <f t="shared" si="21"/>
        <v>49</v>
      </c>
    </row>
    <row r="240" spans="1:13">
      <c r="A240" s="29">
        <v>45977</v>
      </c>
      <c r="B240" s="76" t="s">
        <v>33</v>
      </c>
      <c r="C240" s="76"/>
      <c r="D240" s="76"/>
      <c r="E240" s="77"/>
      <c r="F240" s="72">
        <v>0</v>
      </c>
      <c r="G240" s="72">
        <v>32</v>
      </c>
      <c r="H240" s="72">
        <v>32</v>
      </c>
      <c r="I240" s="30">
        <v>41285</v>
      </c>
      <c r="J240" s="72">
        <v>0</v>
      </c>
      <c r="K240" s="72">
        <v>0</v>
      </c>
      <c r="L240" s="73">
        <f t="shared" si="20"/>
        <v>48658</v>
      </c>
      <c r="M240" s="73">
        <f t="shared" si="21"/>
        <v>49</v>
      </c>
    </row>
    <row r="241" spans="1:13">
      <c r="A241" s="27">
        <v>45978</v>
      </c>
      <c r="B241" s="74" t="s">
        <v>33</v>
      </c>
      <c r="C241" s="74"/>
      <c r="D241" s="74"/>
      <c r="E241" s="75"/>
      <c r="F241" s="73">
        <v>0</v>
      </c>
      <c r="G241" s="73">
        <v>11</v>
      </c>
      <c r="H241" s="73">
        <v>11</v>
      </c>
      <c r="I241" s="4">
        <v>41833</v>
      </c>
      <c r="J241" s="73">
        <v>0</v>
      </c>
      <c r="K241" s="73">
        <v>0</v>
      </c>
      <c r="L241" s="73">
        <f t="shared" ref="L241:L249" si="22">J241+L240</f>
        <v>48658</v>
      </c>
      <c r="M241" s="73">
        <f t="shared" ref="M241:M249" si="23">K241+M240</f>
        <v>49</v>
      </c>
    </row>
    <row r="242" spans="1:13">
      <c r="A242" s="27">
        <v>45979</v>
      </c>
      <c r="B242" s="74" t="s">
        <v>33</v>
      </c>
      <c r="C242" s="74"/>
      <c r="D242" s="74"/>
      <c r="E242" s="75"/>
      <c r="F242" s="73">
        <v>0</v>
      </c>
      <c r="G242" s="73">
        <v>9</v>
      </c>
      <c r="H242" s="73">
        <v>9</v>
      </c>
      <c r="I242" s="4">
        <v>41842</v>
      </c>
      <c r="J242" s="73">
        <v>0</v>
      </c>
      <c r="K242" s="73">
        <v>0</v>
      </c>
      <c r="L242" s="73">
        <f t="shared" si="22"/>
        <v>48658</v>
      </c>
      <c r="M242" s="73">
        <f t="shared" si="23"/>
        <v>49</v>
      </c>
    </row>
    <row r="243" spans="1:13">
      <c r="A243" s="27">
        <v>45980</v>
      </c>
      <c r="B243" s="1" t="s">
        <v>110</v>
      </c>
      <c r="C243" s="3" t="s">
        <v>111</v>
      </c>
      <c r="D243" s="3" t="s">
        <v>20</v>
      </c>
      <c r="E243" s="1" t="s">
        <v>20</v>
      </c>
      <c r="F243" s="73">
        <v>0</v>
      </c>
      <c r="G243" s="73">
        <v>0</v>
      </c>
      <c r="H243" s="73">
        <v>0</v>
      </c>
      <c r="I243" s="4">
        <v>41842</v>
      </c>
      <c r="J243" s="73">
        <v>0</v>
      </c>
      <c r="K243" s="73">
        <v>0</v>
      </c>
      <c r="L243" s="73">
        <f t="shared" si="22"/>
        <v>48658</v>
      </c>
      <c r="M243" s="73">
        <f t="shared" si="23"/>
        <v>49</v>
      </c>
    </row>
    <row r="244" spans="1:13">
      <c r="A244" s="27">
        <v>45980</v>
      </c>
      <c r="B244" s="1" t="s">
        <v>112</v>
      </c>
      <c r="C244" s="3" t="s">
        <v>113</v>
      </c>
      <c r="D244" s="3" t="s">
        <v>20</v>
      </c>
      <c r="E244" s="1" t="s">
        <v>20</v>
      </c>
      <c r="F244" s="73">
        <v>0</v>
      </c>
      <c r="G244" s="73">
        <v>0</v>
      </c>
      <c r="H244" s="73">
        <v>0</v>
      </c>
      <c r="I244" s="4">
        <v>41842</v>
      </c>
      <c r="J244" s="73">
        <v>0</v>
      </c>
      <c r="K244" s="73">
        <v>0</v>
      </c>
      <c r="L244" s="73">
        <f t="shared" si="22"/>
        <v>48658</v>
      </c>
      <c r="M244" s="73">
        <f t="shared" si="23"/>
        <v>49</v>
      </c>
    </row>
    <row r="245" spans="1:13">
      <c r="A245" s="27">
        <v>45980</v>
      </c>
      <c r="B245" s="74" t="s">
        <v>33</v>
      </c>
      <c r="C245" s="74"/>
      <c r="D245" s="74"/>
      <c r="E245" s="75"/>
      <c r="F245" s="73">
        <v>0</v>
      </c>
      <c r="G245" s="73">
        <v>10</v>
      </c>
      <c r="H245" s="73">
        <v>10</v>
      </c>
      <c r="I245" s="4">
        <v>41852</v>
      </c>
      <c r="J245" s="73">
        <v>0</v>
      </c>
      <c r="K245" s="73">
        <v>0</v>
      </c>
      <c r="L245" s="73">
        <f t="shared" si="22"/>
        <v>48658</v>
      </c>
      <c r="M245" s="73">
        <f t="shared" si="23"/>
        <v>49</v>
      </c>
    </row>
    <row r="246" spans="1:13">
      <c r="A246" s="27">
        <v>45981</v>
      </c>
      <c r="B246" s="1" t="s">
        <v>114</v>
      </c>
      <c r="C246" s="1" t="s">
        <v>115</v>
      </c>
      <c r="D246" s="1" t="s">
        <v>42</v>
      </c>
      <c r="E246" s="1" t="s">
        <v>43</v>
      </c>
      <c r="F246" s="73">
        <v>455</v>
      </c>
      <c r="G246" s="28">
        <v>528</v>
      </c>
      <c r="H246" s="73">
        <v>983</v>
      </c>
      <c r="I246" s="4">
        <v>42835</v>
      </c>
      <c r="J246" s="4">
        <v>1310</v>
      </c>
      <c r="K246" s="73">
        <v>1</v>
      </c>
      <c r="L246" s="73">
        <f t="shared" si="22"/>
        <v>49968</v>
      </c>
      <c r="M246" s="73">
        <f t="shared" si="23"/>
        <v>50</v>
      </c>
    </row>
    <row r="247" spans="1:13">
      <c r="A247" s="27">
        <v>45981</v>
      </c>
      <c r="B247" s="74" t="s">
        <v>33</v>
      </c>
      <c r="C247" s="74"/>
      <c r="D247" s="74"/>
      <c r="E247" s="75"/>
      <c r="F247" s="73">
        <v>0</v>
      </c>
      <c r="G247" s="73">
        <v>179</v>
      </c>
      <c r="H247" s="73">
        <v>179</v>
      </c>
      <c r="I247" s="4">
        <v>43014</v>
      </c>
      <c r="J247" s="73">
        <v>0</v>
      </c>
      <c r="K247" s="73">
        <v>0</v>
      </c>
      <c r="L247" s="73">
        <f t="shared" si="22"/>
        <v>49968</v>
      </c>
      <c r="M247" s="73">
        <f t="shared" si="23"/>
        <v>50</v>
      </c>
    </row>
    <row r="248" spans="1:13">
      <c r="A248" s="27">
        <v>45982</v>
      </c>
      <c r="B248" s="74" t="s">
        <v>33</v>
      </c>
      <c r="C248" s="74"/>
      <c r="D248" s="74"/>
      <c r="E248" s="75"/>
      <c r="F248" s="73">
        <v>0</v>
      </c>
      <c r="G248" s="73">
        <v>65</v>
      </c>
      <c r="H248" s="73">
        <v>65</v>
      </c>
      <c r="I248" s="4">
        <v>43079</v>
      </c>
      <c r="J248" s="73">
        <v>0</v>
      </c>
      <c r="K248" s="73">
        <v>0</v>
      </c>
      <c r="L248" s="73">
        <f t="shared" si="22"/>
        <v>49968</v>
      </c>
      <c r="M248" s="73">
        <f t="shared" si="23"/>
        <v>50</v>
      </c>
    </row>
    <row r="249" spans="1:13">
      <c r="A249" s="27">
        <v>45983</v>
      </c>
      <c r="B249" s="1" t="s">
        <v>116</v>
      </c>
      <c r="C249" s="1" t="s">
        <v>117</v>
      </c>
      <c r="D249" s="1" t="s">
        <v>42</v>
      </c>
      <c r="E249" s="1" t="s">
        <v>43</v>
      </c>
      <c r="F249" s="73">
        <v>455</v>
      </c>
      <c r="G249" s="28">
        <v>528</v>
      </c>
      <c r="H249" s="73">
        <v>983</v>
      </c>
      <c r="I249" s="4">
        <v>44064</v>
      </c>
      <c r="J249" s="4">
        <v>1310</v>
      </c>
      <c r="K249" s="73">
        <v>1</v>
      </c>
      <c r="L249" s="73">
        <f t="shared" si="22"/>
        <v>51278</v>
      </c>
      <c r="M249" s="73">
        <f t="shared" si="23"/>
        <v>51</v>
      </c>
    </row>
    <row r="250" spans="1:13">
      <c r="A250" s="27">
        <v>45983</v>
      </c>
      <c r="B250" s="74" t="s">
        <v>33</v>
      </c>
      <c r="C250" s="74"/>
      <c r="D250" s="74"/>
      <c r="E250" s="75"/>
      <c r="F250" s="73">
        <v>0</v>
      </c>
      <c r="G250" s="73">
        <v>17</v>
      </c>
      <c r="H250" s="73">
        <v>17</v>
      </c>
      <c r="I250" s="4">
        <v>44081</v>
      </c>
      <c r="J250" s="73">
        <v>0</v>
      </c>
      <c r="K250" s="73">
        <v>0</v>
      </c>
      <c r="L250" s="73">
        <f t="shared" ref="L250:L261" si="24">J250+L249</f>
        <v>51278</v>
      </c>
      <c r="M250" s="73">
        <f t="shared" ref="M250:M261" si="25">K250+M249</f>
        <v>51</v>
      </c>
    </row>
    <row r="251" spans="1:13">
      <c r="A251" s="27">
        <v>45984</v>
      </c>
      <c r="B251" s="74" t="s">
        <v>33</v>
      </c>
      <c r="C251" s="74"/>
      <c r="D251" s="74"/>
      <c r="E251" s="75"/>
      <c r="F251" s="73">
        <v>0</v>
      </c>
      <c r="G251" s="73">
        <v>23</v>
      </c>
      <c r="H251" s="73">
        <v>23</v>
      </c>
      <c r="I251" s="4">
        <v>44104</v>
      </c>
      <c r="J251" s="73">
        <v>0</v>
      </c>
      <c r="K251" s="73">
        <v>0</v>
      </c>
      <c r="L251" s="73">
        <f t="shared" si="24"/>
        <v>51278</v>
      </c>
      <c r="M251" s="73">
        <f t="shared" si="25"/>
        <v>51</v>
      </c>
    </row>
    <row r="252" spans="1:13">
      <c r="A252" s="27">
        <v>45985</v>
      </c>
      <c r="B252" s="1" t="s">
        <v>101</v>
      </c>
      <c r="C252" s="1" t="s">
        <v>13</v>
      </c>
      <c r="D252" s="1" t="s">
        <v>42</v>
      </c>
      <c r="E252" s="1" t="s">
        <v>50</v>
      </c>
      <c r="F252" s="73">
        <v>425</v>
      </c>
      <c r="G252" s="28">
        <v>496</v>
      </c>
      <c r="H252" s="73">
        <v>921</v>
      </c>
      <c r="I252" s="4">
        <v>45025</v>
      </c>
      <c r="J252" s="4">
        <v>1050</v>
      </c>
      <c r="K252" s="73">
        <v>1</v>
      </c>
      <c r="L252" s="73">
        <f t="shared" si="24"/>
        <v>52328</v>
      </c>
      <c r="M252" s="73">
        <f t="shared" si="25"/>
        <v>52</v>
      </c>
    </row>
    <row r="253" spans="1:13">
      <c r="A253" s="27">
        <v>45985</v>
      </c>
      <c r="B253" s="74" t="s">
        <v>33</v>
      </c>
      <c r="C253" s="74"/>
      <c r="D253" s="74"/>
      <c r="E253" s="75"/>
      <c r="F253" s="73">
        <v>0</v>
      </c>
      <c r="G253" s="73">
        <v>9</v>
      </c>
      <c r="H253" s="73">
        <v>9</v>
      </c>
      <c r="I253" s="4">
        <v>45034</v>
      </c>
      <c r="J253" s="73">
        <v>0</v>
      </c>
      <c r="K253" s="73">
        <v>0</v>
      </c>
      <c r="L253" s="73">
        <f t="shared" si="24"/>
        <v>52328</v>
      </c>
      <c r="M253" s="73">
        <f t="shared" si="25"/>
        <v>52</v>
      </c>
    </row>
    <row r="254" spans="1:13">
      <c r="A254" s="27">
        <v>45986</v>
      </c>
      <c r="B254" s="1" t="s">
        <v>67</v>
      </c>
      <c r="C254" s="1" t="s">
        <v>24</v>
      </c>
      <c r="D254" s="1" t="s">
        <v>42</v>
      </c>
      <c r="E254" s="1" t="s">
        <v>43</v>
      </c>
      <c r="F254" s="73">
        <v>624</v>
      </c>
      <c r="G254" s="28">
        <v>705</v>
      </c>
      <c r="H254" s="4">
        <v>1329</v>
      </c>
      <c r="I254" s="4">
        <v>46363</v>
      </c>
      <c r="J254" s="4">
        <v>1648</v>
      </c>
      <c r="K254" s="73">
        <v>1</v>
      </c>
      <c r="L254" s="73">
        <f t="shared" si="24"/>
        <v>53976</v>
      </c>
      <c r="M254" s="73">
        <f t="shared" si="25"/>
        <v>53</v>
      </c>
    </row>
    <row r="255" spans="1:13">
      <c r="A255" s="27">
        <v>45986</v>
      </c>
      <c r="B255" s="74" t="s">
        <v>33</v>
      </c>
      <c r="C255" s="74"/>
      <c r="D255" s="74"/>
      <c r="E255" s="75"/>
      <c r="F255" s="73">
        <v>0</v>
      </c>
      <c r="G255" s="73">
        <v>9</v>
      </c>
      <c r="H255" s="73">
        <v>9</v>
      </c>
      <c r="I255" s="4">
        <v>46372</v>
      </c>
      <c r="J255" s="73">
        <v>0</v>
      </c>
      <c r="K255" s="73">
        <v>0</v>
      </c>
      <c r="L255" s="73">
        <f t="shared" si="24"/>
        <v>53976</v>
      </c>
      <c r="M255" s="73">
        <f t="shared" si="25"/>
        <v>53</v>
      </c>
    </row>
    <row r="256" spans="1:13">
      <c r="A256" s="27">
        <v>45987</v>
      </c>
      <c r="B256" s="1" t="s">
        <v>118</v>
      </c>
      <c r="C256" s="1" t="s">
        <v>53</v>
      </c>
      <c r="D256" s="1" t="s">
        <v>42</v>
      </c>
      <c r="E256" s="1" t="s">
        <v>43</v>
      </c>
      <c r="F256" s="73">
        <v>232</v>
      </c>
      <c r="G256" s="28">
        <v>294</v>
      </c>
      <c r="H256" s="73">
        <v>526</v>
      </c>
      <c r="I256" s="4">
        <v>46898</v>
      </c>
      <c r="J256" s="73">
        <v>864</v>
      </c>
      <c r="K256" s="73">
        <v>1</v>
      </c>
      <c r="L256" s="73">
        <f t="shared" si="24"/>
        <v>54840</v>
      </c>
      <c r="M256" s="73">
        <f t="shared" si="25"/>
        <v>54</v>
      </c>
    </row>
    <row r="257" spans="1:13">
      <c r="A257" s="27">
        <v>45987</v>
      </c>
      <c r="B257" s="74" t="s">
        <v>33</v>
      </c>
      <c r="C257" s="74"/>
      <c r="D257" s="74"/>
      <c r="E257" s="75"/>
      <c r="F257" s="73">
        <v>0</v>
      </c>
      <c r="G257" s="73">
        <v>11</v>
      </c>
      <c r="H257" s="73">
        <v>11</v>
      </c>
      <c r="I257" s="4">
        <v>46909</v>
      </c>
      <c r="J257" s="73">
        <v>0</v>
      </c>
      <c r="K257" s="73">
        <v>0</v>
      </c>
      <c r="L257" s="73">
        <f t="shared" si="24"/>
        <v>54840</v>
      </c>
      <c r="M257" s="73">
        <f t="shared" si="25"/>
        <v>54</v>
      </c>
    </row>
    <row r="258" spans="1:13">
      <c r="A258" s="27">
        <v>45988</v>
      </c>
      <c r="B258" s="1" t="s">
        <v>54</v>
      </c>
      <c r="C258" s="1" t="s">
        <v>55</v>
      </c>
      <c r="D258" s="1" t="s">
        <v>42</v>
      </c>
      <c r="E258" s="1" t="s">
        <v>43</v>
      </c>
      <c r="F258" s="73">
        <v>232</v>
      </c>
      <c r="G258" s="28">
        <v>294</v>
      </c>
      <c r="H258" s="73">
        <v>526</v>
      </c>
      <c r="I258" s="4">
        <v>47435</v>
      </c>
      <c r="J258" s="73">
        <v>864</v>
      </c>
      <c r="K258" s="73">
        <v>1</v>
      </c>
      <c r="L258" s="73">
        <f t="shared" si="24"/>
        <v>55704</v>
      </c>
      <c r="M258" s="73">
        <f t="shared" si="25"/>
        <v>55</v>
      </c>
    </row>
    <row r="259" spans="1:13">
      <c r="A259" s="27">
        <v>45988</v>
      </c>
      <c r="B259" s="74" t="s">
        <v>33</v>
      </c>
      <c r="C259" s="74"/>
      <c r="D259" s="74"/>
      <c r="E259" s="75"/>
      <c r="F259" s="73">
        <v>0</v>
      </c>
      <c r="G259" s="73">
        <v>7</v>
      </c>
      <c r="H259" s="73">
        <v>7</v>
      </c>
      <c r="I259" s="4">
        <v>47442</v>
      </c>
      <c r="J259" s="73">
        <v>0</v>
      </c>
      <c r="K259" s="73">
        <v>0</v>
      </c>
      <c r="L259" s="73">
        <f t="shared" si="24"/>
        <v>55704</v>
      </c>
      <c r="M259" s="73">
        <f t="shared" si="25"/>
        <v>55</v>
      </c>
    </row>
    <row r="260" spans="1:13">
      <c r="A260" s="27">
        <v>45989</v>
      </c>
      <c r="B260" s="74" t="s">
        <v>33</v>
      </c>
      <c r="C260" s="74"/>
      <c r="D260" s="74"/>
      <c r="E260" s="75"/>
      <c r="F260" s="73">
        <v>0</v>
      </c>
      <c r="G260" s="73">
        <v>42</v>
      </c>
      <c r="H260" s="73">
        <v>42</v>
      </c>
      <c r="I260" s="4">
        <v>47484</v>
      </c>
      <c r="J260" s="73">
        <v>0</v>
      </c>
      <c r="K260" s="73">
        <v>0</v>
      </c>
      <c r="L260" s="73">
        <f t="shared" si="24"/>
        <v>55704</v>
      </c>
      <c r="M260" s="73">
        <f t="shared" si="25"/>
        <v>55</v>
      </c>
    </row>
    <row r="261" spans="1:13">
      <c r="A261" s="29">
        <v>45990</v>
      </c>
      <c r="B261" s="76" t="s">
        <v>33</v>
      </c>
      <c r="C261" s="76"/>
      <c r="D261" s="76"/>
      <c r="E261" s="77"/>
      <c r="F261" s="72">
        <v>0</v>
      </c>
      <c r="G261" s="72">
        <v>9</v>
      </c>
      <c r="H261" s="72">
        <v>9</v>
      </c>
      <c r="I261" s="30">
        <v>47493</v>
      </c>
      <c r="J261" s="72">
        <v>0</v>
      </c>
      <c r="K261" s="72">
        <v>0</v>
      </c>
      <c r="L261" s="73">
        <f t="shared" si="24"/>
        <v>55704</v>
      </c>
      <c r="M261" s="73">
        <f t="shared" si="25"/>
        <v>55</v>
      </c>
    </row>
    <row r="262" spans="1:13">
      <c r="A262" s="27">
        <v>45991</v>
      </c>
      <c r="B262" s="74" t="s">
        <v>33</v>
      </c>
      <c r="C262" s="74"/>
      <c r="D262" s="74"/>
      <c r="E262" s="75"/>
      <c r="F262" s="73">
        <v>0</v>
      </c>
      <c r="G262" s="73">
        <v>34</v>
      </c>
      <c r="H262" s="73">
        <v>34</v>
      </c>
      <c r="I262" s="4">
        <v>47530</v>
      </c>
      <c r="J262" s="73">
        <v>0</v>
      </c>
      <c r="K262" s="73">
        <v>0</v>
      </c>
      <c r="L262" s="73">
        <f t="shared" ref="L262:L279" si="26">J262+L261</f>
        <v>55704</v>
      </c>
      <c r="M262" s="73">
        <f t="shared" ref="M262:M279" si="27">K262+M261</f>
        <v>55</v>
      </c>
    </row>
    <row r="263" spans="1:13">
      <c r="A263" s="27">
        <v>45992</v>
      </c>
      <c r="B263" s="1" t="s">
        <v>97</v>
      </c>
      <c r="C263" s="1" t="s">
        <v>13</v>
      </c>
      <c r="D263" s="1" t="s">
        <v>42</v>
      </c>
      <c r="E263" s="1" t="s">
        <v>50</v>
      </c>
      <c r="F263" s="73">
        <v>425</v>
      </c>
      <c r="G263" s="28">
        <v>496</v>
      </c>
      <c r="H263" s="73">
        <v>921</v>
      </c>
      <c r="I263" s="4">
        <v>48451</v>
      </c>
      <c r="J263" s="4">
        <v>1050</v>
      </c>
      <c r="K263" s="73">
        <v>1</v>
      </c>
      <c r="L263" s="73">
        <f t="shared" si="26"/>
        <v>56754</v>
      </c>
      <c r="M263" s="73">
        <f t="shared" si="27"/>
        <v>56</v>
      </c>
    </row>
    <row r="264" spans="1:13">
      <c r="A264" s="27">
        <v>45992</v>
      </c>
      <c r="B264" s="74" t="s">
        <v>33</v>
      </c>
      <c r="C264" s="74"/>
      <c r="D264" s="74"/>
      <c r="E264" s="75"/>
      <c r="F264" s="73">
        <v>0</v>
      </c>
      <c r="G264" s="73">
        <v>16</v>
      </c>
      <c r="H264" s="73">
        <v>16</v>
      </c>
      <c r="I264" s="4">
        <v>48467</v>
      </c>
      <c r="J264" s="73">
        <v>0</v>
      </c>
      <c r="K264" s="73">
        <v>0</v>
      </c>
      <c r="L264" s="73">
        <f t="shared" si="26"/>
        <v>56754</v>
      </c>
      <c r="M264" s="73">
        <f t="shared" si="27"/>
        <v>56</v>
      </c>
    </row>
    <row r="265" spans="1:13">
      <c r="A265" s="27">
        <v>45993</v>
      </c>
      <c r="B265" s="1" t="s">
        <v>119</v>
      </c>
      <c r="C265" s="1" t="s">
        <v>24</v>
      </c>
      <c r="D265" s="1" t="s">
        <v>42</v>
      </c>
      <c r="E265" s="1" t="s">
        <v>50</v>
      </c>
      <c r="F265" s="73">
        <v>425</v>
      </c>
      <c r="G265" s="28">
        <v>496</v>
      </c>
      <c r="H265" s="73">
        <v>921</v>
      </c>
      <c r="I265" s="4">
        <v>49388</v>
      </c>
      <c r="J265" s="4">
        <v>1050</v>
      </c>
      <c r="K265" s="73">
        <v>1</v>
      </c>
      <c r="L265" s="73">
        <f t="shared" si="26"/>
        <v>57804</v>
      </c>
      <c r="M265" s="73">
        <f t="shared" si="27"/>
        <v>57</v>
      </c>
    </row>
    <row r="266" spans="1:13">
      <c r="A266" s="27">
        <v>45993</v>
      </c>
      <c r="B266" s="74" t="s">
        <v>33</v>
      </c>
      <c r="C266" s="74"/>
      <c r="D266" s="74"/>
      <c r="E266" s="75"/>
      <c r="F266" s="73">
        <v>0</v>
      </c>
      <c r="G266" s="73">
        <v>7</v>
      </c>
      <c r="H266" s="73">
        <v>7</v>
      </c>
      <c r="I266" s="4">
        <v>49395</v>
      </c>
      <c r="J266" s="73">
        <v>0</v>
      </c>
      <c r="K266" s="73">
        <v>0</v>
      </c>
      <c r="L266" s="73">
        <f t="shared" si="26"/>
        <v>57804</v>
      </c>
      <c r="M266" s="73">
        <f t="shared" si="27"/>
        <v>57</v>
      </c>
    </row>
    <row r="267" spans="1:13">
      <c r="A267" s="27">
        <v>45994</v>
      </c>
      <c r="B267" s="1" t="s">
        <v>80</v>
      </c>
      <c r="C267" s="1" t="s">
        <v>81</v>
      </c>
      <c r="D267" s="1" t="s">
        <v>42</v>
      </c>
      <c r="E267" s="1" t="s">
        <v>50</v>
      </c>
      <c r="F267" s="73">
        <v>20</v>
      </c>
      <c r="G267" s="28">
        <v>21</v>
      </c>
      <c r="H267" s="73">
        <v>41</v>
      </c>
      <c r="I267" s="4">
        <v>49436</v>
      </c>
      <c r="J267" s="73">
        <v>40</v>
      </c>
      <c r="K267" s="73">
        <v>1</v>
      </c>
      <c r="L267" s="73">
        <f t="shared" si="26"/>
        <v>57844</v>
      </c>
      <c r="M267" s="73">
        <f t="shared" si="27"/>
        <v>58</v>
      </c>
    </row>
    <row r="268" spans="1:13">
      <c r="A268" s="27">
        <v>45994</v>
      </c>
      <c r="B268" s="1" t="s">
        <v>82</v>
      </c>
      <c r="C268" s="1" t="s">
        <v>83</v>
      </c>
      <c r="D268" s="1" t="s">
        <v>42</v>
      </c>
      <c r="E268" s="1" t="s">
        <v>50</v>
      </c>
      <c r="F268" s="73">
        <v>20</v>
      </c>
      <c r="G268" s="28">
        <v>21</v>
      </c>
      <c r="H268" s="73">
        <v>41</v>
      </c>
      <c r="I268" s="4">
        <v>49477</v>
      </c>
      <c r="J268" s="73">
        <v>40</v>
      </c>
      <c r="K268" s="73">
        <v>1</v>
      </c>
      <c r="L268" s="73">
        <f t="shared" si="26"/>
        <v>57884</v>
      </c>
      <c r="M268" s="73">
        <f t="shared" si="27"/>
        <v>59</v>
      </c>
    </row>
    <row r="269" spans="1:13">
      <c r="A269" s="27">
        <v>45994</v>
      </c>
      <c r="B269" s="1" t="s">
        <v>120</v>
      </c>
      <c r="C269" s="1" t="s">
        <v>121</v>
      </c>
      <c r="D269" s="1" t="s">
        <v>42</v>
      </c>
      <c r="E269" s="1" t="s">
        <v>50</v>
      </c>
      <c r="F269" s="73">
        <v>44</v>
      </c>
      <c r="G269" s="28">
        <v>96</v>
      </c>
      <c r="H269" s="73">
        <v>140</v>
      </c>
      <c r="I269" s="4">
        <v>49617</v>
      </c>
      <c r="J269" s="73">
        <v>288</v>
      </c>
      <c r="K269" s="73">
        <v>1</v>
      </c>
      <c r="L269" s="73">
        <f t="shared" si="26"/>
        <v>58172</v>
      </c>
      <c r="M269" s="73">
        <f t="shared" si="27"/>
        <v>60</v>
      </c>
    </row>
    <row r="270" spans="1:13">
      <c r="A270" s="27">
        <v>45994</v>
      </c>
      <c r="B270" s="1" t="s">
        <v>122</v>
      </c>
      <c r="C270" s="1" t="s">
        <v>123</v>
      </c>
      <c r="D270" s="1" t="s">
        <v>42</v>
      </c>
      <c r="E270" s="1" t="s">
        <v>50</v>
      </c>
      <c r="F270" s="73">
        <v>30</v>
      </c>
      <c r="G270" s="28">
        <v>32</v>
      </c>
      <c r="H270" s="73">
        <v>62</v>
      </c>
      <c r="I270" s="4">
        <v>49679</v>
      </c>
      <c r="J270" s="73">
        <v>60</v>
      </c>
      <c r="K270" s="73">
        <v>1</v>
      </c>
      <c r="L270" s="73">
        <f t="shared" si="26"/>
        <v>58232</v>
      </c>
      <c r="M270" s="73">
        <f t="shared" si="27"/>
        <v>61</v>
      </c>
    </row>
    <row r="271" spans="1:13">
      <c r="A271" s="27">
        <v>45994</v>
      </c>
      <c r="B271" s="1" t="s">
        <v>84</v>
      </c>
      <c r="C271" s="1" t="s">
        <v>85</v>
      </c>
      <c r="D271" s="1" t="s">
        <v>42</v>
      </c>
      <c r="E271" s="1" t="s">
        <v>50</v>
      </c>
      <c r="F271" s="73">
        <v>36</v>
      </c>
      <c r="G271" s="28">
        <v>38</v>
      </c>
      <c r="H271" s="73">
        <v>74</v>
      </c>
      <c r="I271" s="4">
        <v>49753</v>
      </c>
      <c r="J271" s="73">
        <v>72</v>
      </c>
      <c r="K271" s="73">
        <v>1</v>
      </c>
      <c r="L271" s="73">
        <f t="shared" si="26"/>
        <v>58304</v>
      </c>
      <c r="M271" s="73">
        <f t="shared" si="27"/>
        <v>62</v>
      </c>
    </row>
    <row r="272" spans="1:13">
      <c r="A272" s="27">
        <v>45994</v>
      </c>
      <c r="B272" s="1" t="s">
        <v>124</v>
      </c>
      <c r="C272" s="1" t="s">
        <v>91</v>
      </c>
      <c r="D272" s="1" t="s">
        <v>42</v>
      </c>
      <c r="E272" s="1" t="s">
        <v>50</v>
      </c>
      <c r="F272" s="73">
        <v>124</v>
      </c>
      <c r="G272" s="28">
        <v>130</v>
      </c>
      <c r="H272" s="73">
        <v>254</v>
      </c>
      <c r="I272" s="4">
        <v>50007</v>
      </c>
      <c r="J272" s="73">
        <v>248</v>
      </c>
      <c r="K272" s="73">
        <v>1</v>
      </c>
      <c r="L272" s="73">
        <f t="shared" si="26"/>
        <v>58552</v>
      </c>
      <c r="M272" s="73">
        <f t="shared" si="27"/>
        <v>63</v>
      </c>
    </row>
    <row r="273" spans="1:13">
      <c r="A273" s="27">
        <v>45994</v>
      </c>
      <c r="B273" s="1" t="s">
        <v>92</v>
      </c>
      <c r="C273" s="1" t="s">
        <v>93</v>
      </c>
      <c r="D273" s="1" t="s">
        <v>42</v>
      </c>
      <c r="E273" s="1" t="s">
        <v>50</v>
      </c>
      <c r="F273" s="73">
        <v>89</v>
      </c>
      <c r="G273" s="28">
        <v>93</v>
      </c>
      <c r="H273" s="73">
        <v>182</v>
      </c>
      <c r="I273" s="4">
        <v>50189</v>
      </c>
      <c r="J273" s="73">
        <v>178</v>
      </c>
      <c r="K273" s="73">
        <v>1</v>
      </c>
      <c r="L273" s="73">
        <f t="shared" si="26"/>
        <v>58730</v>
      </c>
      <c r="M273" s="73">
        <f t="shared" si="27"/>
        <v>64</v>
      </c>
    </row>
    <row r="274" spans="1:13">
      <c r="A274" s="27">
        <v>45994</v>
      </c>
      <c r="B274" s="1" t="s">
        <v>99</v>
      </c>
      <c r="C274" s="1" t="s">
        <v>100</v>
      </c>
      <c r="D274" s="1" t="s">
        <v>42</v>
      </c>
      <c r="E274" s="1" t="s">
        <v>50</v>
      </c>
      <c r="F274" s="73">
        <v>492</v>
      </c>
      <c r="G274" s="28">
        <v>517</v>
      </c>
      <c r="H274" s="4">
        <v>1009</v>
      </c>
      <c r="I274" s="4">
        <v>51198</v>
      </c>
      <c r="J274" s="73">
        <v>984</v>
      </c>
      <c r="K274" s="73">
        <v>1</v>
      </c>
      <c r="L274" s="73">
        <f t="shared" si="26"/>
        <v>59714</v>
      </c>
      <c r="M274" s="73">
        <f t="shared" si="27"/>
        <v>65</v>
      </c>
    </row>
    <row r="275" spans="1:13">
      <c r="A275" s="27">
        <v>45994</v>
      </c>
      <c r="B275" s="1" t="s">
        <v>125</v>
      </c>
      <c r="C275" s="1" t="s">
        <v>11</v>
      </c>
      <c r="D275" s="1" t="s">
        <v>42</v>
      </c>
      <c r="E275" s="1" t="s">
        <v>50</v>
      </c>
      <c r="F275" s="73">
        <v>492</v>
      </c>
      <c r="G275" s="28">
        <v>517</v>
      </c>
      <c r="H275" s="4">
        <v>1009</v>
      </c>
      <c r="I275" s="4">
        <v>52207</v>
      </c>
      <c r="J275" s="73">
        <v>984</v>
      </c>
      <c r="K275" s="73">
        <v>1</v>
      </c>
      <c r="L275" s="73">
        <f t="shared" si="26"/>
        <v>60698</v>
      </c>
      <c r="M275" s="73">
        <f t="shared" si="27"/>
        <v>66</v>
      </c>
    </row>
    <row r="276" spans="1:13">
      <c r="A276" s="27">
        <v>45994</v>
      </c>
      <c r="B276" s="74" t="s">
        <v>33</v>
      </c>
      <c r="C276" s="74"/>
      <c r="D276" s="74"/>
      <c r="E276" s="75"/>
      <c r="F276" s="73">
        <v>0</v>
      </c>
      <c r="G276" s="73">
        <v>10</v>
      </c>
      <c r="H276" s="73">
        <v>10</v>
      </c>
      <c r="I276" s="4">
        <v>52217</v>
      </c>
      <c r="J276" s="73">
        <v>0</v>
      </c>
      <c r="K276" s="73">
        <v>0</v>
      </c>
      <c r="L276" s="73">
        <f t="shared" si="26"/>
        <v>60698</v>
      </c>
      <c r="M276" s="73">
        <f t="shared" si="27"/>
        <v>66</v>
      </c>
    </row>
    <row r="277" spans="1:13">
      <c r="A277" s="27">
        <v>45995</v>
      </c>
      <c r="B277" s="74" t="s">
        <v>33</v>
      </c>
      <c r="C277" s="74"/>
      <c r="D277" s="74"/>
      <c r="E277" s="75"/>
      <c r="F277" s="73">
        <v>0</v>
      </c>
      <c r="G277" s="73">
        <v>110</v>
      </c>
      <c r="H277" s="73">
        <v>110</v>
      </c>
      <c r="I277" s="4">
        <v>52327</v>
      </c>
      <c r="J277" s="73">
        <v>0</v>
      </c>
      <c r="K277" s="73">
        <v>0</v>
      </c>
      <c r="L277" s="73">
        <f t="shared" si="26"/>
        <v>60698</v>
      </c>
      <c r="M277" s="73">
        <f t="shared" si="27"/>
        <v>66</v>
      </c>
    </row>
    <row r="278" spans="1:13">
      <c r="A278" s="27">
        <v>45996</v>
      </c>
      <c r="B278" s="74" t="s">
        <v>33</v>
      </c>
      <c r="C278" s="74"/>
      <c r="D278" s="74"/>
      <c r="E278" s="75"/>
      <c r="F278" s="73">
        <v>0</v>
      </c>
      <c r="G278" s="73">
        <v>13</v>
      </c>
      <c r="H278" s="73">
        <v>13</v>
      </c>
      <c r="I278" s="4">
        <v>52340</v>
      </c>
      <c r="J278" s="73">
        <v>0</v>
      </c>
      <c r="K278" s="73">
        <v>0</v>
      </c>
      <c r="L278" s="73">
        <f t="shared" si="26"/>
        <v>60698</v>
      </c>
      <c r="M278" s="73">
        <f t="shared" si="27"/>
        <v>66</v>
      </c>
    </row>
    <row r="279" spans="1:13">
      <c r="A279" s="29">
        <v>45997</v>
      </c>
      <c r="B279" s="76" t="s">
        <v>33</v>
      </c>
      <c r="C279" s="76"/>
      <c r="D279" s="76"/>
      <c r="E279" s="77"/>
      <c r="F279" s="72">
        <v>0</v>
      </c>
      <c r="G279" s="72">
        <v>10</v>
      </c>
      <c r="H279" s="72">
        <v>10</v>
      </c>
      <c r="I279" s="30">
        <v>52350</v>
      </c>
      <c r="J279" s="72">
        <v>0</v>
      </c>
      <c r="K279" s="72">
        <v>0</v>
      </c>
      <c r="L279" s="73">
        <f t="shared" si="26"/>
        <v>60698</v>
      </c>
      <c r="M279" s="73">
        <f t="shared" si="27"/>
        <v>66</v>
      </c>
    </row>
    <row r="280" spans="1:13">
      <c r="A280" s="27">
        <v>45998</v>
      </c>
      <c r="B280" s="74" t="s">
        <v>33</v>
      </c>
      <c r="C280" s="74"/>
      <c r="D280" s="74"/>
      <c r="E280" s="75"/>
      <c r="F280" s="73">
        <v>0</v>
      </c>
      <c r="G280" s="73">
        <v>28</v>
      </c>
      <c r="H280" s="73">
        <v>28</v>
      </c>
      <c r="I280" s="4">
        <v>52412</v>
      </c>
      <c r="J280" s="73">
        <v>0</v>
      </c>
      <c r="K280" s="73">
        <v>0</v>
      </c>
      <c r="L280" s="73">
        <f t="shared" ref="L280:L302" si="28">J280+L279</f>
        <v>60698</v>
      </c>
      <c r="M280" s="73">
        <f t="shared" ref="M280:M302" si="29">K280+M279</f>
        <v>66</v>
      </c>
    </row>
    <row r="281" spans="1:13">
      <c r="A281" s="27">
        <v>45999</v>
      </c>
      <c r="B281" s="74" t="s">
        <v>33</v>
      </c>
      <c r="C281" s="74"/>
      <c r="D281" s="74"/>
      <c r="E281" s="75"/>
      <c r="F281" s="73">
        <v>0</v>
      </c>
      <c r="G281" s="73">
        <v>9</v>
      </c>
      <c r="H281" s="73">
        <v>9</v>
      </c>
      <c r="I281" s="4">
        <v>52421</v>
      </c>
      <c r="J281" s="73">
        <v>0</v>
      </c>
      <c r="K281" s="73">
        <v>0</v>
      </c>
      <c r="L281" s="73">
        <f t="shared" si="28"/>
        <v>60698</v>
      </c>
      <c r="M281" s="73">
        <f t="shared" si="29"/>
        <v>66</v>
      </c>
    </row>
    <row r="282" spans="1:13">
      <c r="A282" s="27">
        <v>46000</v>
      </c>
      <c r="B282" s="74" t="s">
        <v>33</v>
      </c>
      <c r="C282" s="74"/>
      <c r="D282" s="74"/>
      <c r="E282" s="75"/>
      <c r="F282" s="73">
        <v>0</v>
      </c>
      <c r="G282" s="73">
        <v>11</v>
      </c>
      <c r="H282" s="73">
        <v>11</v>
      </c>
      <c r="I282" s="4">
        <v>52432</v>
      </c>
      <c r="J282" s="73">
        <v>0</v>
      </c>
      <c r="K282" s="73">
        <v>0</v>
      </c>
      <c r="L282" s="73">
        <f t="shared" si="28"/>
        <v>60698</v>
      </c>
      <c r="M282" s="73">
        <f t="shared" si="29"/>
        <v>66</v>
      </c>
    </row>
    <row r="283" spans="1:13">
      <c r="A283" s="27">
        <v>46001</v>
      </c>
      <c r="B283" s="74" t="s">
        <v>65</v>
      </c>
      <c r="C283" s="74"/>
      <c r="D283" s="74"/>
      <c r="E283" s="75"/>
      <c r="F283" s="4">
        <v>3093</v>
      </c>
      <c r="G283" s="73">
        <v>0</v>
      </c>
      <c r="H283" s="4">
        <v>3093</v>
      </c>
      <c r="I283" s="4">
        <v>55525</v>
      </c>
      <c r="J283" s="73">
        <v>0</v>
      </c>
      <c r="K283" s="73">
        <v>0</v>
      </c>
      <c r="L283" s="73">
        <f t="shared" si="28"/>
        <v>60698</v>
      </c>
      <c r="M283" s="73">
        <f t="shared" si="29"/>
        <v>66</v>
      </c>
    </row>
    <row r="284" spans="1:13">
      <c r="A284" s="27">
        <v>46001</v>
      </c>
      <c r="B284" s="74" t="s">
        <v>65</v>
      </c>
      <c r="C284" s="74"/>
      <c r="D284" s="74"/>
      <c r="E284" s="75"/>
      <c r="F284" s="73">
        <v>27</v>
      </c>
      <c r="G284" s="73">
        <v>0</v>
      </c>
      <c r="H284" s="73">
        <v>27</v>
      </c>
      <c r="I284" s="4">
        <v>55552</v>
      </c>
      <c r="J284" s="73">
        <v>0</v>
      </c>
      <c r="K284" s="73">
        <v>0</v>
      </c>
      <c r="L284" s="73">
        <f t="shared" si="28"/>
        <v>60698</v>
      </c>
      <c r="M284" s="73">
        <f t="shared" si="29"/>
        <v>66</v>
      </c>
    </row>
    <row r="285" spans="1:13">
      <c r="A285" s="27">
        <v>46001</v>
      </c>
      <c r="B285" s="74" t="s">
        <v>49</v>
      </c>
      <c r="C285" s="74"/>
      <c r="D285" s="74"/>
      <c r="E285" s="75"/>
      <c r="F285" s="73">
        <v>0</v>
      </c>
      <c r="G285" s="73">
        <v>1</v>
      </c>
      <c r="H285" s="73">
        <v>1</v>
      </c>
      <c r="I285" s="4">
        <v>55553</v>
      </c>
      <c r="J285" s="73">
        <v>0</v>
      </c>
      <c r="K285" s="73">
        <v>0</v>
      </c>
      <c r="L285" s="73">
        <f t="shared" si="28"/>
        <v>60698</v>
      </c>
      <c r="M285" s="73">
        <f t="shared" si="29"/>
        <v>66</v>
      </c>
    </row>
    <row r="286" spans="1:13">
      <c r="A286" s="27">
        <v>46001</v>
      </c>
      <c r="B286" s="74" t="s">
        <v>33</v>
      </c>
      <c r="C286" s="74"/>
      <c r="D286" s="74"/>
      <c r="E286" s="75"/>
      <c r="F286" s="73">
        <v>0</v>
      </c>
      <c r="G286" s="73">
        <v>17</v>
      </c>
      <c r="H286" s="73">
        <v>17</v>
      </c>
      <c r="I286" s="4">
        <v>55570</v>
      </c>
      <c r="J286" s="73">
        <v>0</v>
      </c>
      <c r="K286" s="73">
        <v>0</v>
      </c>
      <c r="L286" s="73">
        <f t="shared" si="28"/>
        <v>60698</v>
      </c>
      <c r="M286" s="73">
        <f t="shared" si="29"/>
        <v>66</v>
      </c>
    </row>
    <row r="287" spans="1:13">
      <c r="A287" s="27">
        <v>46002</v>
      </c>
      <c r="B287" s="74" t="s">
        <v>33</v>
      </c>
      <c r="C287" s="74"/>
      <c r="D287" s="74"/>
      <c r="E287" s="75"/>
      <c r="F287" s="73">
        <v>0</v>
      </c>
      <c r="G287" s="73">
        <v>9</v>
      </c>
      <c r="H287" s="73">
        <v>9</v>
      </c>
      <c r="I287" s="4">
        <v>55579</v>
      </c>
      <c r="J287" s="73">
        <v>0</v>
      </c>
      <c r="K287" s="73">
        <v>0</v>
      </c>
      <c r="L287" s="73">
        <f t="shared" si="28"/>
        <v>60698</v>
      </c>
      <c r="M287" s="73">
        <f t="shared" si="29"/>
        <v>66</v>
      </c>
    </row>
    <row r="288" spans="1:13">
      <c r="A288" s="27">
        <v>46003</v>
      </c>
      <c r="B288" s="74" t="s">
        <v>49</v>
      </c>
      <c r="C288" s="74"/>
      <c r="D288" s="74"/>
      <c r="E288" s="75"/>
      <c r="F288" s="73">
        <v>0</v>
      </c>
      <c r="G288" s="73">
        <v>1</v>
      </c>
      <c r="H288" s="73">
        <v>1</v>
      </c>
      <c r="I288" s="4">
        <v>55580</v>
      </c>
      <c r="J288" s="73">
        <v>0</v>
      </c>
      <c r="K288" s="73">
        <v>0</v>
      </c>
      <c r="L288" s="73">
        <f t="shared" si="28"/>
        <v>60698</v>
      </c>
      <c r="M288" s="73">
        <f t="shared" si="29"/>
        <v>66</v>
      </c>
    </row>
    <row r="289" spans="1:13">
      <c r="A289" s="27">
        <v>46003</v>
      </c>
      <c r="B289" s="74" t="s">
        <v>33</v>
      </c>
      <c r="C289" s="74"/>
      <c r="D289" s="74"/>
      <c r="E289" s="75"/>
      <c r="F289" s="73">
        <v>0</v>
      </c>
      <c r="G289" s="73">
        <v>8</v>
      </c>
      <c r="H289" s="73">
        <v>8</v>
      </c>
      <c r="I289" s="4">
        <v>55588</v>
      </c>
      <c r="J289" s="73">
        <v>0</v>
      </c>
      <c r="K289" s="73">
        <v>0</v>
      </c>
      <c r="L289" s="73">
        <f t="shared" si="28"/>
        <v>60698</v>
      </c>
      <c r="M289" s="73">
        <f t="shared" si="29"/>
        <v>66</v>
      </c>
    </row>
    <row r="290" spans="1:13">
      <c r="A290" s="27">
        <v>46004</v>
      </c>
      <c r="B290" s="74" t="s">
        <v>49</v>
      </c>
      <c r="C290" s="74"/>
      <c r="D290" s="74"/>
      <c r="E290" s="75"/>
      <c r="F290" s="73">
        <v>0</v>
      </c>
      <c r="G290" s="73">
        <v>1</v>
      </c>
      <c r="H290" s="73">
        <v>1</v>
      </c>
      <c r="I290" s="4">
        <v>55589</v>
      </c>
      <c r="J290" s="73">
        <v>0</v>
      </c>
      <c r="K290" s="73">
        <v>0</v>
      </c>
      <c r="L290" s="73">
        <f t="shared" si="28"/>
        <v>60698</v>
      </c>
      <c r="M290" s="73">
        <f t="shared" si="29"/>
        <v>66</v>
      </c>
    </row>
    <row r="291" spans="1:13">
      <c r="A291" s="27">
        <v>46004</v>
      </c>
      <c r="B291" s="74" t="s">
        <v>33</v>
      </c>
      <c r="C291" s="74"/>
      <c r="D291" s="74"/>
      <c r="E291" s="75"/>
      <c r="F291" s="73">
        <v>0</v>
      </c>
      <c r="G291" s="73">
        <v>9</v>
      </c>
      <c r="H291" s="73">
        <v>9</v>
      </c>
      <c r="I291" s="4">
        <v>55598</v>
      </c>
      <c r="J291" s="73">
        <v>0</v>
      </c>
      <c r="K291" s="73">
        <v>0</v>
      </c>
      <c r="L291" s="73">
        <f t="shared" si="28"/>
        <v>60698</v>
      </c>
      <c r="M291" s="73">
        <f t="shared" si="29"/>
        <v>66</v>
      </c>
    </row>
    <row r="292" spans="1:13">
      <c r="A292" s="27">
        <v>46005</v>
      </c>
      <c r="B292" s="74" t="s">
        <v>49</v>
      </c>
      <c r="C292" s="74"/>
      <c r="D292" s="74"/>
      <c r="E292" s="75"/>
      <c r="F292" s="73">
        <v>0</v>
      </c>
      <c r="G292" s="73">
        <v>1</v>
      </c>
      <c r="H292" s="73">
        <v>1</v>
      </c>
      <c r="I292" s="4">
        <v>55599</v>
      </c>
      <c r="J292" s="73">
        <v>0</v>
      </c>
      <c r="K292" s="73">
        <v>0</v>
      </c>
      <c r="L292" s="73">
        <f t="shared" si="28"/>
        <v>60698</v>
      </c>
      <c r="M292" s="73">
        <f t="shared" si="29"/>
        <v>66</v>
      </c>
    </row>
    <row r="293" spans="1:13">
      <c r="A293" s="27">
        <v>46005</v>
      </c>
      <c r="B293" s="74" t="s">
        <v>33</v>
      </c>
      <c r="C293" s="74"/>
      <c r="D293" s="74"/>
      <c r="E293" s="75"/>
      <c r="F293" s="73">
        <v>0</v>
      </c>
      <c r="G293" s="73">
        <v>21</v>
      </c>
      <c r="H293" s="73">
        <v>21</v>
      </c>
      <c r="I293" s="4">
        <v>55620</v>
      </c>
      <c r="J293" s="73">
        <v>0</v>
      </c>
      <c r="K293" s="73">
        <v>0</v>
      </c>
      <c r="L293" s="73">
        <f t="shared" si="28"/>
        <v>60698</v>
      </c>
      <c r="M293" s="73">
        <f t="shared" si="29"/>
        <v>66</v>
      </c>
    </row>
    <row r="294" spans="1:13">
      <c r="A294" s="27">
        <v>46006</v>
      </c>
      <c r="B294" s="74" t="s">
        <v>33</v>
      </c>
      <c r="C294" s="74"/>
      <c r="D294" s="74"/>
      <c r="E294" s="75"/>
      <c r="F294" s="73">
        <v>0</v>
      </c>
      <c r="G294" s="73">
        <v>10</v>
      </c>
      <c r="H294" s="73">
        <v>10</v>
      </c>
      <c r="I294" s="4">
        <v>55630</v>
      </c>
      <c r="J294" s="73">
        <v>0</v>
      </c>
      <c r="K294" s="73">
        <v>0</v>
      </c>
      <c r="L294" s="73">
        <f t="shared" si="28"/>
        <v>60698</v>
      </c>
      <c r="M294" s="73">
        <f t="shared" si="29"/>
        <v>66</v>
      </c>
    </row>
    <row r="295" spans="1:13">
      <c r="A295" s="27">
        <v>46007</v>
      </c>
      <c r="B295" s="74" t="s">
        <v>126</v>
      </c>
      <c r="C295" s="74"/>
      <c r="D295" s="74"/>
      <c r="E295" s="75"/>
      <c r="F295" s="73">
        <v>0</v>
      </c>
      <c r="G295" s="73">
        <v>0</v>
      </c>
      <c r="H295" s="73">
        <v>0</v>
      </c>
      <c r="I295" s="4">
        <v>55630</v>
      </c>
      <c r="J295" s="4">
        <v>15000</v>
      </c>
      <c r="K295" s="73">
        <v>0</v>
      </c>
      <c r="L295" s="73">
        <f t="shared" si="28"/>
        <v>75698</v>
      </c>
      <c r="M295" s="73">
        <f t="shared" si="29"/>
        <v>66</v>
      </c>
    </row>
    <row r="296" spans="1:13">
      <c r="A296" s="27">
        <v>46007</v>
      </c>
      <c r="B296" s="74" t="s">
        <v>33</v>
      </c>
      <c r="C296" s="74"/>
      <c r="D296" s="74"/>
      <c r="E296" s="75"/>
      <c r="F296" s="73">
        <v>0</v>
      </c>
      <c r="G296" s="73">
        <v>7</v>
      </c>
      <c r="H296" s="73">
        <v>7</v>
      </c>
      <c r="I296" s="4">
        <v>55637</v>
      </c>
      <c r="J296" s="73">
        <v>0</v>
      </c>
      <c r="K296" s="73">
        <v>0</v>
      </c>
      <c r="L296" s="73">
        <f t="shared" si="28"/>
        <v>75698</v>
      </c>
      <c r="M296" s="73">
        <f t="shared" si="29"/>
        <v>66</v>
      </c>
    </row>
    <row r="297" spans="1:13">
      <c r="A297" s="27">
        <v>46008</v>
      </c>
      <c r="B297" s="74" t="s">
        <v>33</v>
      </c>
      <c r="C297" s="74"/>
      <c r="D297" s="74"/>
      <c r="E297" s="75"/>
      <c r="F297" s="73">
        <v>0</v>
      </c>
      <c r="G297" s="73">
        <v>9</v>
      </c>
      <c r="H297" s="73">
        <v>9</v>
      </c>
      <c r="I297" s="4">
        <v>55646</v>
      </c>
      <c r="J297" s="73">
        <v>0</v>
      </c>
      <c r="K297" s="73">
        <v>0</v>
      </c>
      <c r="L297" s="73">
        <f t="shared" si="28"/>
        <v>75698</v>
      </c>
      <c r="M297" s="73">
        <f t="shared" si="29"/>
        <v>66</v>
      </c>
    </row>
    <row r="298" spans="1:13">
      <c r="A298" s="27">
        <v>46009</v>
      </c>
      <c r="B298" s="1" t="s">
        <v>127</v>
      </c>
      <c r="C298" s="1" t="s">
        <v>11</v>
      </c>
      <c r="D298" s="1" t="s">
        <v>42</v>
      </c>
      <c r="E298" s="1" t="s">
        <v>50</v>
      </c>
      <c r="F298" s="73">
        <v>738</v>
      </c>
      <c r="G298" s="28">
        <v>825</v>
      </c>
      <c r="H298" s="4">
        <v>1563</v>
      </c>
      <c r="I298" s="4">
        <v>57209</v>
      </c>
      <c r="J298" s="4">
        <v>1676</v>
      </c>
      <c r="K298" s="73">
        <v>1</v>
      </c>
      <c r="L298" s="73">
        <f t="shared" si="28"/>
        <v>77374</v>
      </c>
      <c r="M298" s="73">
        <f t="shared" si="29"/>
        <v>67</v>
      </c>
    </row>
    <row r="299" spans="1:13">
      <c r="A299" s="27">
        <v>46009</v>
      </c>
      <c r="B299" s="74" t="s">
        <v>128</v>
      </c>
      <c r="C299" s="74"/>
      <c r="D299" s="74"/>
      <c r="E299" s="75"/>
      <c r="F299" s="73">
        <v>0</v>
      </c>
      <c r="G299" s="4">
        <v>1000</v>
      </c>
      <c r="H299" s="4">
        <v>1000</v>
      </c>
      <c r="I299" s="4">
        <v>58209</v>
      </c>
      <c r="J299" s="73">
        <v>0</v>
      </c>
      <c r="K299" s="73">
        <v>0</v>
      </c>
      <c r="L299" s="73">
        <f t="shared" si="28"/>
        <v>77374</v>
      </c>
      <c r="M299" s="73">
        <f t="shared" si="29"/>
        <v>67</v>
      </c>
    </row>
    <row r="300" spans="1:13">
      <c r="A300" s="27">
        <v>46009</v>
      </c>
      <c r="B300" s="74" t="s">
        <v>33</v>
      </c>
      <c r="C300" s="74"/>
      <c r="D300" s="74"/>
      <c r="E300" s="75"/>
      <c r="F300" s="73">
        <v>0</v>
      </c>
      <c r="G300" s="73">
        <v>9</v>
      </c>
      <c r="H300" s="73">
        <v>9</v>
      </c>
      <c r="I300" s="4">
        <v>58218</v>
      </c>
      <c r="J300" s="73">
        <v>0</v>
      </c>
      <c r="K300" s="73">
        <v>0</v>
      </c>
      <c r="L300" s="73">
        <f t="shared" si="28"/>
        <v>77374</v>
      </c>
      <c r="M300" s="73">
        <f t="shared" si="29"/>
        <v>67</v>
      </c>
    </row>
    <row r="301" spans="1:13">
      <c r="A301" s="27">
        <v>46010</v>
      </c>
      <c r="B301" s="74" t="s">
        <v>33</v>
      </c>
      <c r="C301" s="74"/>
      <c r="D301" s="74"/>
      <c r="E301" s="75"/>
      <c r="F301" s="73">
        <v>0</v>
      </c>
      <c r="G301" s="73">
        <v>11</v>
      </c>
      <c r="H301" s="73">
        <v>11</v>
      </c>
      <c r="I301" s="4">
        <v>58229</v>
      </c>
      <c r="J301" s="73">
        <v>0</v>
      </c>
      <c r="K301" s="73">
        <v>0</v>
      </c>
      <c r="L301" s="73">
        <f t="shared" si="28"/>
        <v>77374</v>
      </c>
      <c r="M301" s="73">
        <f t="shared" si="29"/>
        <v>67</v>
      </c>
    </row>
    <row r="302" spans="1:13">
      <c r="A302" s="29">
        <v>46011</v>
      </c>
      <c r="B302" s="76" t="s">
        <v>33</v>
      </c>
      <c r="C302" s="76"/>
      <c r="D302" s="76"/>
      <c r="E302" s="77"/>
      <c r="F302" s="72">
        <v>0</v>
      </c>
      <c r="G302" s="72">
        <v>10</v>
      </c>
      <c r="H302" s="72">
        <v>10</v>
      </c>
      <c r="I302" s="30">
        <v>58239</v>
      </c>
      <c r="J302" s="72">
        <v>0</v>
      </c>
      <c r="K302" s="72">
        <v>0</v>
      </c>
      <c r="L302" s="73">
        <f t="shared" si="28"/>
        <v>77374</v>
      </c>
      <c r="M302" s="73">
        <f t="shared" si="29"/>
        <v>67</v>
      </c>
    </row>
    <row r="303" spans="1:13">
      <c r="A303" s="27">
        <v>46011</v>
      </c>
      <c r="B303" s="74" t="s">
        <v>49</v>
      </c>
      <c r="C303" s="74"/>
      <c r="D303" s="74"/>
      <c r="E303" s="75"/>
      <c r="F303" s="73">
        <v>0</v>
      </c>
      <c r="G303" s="73">
        <v>1</v>
      </c>
      <c r="H303" s="73">
        <v>1</v>
      </c>
      <c r="I303" s="4">
        <v>59817</v>
      </c>
      <c r="J303" s="73">
        <v>0</v>
      </c>
      <c r="K303" s="73">
        <v>0</v>
      </c>
      <c r="L303" s="73">
        <f t="shared" ref="L303:L319" si="30">J303+L302</f>
        <v>77374</v>
      </c>
      <c r="M303" s="73">
        <f t="shared" ref="M303:M319" si="31">K303+M302</f>
        <v>67</v>
      </c>
    </row>
    <row r="304" spans="1:13">
      <c r="A304" s="27">
        <v>46011</v>
      </c>
      <c r="B304" s="74" t="s">
        <v>33</v>
      </c>
      <c r="C304" s="74"/>
      <c r="D304" s="74"/>
      <c r="E304" s="75"/>
      <c r="F304" s="73">
        <v>0</v>
      </c>
      <c r="G304" s="73">
        <v>10</v>
      </c>
      <c r="H304" s="73">
        <v>10</v>
      </c>
      <c r="I304" s="4">
        <v>59827</v>
      </c>
      <c r="J304" s="73">
        <v>0</v>
      </c>
      <c r="K304" s="73">
        <v>0</v>
      </c>
      <c r="L304" s="73">
        <f t="shared" si="30"/>
        <v>77374</v>
      </c>
      <c r="M304" s="73">
        <f t="shared" si="31"/>
        <v>67</v>
      </c>
    </row>
    <row r="305" spans="1:13">
      <c r="A305" s="27">
        <v>46012</v>
      </c>
      <c r="B305" s="1" t="s">
        <v>41</v>
      </c>
      <c r="C305" s="1" t="s">
        <v>13</v>
      </c>
      <c r="D305" s="1" t="s">
        <v>42</v>
      </c>
      <c r="E305" s="1" t="s">
        <v>50</v>
      </c>
      <c r="F305" s="73">
        <v>425</v>
      </c>
      <c r="G305" s="28">
        <v>496</v>
      </c>
      <c r="H305" s="73">
        <v>921</v>
      </c>
      <c r="I305" s="4">
        <v>60748</v>
      </c>
      <c r="J305" s="4">
        <v>1050</v>
      </c>
      <c r="K305" s="73">
        <v>1</v>
      </c>
      <c r="L305" s="73">
        <f t="shared" si="30"/>
        <v>78424</v>
      </c>
      <c r="M305" s="73">
        <f t="shared" si="31"/>
        <v>68</v>
      </c>
    </row>
    <row r="306" spans="1:13">
      <c r="A306" s="27">
        <v>46012</v>
      </c>
      <c r="B306" s="74" t="s">
        <v>49</v>
      </c>
      <c r="C306" s="74"/>
      <c r="D306" s="74"/>
      <c r="E306" s="75"/>
      <c r="F306" s="73">
        <v>0</v>
      </c>
      <c r="G306" s="73">
        <v>1</v>
      </c>
      <c r="H306" s="73">
        <v>1</v>
      </c>
      <c r="I306" s="4">
        <v>60749</v>
      </c>
      <c r="J306" s="73">
        <v>0</v>
      </c>
      <c r="K306" s="73">
        <v>0</v>
      </c>
      <c r="L306" s="73">
        <f t="shared" si="30"/>
        <v>78424</v>
      </c>
      <c r="M306" s="73">
        <f t="shared" si="31"/>
        <v>68</v>
      </c>
    </row>
    <row r="307" spans="1:13">
      <c r="A307" s="27">
        <v>46012</v>
      </c>
      <c r="B307" s="74" t="s">
        <v>129</v>
      </c>
      <c r="C307" s="74"/>
      <c r="D307" s="74"/>
      <c r="E307" s="75"/>
      <c r="F307" s="73">
        <v>0</v>
      </c>
      <c r="G307" s="73">
        <v>69</v>
      </c>
      <c r="H307" s="73">
        <v>69</v>
      </c>
      <c r="I307" s="4">
        <v>60818</v>
      </c>
      <c r="J307" s="73">
        <v>0</v>
      </c>
      <c r="K307" s="73">
        <v>0</v>
      </c>
      <c r="L307" s="73">
        <f t="shared" si="30"/>
        <v>78424</v>
      </c>
      <c r="M307" s="73">
        <f t="shared" si="31"/>
        <v>68</v>
      </c>
    </row>
    <row r="308" spans="1:13">
      <c r="A308" s="27">
        <v>46012</v>
      </c>
      <c r="B308" s="74" t="s">
        <v>33</v>
      </c>
      <c r="C308" s="74"/>
      <c r="D308" s="74"/>
      <c r="E308" s="75"/>
      <c r="F308" s="73">
        <v>0</v>
      </c>
      <c r="G308" s="73">
        <v>26</v>
      </c>
      <c r="H308" s="73">
        <v>26</v>
      </c>
      <c r="I308" s="4">
        <v>60844</v>
      </c>
      <c r="J308" s="73">
        <v>0</v>
      </c>
      <c r="K308" s="73">
        <v>0</v>
      </c>
      <c r="L308" s="73">
        <f t="shared" si="30"/>
        <v>78424</v>
      </c>
      <c r="M308" s="73">
        <f t="shared" si="31"/>
        <v>68</v>
      </c>
    </row>
    <row r="309" spans="1:13">
      <c r="A309" s="27">
        <v>46013</v>
      </c>
      <c r="B309" s="74" t="s">
        <v>33</v>
      </c>
      <c r="C309" s="74"/>
      <c r="D309" s="74"/>
      <c r="E309" s="75"/>
      <c r="F309" s="73">
        <v>0</v>
      </c>
      <c r="G309" s="73">
        <v>13</v>
      </c>
      <c r="H309" s="73">
        <v>13</v>
      </c>
      <c r="I309" s="4">
        <v>60857</v>
      </c>
      <c r="J309" s="73">
        <v>0</v>
      </c>
      <c r="K309" s="73">
        <v>0</v>
      </c>
      <c r="L309" s="73">
        <f t="shared" si="30"/>
        <v>78424</v>
      </c>
      <c r="M309" s="73">
        <f t="shared" si="31"/>
        <v>68</v>
      </c>
    </row>
    <row r="310" spans="1:13">
      <c r="A310" s="27">
        <v>46014</v>
      </c>
      <c r="B310" s="1" t="s">
        <v>51</v>
      </c>
      <c r="C310" s="1" t="s">
        <v>24</v>
      </c>
      <c r="D310" s="1" t="s">
        <v>42</v>
      </c>
      <c r="E310" s="1" t="s">
        <v>50</v>
      </c>
      <c r="F310" s="73">
        <v>425</v>
      </c>
      <c r="G310" s="28">
        <v>496</v>
      </c>
      <c r="H310" s="73">
        <v>921</v>
      </c>
      <c r="I310" s="4">
        <v>61778</v>
      </c>
      <c r="J310" s="4">
        <v>1050</v>
      </c>
      <c r="K310" s="73">
        <v>1</v>
      </c>
      <c r="L310" s="73">
        <f t="shared" si="30"/>
        <v>79474</v>
      </c>
      <c r="M310" s="73">
        <f t="shared" si="31"/>
        <v>69</v>
      </c>
    </row>
    <row r="311" spans="1:13">
      <c r="A311" s="27">
        <v>46014</v>
      </c>
      <c r="B311" s="74" t="s">
        <v>33</v>
      </c>
      <c r="C311" s="74"/>
      <c r="D311" s="74"/>
      <c r="E311" s="75"/>
      <c r="F311" s="73">
        <v>0</v>
      </c>
      <c r="G311" s="73">
        <v>10</v>
      </c>
      <c r="H311" s="73">
        <v>10</v>
      </c>
      <c r="I311" s="4">
        <v>61788</v>
      </c>
      <c r="J311" s="73">
        <v>0</v>
      </c>
      <c r="K311" s="73">
        <v>0</v>
      </c>
      <c r="L311" s="73">
        <f t="shared" si="30"/>
        <v>79474</v>
      </c>
      <c r="M311" s="73">
        <f t="shared" si="31"/>
        <v>69</v>
      </c>
    </row>
    <row r="312" spans="1:13">
      <c r="A312" s="27">
        <v>46015</v>
      </c>
      <c r="B312" s="74" t="s">
        <v>33</v>
      </c>
      <c r="C312" s="74"/>
      <c r="D312" s="74"/>
      <c r="E312" s="75"/>
      <c r="F312" s="73">
        <v>0</v>
      </c>
      <c r="G312" s="73">
        <v>9</v>
      </c>
      <c r="H312" s="73">
        <v>9</v>
      </c>
      <c r="I312" s="4">
        <v>61797</v>
      </c>
      <c r="J312" s="73">
        <v>0</v>
      </c>
      <c r="K312" s="73">
        <v>0</v>
      </c>
      <c r="L312" s="73">
        <f t="shared" si="30"/>
        <v>79474</v>
      </c>
      <c r="M312" s="73">
        <f t="shared" si="31"/>
        <v>69</v>
      </c>
    </row>
    <row r="313" spans="1:13">
      <c r="A313" s="27">
        <v>46016</v>
      </c>
      <c r="B313" s="74" t="s">
        <v>33</v>
      </c>
      <c r="C313" s="74"/>
      <c r="D313" s="74"/>
      <c r="E313" s="75"/>
      <c r="F313" s="73">
        <v>0</v>
      </c>
      <c r="G313" s="73">
        <v>12</v>
      </c>
      <c r="H313" s="73">
        <v>12</v>
      </c>
      <c r="I313" s="4">
        <v>61809</v>
      </c>
      <c r="J313" s="73">
        <v>0</v>
      </c>
      <c r="K313" s="73">
        <v>0</v>
      </c>
      <c r="L313" s="73">
        <f t="shared" si="30"/>
        <v>79474</v>
      </c>
      <c r="M313" s="73">
        <f t="shared" si="31"/>
        <v>69</v>
      </c>
    </row>
    <row r="314" spans="1:13">
      <c r="A314" s="27">
        <v>46017</v>
      </c>
      <c r="B314" s="74" t="s">
        <v>33</v>
      </c>
      <c r="C314" s="74"/>
      <c r="D314" s="74"/>
      <c r="E314" s="75"/>
      <c r="F314" s="73">
        <v>0</v>
      </c>
      <c r="G314" s="73">
        <v>7</v>
      </c>
      <c r="H314" s="73">
        <v>7</v>
      </c>
      <c r="I314" s="4">
        <v>61816</v>
      </c>
      <c r="J314" s="73">
        <v>0</v>
      </c>
      <c r="K314" s="73">
        <v>0</v>
      </c>
      <c r="L314" s="73">
        <f t="shared" si="30"/>
        <v>79474</v>
      </c>
      <c r="M314" s="73">
        <f t="shared" si="31"/>
        <v>69</v>
      </c>
    </row>
    <row r="315" spans="1:13">
      <c r="A315" s="27">
        <v>46018</v>
      </c>
      <c r="B315" s="74" t="s">
        <v>33</v>
      </c>
      <c r="C315" s="74"/>
      <c r="D315" s="74"/>
      <c r="E315" s="75"/>
      <c r="F315" s="73">
        <v>0</v>
      </c>
      <c r="G315" s="73">
        <v>8</v>
      </c>
      <c r="H315" s="73">
        <v>8</v>
      </c>
      <c r="I315" s="4">
        <v>61824</v>
      </c>
      <c r="J315" s="73">
        <v>0</v>
      </c>
      <c r="K315" s="73">
        <v>0</v>
      </c>
      <c r="L315" s="73">
        <f t="shared" si="30"/>
        <v>79474</v>
      </c>
      <c r="M315" s="73">
        <f t="shared" si="31"/>
        <v>69</v>
      </c>
    </row>
    <row r="316" spans="1:13">
      <c r="A316" s="27">
        <v>46019</v>
      </c>
      <c r="B316" s="74" t="s">
        <v>33</v>
      </c>
      <c r="C316" s="74"/>
      <c r="D316" s="74"/>
      <c r="E316" s="75"/>
      <c r="F316" s="73">
        <v>0</v>
      </c>
      <c r="G316" s="73">
        <v>19</v>
      </c>
      <c r="H316" s="73">
        <v>19</v>
      </c>
      <c r="I316" s="4">
        <v>61843</v>
      </c>
      <c r="J316" s="73">
        <v>0</v>
      </c>
      <c r="K316" s="73">
        <v>0</v>
      </c>
      <c r="L316" s="73">
        <f t="shared" si="30"/>
        <v>79474</v>
      </c>
      <c r="M316" s="73">
        <f t="shared" si="31"/>
        <v>69</v>
      </c>
    </row>
    <row r="317" spans="1:13">
      <c r="A317" s="27">
        <v>46020</v>
      </c>
      <c r="B317" s="74" t="s">
        <v>33</v>
      </c>
      <c r="C317" s="74"/>
      <c r="D317" s="74"/>
      <c r="E317" s="75"/>
      <c r="F317" s="73">
        <v>0</v>
      </c>
      <c r="G317" s="73">
        <v>8</v>
      </c>
      <c r="H317" s="73">
        <v>8</v>
      </c>
      <c r="I317" s="4">
        <v>61851</v>
      </c>
      <c r="J317" s="73">
        <v>0</v>
      </c>
      <c r="K317" s="73">
        <v>0</v>
      </c>
      <c r="L317" s="73">
        <f t="shared" si="30"/>
        <v>79474</v>
      </c>
      <c r="M317" s="73">
        <f t="shared" si="31"/>
        <v>69</v>
      </c>
    </row>
    <row r="318" spans="1:13">
      <c r="A318" s="27">
        <v>46021</v>
      </c>
      <c r="B318" s="74" t="s">
        <v>33</v>
      </c>
      <c r="C318" s="74"/>
      <c r="D318" s="74"/>
      <c r="E318" s="75"/>
      <c r="F318" s="73">
        <v>0</v>
      </c>
      <c r="G318" s="73">
        <v>17</v>
      </c>
      <c r="H318" s="73">
        <v>17</v>
      </c>
      <c r="I318" s="4">
        <v>61868</v>
      </c>
      <c r="J318" s="73">
        <v>0</v>
      </c>
      <c r="K318" s="73">
        <v>0</v>
      </c>
      <c r="L318" s="73">
        <f t="shared" si="30"/>
        <v>79474</v>
      </c>
      <c r="M318" s="73">
        <f t="shared" si="31"/>
        <v>69</v>
      </c>
    </row>
    <row r="319" spans="1:13">
      <c r="A319" s="29">
        <v>46022</v>
      </c>
      <c r="B319" s="76" t="s">
        <v>33</v>
      </c>
      <c r="C319" s="76"/>
      <c r="D319" s="76"/>
      <c r="E319" s="77"/>
      <c r="F319" s="72">
        <v>0</v>
      </c>
      <c r="G319" s="72">
        <v>57</v>
      </c>
      <c r="H319" s="72">
        <v>57</v>
      </c>
      <c r="I319" s="30">
        <v>61925</v>
      </c>
      <c r="J319" s="72">
        <v>0</v>
      </c>
      <c r="K319" s="72">
        <v>0</v>
      </c>
      <c r="L319" s="73">
        <f t="shared" si="30"/>
        <v>79474</v>
      </c>
      <c r="M319" s="73">
        <f t="shared" si="31"/>
        <v>69</v>
      </c>
    </row>
    <row r="320" spans="1:13">
      <c r="A320" s="27">
        <v>46023</v>
      </c>
      <c r="B320" s="74" t="s">
        <v>33</v>
      </c>
      <c r="C320" s="74"/>
      <c r="D320" s="74"/>
      <c r="E320" s="75"/>
      <c r="F320" s="73">
        <v>0</v>
      </c>
      <c r="G320" s="73">
        <v>20</v>
      </c>
      <c r="H320" s="73">
        <v>20</v>
      </c>
      <c r="I320" s="4">
        <v>74571</v>
      </c>
      <c r="J320" s="73">
        <v>0</v>
      </c>
      <c r="K320" s="73">
        <v>0</v>
      </c>
      <c r="L320" s="73">
        <f t="shared" ref="L320:L347" si="32">J320+L319</f>
        <v>79474</v>
      </c>
      <c r="M320" s="73">
        <f t="shared" ref="M320:M347" si="33">K320+M319</f>
        <v>69</v>
      </c>
    </row>
    <row r="321" spans="1:13">
      <c r="A321" s="27">
        <v>46024</v>
      </c>
      <c r="B321" s="74" t="s">
        <v>33</v>
      </c>
      <c r="C321" s="74"/>
      <c r="D321" s="74"/>
      <c r="E321" s="75"/>
      <c r="F321" s="73">
        <v>0</v>
      </c>
      <c r="G321" s="73">
        <v>10</v>
      </c>
      <c r="H321" s="73">
        <v>10</v>
      </c>
      <c r="I321" s="4">
        <v>74581</v>
      </c>
      <c r="J321" s="73">
        <v>0</v>
      </c>
      <c r="K321" s="73">
        <v>0</v>
      </c>
      <c r="L321" s="73">
        <f t="shared" si="32"/>
        <v>79474</v>
      </c>
      <c r="M321" s="73">
        <f t="shared" si="33"/>
        <v>69</v>
      </c>
    </row>
    <row r="322" spans="1:13">
      <c r="A322" s="27">
        <v>46025</v>
      </c>
      <c r="B322" s="74" t="s">
        <v>33</v>
      </c>
      <c r="C322" s="74"/>
      <c r="D322" s="74"/>
      <c r="E322" s="75"/>
      <c r="F322" s="73">
        <v>0</v>
      </c>
      <c r="G322" s="73">
        <v>57</v>
      </c>
      <c r="H322" s="73">
        <v>57</v>
      </c>
      <c r="I322" s="4">
        <v>74638</v>
      </c>
      <c r="J322" s="73">
        <v>0</v>
      </c>
      <c r="K322" s="73">
        <v>0</v>
      </c>
      <c r="L322" s="73">
        <f t="shared" si="32"/>
        <v>79474</v>
      </c>
      <c r="M322" s="73">
        <f t="shared" si="33"/>
        <v>69</v>
      </c>
    </row>
    <row r="323" spans="1:13">
      <c r="A323" s="27">
        <v>46026</v>
      </c>
      <c r="B323" s="74" t="s">
        <v>33</v>
      </c>
      <c r="C323" s="74"/>
      <c r="D323" s="74"/>
      <c r="E323" s="75"/>
      <c r="F323" s="73">
        <v>0</v>
      </c>
      <c r="G323" s="73">
        <v>24</v>
      </c>
      <c r="H323" s="73">
        <v>24</v>
      </c>
      <c r="I323" s="4">
        <v>74662</v>
      </c>
      <c r="J323" s="73">
        <v>0</v>
      </c>
      <c r="K323" s="73">
        <v>0</v>
      </c>
      <c r="L323" s="73">
        <f t="shared" si="32"/>
        <v>79474</v>
      </c>
      <c r="M323" s="73">
        <f t="shared" si="33"/>
        <v>69</v>
      </c>
    </row>
    <row r="324" spans="1:13">
      <c r="A324" s="27">
        <v>46027</v>
      </c>
      <c r="B324" s="74" t="s">
        <v>33</v>
      </c>
      <c r="C324" s="74"/>
      <c r="D324" s="74"/>
      <c r="E324" s="75"/>
      <c r="F324" s="73">
        <v>0</v>
      </c>
      <c r="G324" s="73">
        <v>12</v>
      </c>
      <c r="H324" s="73">
        <v>12</v>
      </c>
      <c r="I324" s="4">
        <v>74674</v>
      </c>
      <c r="J324" s="73">
        <v>0</v>
      </c>
      <c r="K324" s="73">
        <v>0</v>
      </c>
      <c r="L324" s="73">
        <f t="shared" si="32"/>
        <v>79474</v>
      </c>
      <c r="M324" s="73">
        <f t="shared" si="33"/>
        <v>69</v>
      </c>
    </row>
    <row r="325" spans="1:13">
      <c r="A325" s="27">
        <v>46028</v>
      </c>
      <c r="B325" s="1" t="s">
        <v>130</v>
      </c>
      <c r="C325" s="1" t="s">
        <v>131</v>
      </c>
      <c r="D325" s="1" t="s">
        <v>42</v>
      </c>
      <c r="E325" s="1" t="s">
        <v>43</v>
      </c>
      <c r="F325" s="73">
        <v>392</v>
      </c>
      <c r="G325" s="28">
        <v>462</v>
      </c>
      <c r="H325" s="73">
        <v>854</v>
      </c>
      <c r="I325" s="4">
        <v>75528</v>
      </c>
      <c r="J325" s="4">
        <v>1184</v>
      </c>
      <c r="K325" s="73">
        <v>1</v>
      </c>
      <c r="L325" s="73">
        <f t="shared" si="32"/>
        <v>80658</v>
      </c>
      <c r="M325" s="73">
        <f t="shared" si="33"/>
        <v>70</v>
      </c>
    </row>
    <row r="326" spans="1:13">
      <c r="A326" s="27">
        <v>46028</v>
      </c>
      <c r="B326" s="74" t="s">
        <v>33</v>
      </c>
      <c r="C326" s="74"/>
      <c r="D326" s="74"/>
      <c r="E326" s="75"/>
      <c r="F326" s="73">
        <v>0</v>
      </c>
      <c r="G326" s="73">
        <v>10</v>
      </c>
      <c r="H326" s="73">
        <v>10</v>
      </c>
      <c r="I326" s="4">
        <v>75538</v>
      </c>
      <c r="J326" s="73">
        <v>0</v>
      </c>
      <c r="K326" s="73">
        <v>0</v>
      </c>
      <c r="L326" s="73">
        <f t="shared" si="32"/>
        <v>80658</v>
      </c>
      <c r="M326" s="73">
        <f t="shared" si="33"/>
        <v>70</v>
      </c>
    </row>
    <row r="327" spans="1:13">
      <c r="A327" s="27">
        <v>46028</v>
      </c>
      <c r="B327" s="74" t="s">
        <v>132</v>
      </c>
      <c r="C327" s="74"/>
      <c r="D327" s="74"/>
      <c r="E327" s="75"/>
      <c r="F327" s="73">
        <v>0</v>
      </c>
      <c r="G327" s="4">
        <v>2000</v>
      </c>
      <c r="H327" s="4">
        <v>2000</v>
      </c>
      <c r="I327" s="4">
        <v>77538</v>
      </c>
      <c r="J327" s="73">
        <v>0</v>
      </c>
      <c r="K327" s="73">
        <v>0</v>
      </c>
      <c r="L327" s="73">
        <f t="shared" si="32"/>
        <v>80658</v>
      </c>
      <c r="M327" s="73">
        <f t="shared" si="33"/>
        <v>70</v>
      </c>
    </row>
    <row r="328" spans="1:13">
      <c r="A328" s="27">
        <v>46029</v>
      </c>
      <c r="B328" s="74" t="s">
        <v>33</v>
      </c>
      <c r="C328" s="74"/>
      <c r="D328" s="74"/>
      <c r="E328" s="75"/>
      <c r="F328" s="73">
        <v>0</v>
      </c>
      <c r="G328" s="73">
        <v>58</v>
      </c>
      <c r="H328" s="73">
        <v>58</v>
      </c>
      <c r="I328" s="4">
        <v>77596</v>
      </c>
      <c r="J328" s="73">
        <v>0</v>
      </c>
      <c r="K328" s="73">
        <v>0</v>
      </c>
      <c r="L328" s="73">
        <f t="shared" si="32"/>
        <v>80658</v>
      </c>
      <c r="M328" s="73">
        <f t="shared" si="33"/>
        <v>70</v>
      </c>
    </row>
    <row r="329" spans="1:13">
      <c r="A329" s="27">
        <v>46030</v>
      </c>
      <c r="B329" s="1" t="s">
        <v>47</v>
      </c>
      <c r="C329" s="1" t="s">
        <v>13</v>
      </c>
      <c r="D329" s="1" t="s">
        <v>42</v>
      </c>
      <c r="E329" s="1" t="s">
        <v>43</v>
      </c>
      <c r="F329" s="73">
        <v>284</v>
      </c>
      <c r="G329" s="28">
        <v>298</v>
      </c>
      <c r="H329" s="73">
        <v>582</v>
      </c>
      <c r="I329" s="4">
        <v>65587</v>
      </c>
      <c r="J329" s="73">
        <v>568</v>
      </c>
      <c r="K329" s="73">
        <v>1</v>
      </c>
      <c r="L329" s="73">
        <f t="shared" si="32"/>
        <v>81226</v>
      </c>
      <c r="M329" s="73">
        <f t="shared" si="33"/>
        <v>71</v>
      </c>
    </row>
    <row r="330" spans="1:13">
      <c r="A330" s="27">
        <v>46030</v>
      </c>
      <c r="B330" s="1" t="s">
        <v>133</v>
      </c>
      <c r="C330" s="1" t="s">
        <v>134</v>
      </c>
      <c r="D330" s="1" t="s">
        <v>42</v>
      </c>
      <c r="E330" s="1" t="s">
        <v>43</v>
      </c>
      <c r="F330" s="73">
        <v>392</v>
      </c>
      <c r="G330" s="28">
        <v>462</v>
      </c>
      <c r="H330" s="73">
        <v>854</v>
      </c>
      <c r="I330" s="4">
        <v>66441</v>
      </c>
      <c r="J330" s="4">
        <v>1184</v>
      </c>
      <c r="K330" s="73">
        <v>1</v>
      </c>
      <c r="L330" s="73">
        <f t="shared" si="32"/>
        <v>82410</v>
      </c>
      <c r="M330" s="73">
        <f t="shared" si="33"/>
        <v>72</v>
      </c>
    </row>
    <row r="331" spans="1:13">
      <c r="A331" s="27">
        <v>46030</v>
      </c>
      <c r="B331" s="74" t="s">
        <v>49</v>
      </c>
      <c r="C331" s="74"/>
      <c r="D331" s="74"/>
      <c r="E331" s="75"/>
      <c r="F331" s="73">
        <v>0</v>
      </c>
      <c r="G331" s="73">
        <v>2</v>
      </c>
      <c r="H331" s="73">
        <v>2</v>
      </c>
      <c r="I331" s="4">
        <v>66443</v>
      </c>
      <c r="J331" s="73">
        <v>0</v>
      </c>
      <c r="K331" s="73">
        <v>0</v>
      </c>
      <c r="L331" s="73">
        <f t="shared" si="32"/>
        <v>82410</v>
      </c>
      <c r="M331" s="73">
        <f t="shared" si="33"/>
        <v>72</v>
      </c>
    </row>
    <row r="332" spans="1:13">
      <c r="A332" s="27">
        <v>46030</v>
      </c>
      <c r="B332" s="74" t="s">
        <v>33</v>
      </c>
      <c r="C332" s="74"/>
      <c r="D332" s="74"/>
      <c r="E332" s="75"/>
      <c r="F332" s="73">
        <v>0</v>
      </c>
      <c r="G332" s="73">
        <v>11</v>
      </c>
      <c r="H332" s="73">
        <v>11</v>
      </c>
      <c r="I332" s="4">
        <v>66454</v>
      </c>
      <c r="J332" s="73">
        <v>0</v>
      </c>
      <c r="K332" s="73">
        <v>0</v>
      </c>
      <c r="L332" s="73">
        <f t="shared" si="32"/>
        <v>82410</v>
      </c>
      <c r="M332" s="73">
        <f t="shared" si="33"/>
        <v>72</v>
      </c>
    </row>
    <row r="333" spans="1:13">
      <c r="A333" s="27">
        <v>46031</v>
      </c>
      <c r="B333" s="1" t="s">
        <v>135</v>
      </c>
      <c r="C333" s="1" t="s">
        <v>136</v>
      </c>
      <c r="D333" s="1" t="s">
        <v>42</v>
      </c>
      <c r="E333" s="1" t="s">
        <v>50</v>
      </c>
      <c r="F333" s="73">
        <v>124</v>
      </c>
      <c r="G333" s="28">
        <v>130</v>
      </c>
      <c r="H333" s="73">
        <v>254</v>
      </c>
      <c r="I333" s="4">
        <v>66708</v>
      </c>
      <c r="J333" s="73">
        <v>248</v>
      </c>
      <c r="K333" s="73">
        <v>1</v>
      </c>
      <c r="L333" s="73">
        <f t="shared" si="32"/>
        <v>82658</v>
      </c>
      <c r="M333" s="73">
        <f t="shared" si="33"/>
        <v>73</v>
      </c>
    </row>
    <row r="334" spans="1:13">
      <c r="A334" s="27">
        <v>46031</v>
      </c>
      <c r="B334" s="1" t="s">
        <v>90</v>
      </c>
      <c r="C334" s="1" t="s">
        <v>91</v>
      </c>
      <c r="D334" s="1" t="s">
        <v>42</v>
      </c>
      <c r="E334" s="1" t="s">
        <v>50</v>
      </c>
      <c r="F334" s="73">
        <v>124</v>
      </c>
      <c r="G334" s="28">
        <v>130</v>
      </c>
      <c r="H334" s="73">
        <v>254</v>
      </c>
      <c r="I334" s="4">
        <v>66962</v>
      </c>
      <c r="J334" s="73">
        <v>248</v>
      </c>
      <c r="K334" s="73">
        <v>1</v>
      </c>
      <c r="L334" s="73">
        <f t="shared" si="32"/>
        <v>82906</v>
      </c>
      <c r="M334" s="73">
        <f t="shared" si="33"/>
        <v>74</v>
      </c>
    </row>
    <row r="335" spans="1:13">
      <c r="A335" s="27">
        <v>46031</v>
      </c>
      <c r="B335" s="1" t="s">
        <v>92</v>
      </c>
      <c r="C335" s="1" t="s">
        <v>93</v>
      </c>
      <c r="D335" s="1" t="s">
        <v>42</v>
      </c>
      <c r="E335" s="1" t="s">
        <v>50</v>
      </c>
      <c r="F335" s="73">
        <v>133</v>
      </c>
      <c r="G335" s="28">
        <v>190</v>
      </c>
      <c r="H335" s="73">
        <v>323</v>
      </c>
      <c r="I335" s="4">
        <v>67285</v>
      </c>
      <c r="J335" s="73">
        <v>466</v>
      </c>
      <c r="K335" s="73">
        <v>1</v>
      </c>
      <c r="L335" s="73">
        <f t="shared" si="32"/>
        <v>83372</v>
      </c>
      <c r="M335" s="73">
        <f t="shared" si="33"/>
        <v>75</v>
      </c>
    </row>
    <row r="336" spans="1:13">
      <c r="A336" s="27">
        <v>46031</v>
      </c>
      <c r="B336" s="1" t="s">
        <v>137</v>
      </c>
      <c r="C336" s="1" t="s">
        <v>138</v>
      </c>
      <c r="D336" s="1" t="s">
        <v>42</v>
      </c>
      <c r="E336" s="1" t="s">
        <v>50</v>
      </c>
      <c r="F336" s="73">
        <v>89</v>
      </c>
      <c r="G336" s="28">
        <v>93</v>
      </c>
      <c r="H336" s="73">
        <v>182</v>
      </c>
      <c r="I336" s="4">
        <v>67467</v>
      </c>
      <c r="J336" s="73">
        <v>178</v>
      </c>
      <c r="K336" s="73">
        <v>1</v>
      </c>
      <c r="L336" s="73">
        <f t="shared" si="32"/>
        <v>83550</v>
      </c>
      <c r="M336" s="73">
        <f t="shared" si="33"/>
        <v>76</v>
      </c>
    </row>
    <row r="337" spans="1:13">
      <c r="A337" s="27">
        <v>46031</v>
      </c>
      <c r="B337" s="1" t="s">
        <v>139</v>
      </c>
      <c r="C337" s="1" t="s">
        <v>121</v>
      </c>
      <c r="D337" s="1" t="s">
        <v>42</v>
      </c>
      <c r="E337" s="1" t="s">
        <v>50</v>
      </c>
      <c r="F337" s="73">
        <v>30</v>
      </c>
      <c r="G337" s="28">
        <v>32</v>
      </c>
      <c r="H337" s="73">
        <v>62</v>
      </c>
      <c r="I337" s="4">
        <v>67529</v>
      </c>
      <c r="J337" s="73">
        <v>60</v>
      </c>
      <c r="K337" s="73">
        <v>1</v>
      </c>
      <c r="L337" s="73">
        <f t="shared" si="32"/>
        <v>83610</v>
      </c>
      <c r="M337" s="73">
        <f t="shared" si="33"/>
        <v>77</v>
      </c>
    </row>
    <row r="338" spans="1:13">
      <c r="A338" s="27">
        <v>46031</v>
      </c>
      <c r="B338" s="1" t="s">
        <v>140</v>
      </c>
      <c r="C338" s="1" t="s">
        <v>123</v>
      </c>
      <c r="D338" s="1" t="s">
        <v>42</v>
      </c>
      <c r="E338" s="1" t="s">
        <v>50</v>
      </c>
      <c r="F338" s="73">
        <v>30</v>
      </c>
      <c r="G338" s="28">
        <v>32</v>
      </c>
      <c r="H338" s="73">
        <v>62</v>
      </c>
      <c r="I338" s="4">
        <v>67591</v>
      </c>
      <c r="J338" s="73">
        <v>60</v>
      </c>
      <c r="K338" s="73">
        <v>1</v>
      </c>
      <c r="L338" s="73">
        <f t="shared" si="32"/>
        <v>83670</v>
      </c>
      <c r="M338" s="73">
        <f t="shared" si="33"/>
        <v>78</v>
      </c>
    </row>
    <row r="339" spans="1:13">
      <c r="A339" s="27">
        <v>46031</v>
      </c>
      <c r="B339" s="1" t="s">
        <v>94</v>
      </c>
      <c r="C339" s="1" t="s">
        <v>71</v>
      </c>
      <c r="D339" s="1" t="s">
        <v>42</v>
      </c>
      <c r="E339" s="1" t="s">
        <v>50</v>
      </c>
      <c r="F339" s="73">
        <v>269</v>
      </c>
      <c r="G339" s="28">
        <v>282</v>
      </c>
      <c r="H339" s="73">
        <v>551</v>
      </c>
      <c r="I339" s="4">
        <v>68142</v>
      </c>
      <c r="J339" s="73">
        <v>538</v>
      </c>
      <c r="K339" s="73">
        <v>1</v>
      </c>
      <c r="L339" s="73">
        <f t="shared" si="32"/>
        <v>84208</v>
      </c>
      <c r="M339" s="73">
        <f t="shared" si="33"/>
        <v>79</v>
      </c>
    </row>
    <row r="340" spans="1:13">
      <c r="A340" s="27">
        <v>46031</v>
      </c>
      <c r="B340" s="1" t="s">
        <v>95</v>
      </c>
      <c r="C340" s="1" t="s">
        <v>69</v>
      </c>
      <c r="D340" s="1" t="s">
        <v>42</v>
      </c>
      <c r="E340" s="1" t="s">
        <v>50</v>
      </c>
      <c r="F340" s="73">
        <v>403</v>
      </c>
      <c r="G340" s="28">
        <v>826</v>
      </c>
      <c r="H340" s="4">
        <v>1229</v>
      </c>
      <c r="I340" s="4">
        <v>69371</v>
      </c>
      <c r="J340" s="4">
        <v>1006</v>
      </c>
      <c r="K340" s="73">
        <v>1</v>
      </c>
      <c r="L340" s="73">
        <f t="shared" si="32"/>
        <v>85214</v>
      </c>
      <c r="M340" s="73">
        <f t="shared" si="33"/>
        <v>80</v>
      </c>
    </row>
    <row r="341" spans="1:13">
      <c r="A341" s="27">
        <v>46031</v>
      </c>
      <c r="B341" s="74" t="s">
        <v>33</v>
      </c>
      <c r="C341" s="74"/>
      <c r="D341" s="74"/>
      <c r="E341" s="75"/>
      <c r="F341" s="73">
        <v>0</v>
      </c>
      <c r="G341" s="73">
        <v>9</v>
      </c>
      <c r="H341" s="73">
        <v>9</v>
      </c>
      <c r="I341" s="4">
        <v>69380</v>
      </c>
      <c r="J341" s="73">
        <v>0</v>
      </c>
      <c r="K341" s="73">
        <v>0</v>
      </c>
      <c r="L341" s="73">
        <f t="shared" si="32"/>
        <v>85214</v>
      </c>
      <c r="M341" s="73">
        <f t="shared" si="33"/>
        <v>80</v>
      </c>
    </row>
    <row r="342" spans="1:13">
      <c r="A342" s="27">
        <v>46032</v>
      </c>
      <c r="B342" s="1" t="s">
        <v>141</v>
      </c>
      <c r="C342" s="1" t="s">
        <v>142</v>
      </c>
      <c r="D342" s="1" t="s">
        <v>42</v>
      </c>
      <c r="E342" s="1" t="s">
        <v>50</v>
      </c>
      <c r="F342" s="73">
        <v>63</v>
      </c>
      <c r="G342" s="28">
        <v>66</v>
      </c>
      <c r="H342" s="73">
        <v>129</v>
      </c>
      <c r="I342" s="4">
        <v>69509</v>
      </c>
      <c r="J342" s="73">
        <v>126</v>
      </c>
      <c r="K342" s="73">
        <v>1</v>
      </c>
      <c r="L342" s="73">
        <f t="shared" si="32"/>
        <v>85340</v>
      </c>
      <c r="M342" s="73">
        <f t="shared" si="33"/>
        <v>81</v>
      </c>
    </row>
    <row r="343" spans="1:13">
      <c r="A343" s="27">
        <v>46032</v>
      </c>
      <c r="B343" s="1" t="s">
        <v>143</v>
      </c>
      <c r="C343" s="1" t="s">
        <v>144</v>
      </c>
      <c r="D343" s="1" t="s">
        <v>42</v>
      </c>
      <c r="E343" s="1" t="s">
        <v>50</v>
      </c>
      <c r="F343" s="73">
        <v>63</v>
      </c>
      <c r="G343" s="28">
        <v>66</v>
      </c>
      <c r="H343" s="73">
        <v>129</v>
      </c>
      <c r="I343" s="4">
        <v>69638</v>
      </c>
      <c r="J343" s="73">
        <v>126</v>
      </c>
      <c r="K343" s="73">
        <v>1</v>
      </c>
      <c r="L343" s="73">
        <f t="shared" si="32"/>
        <v>85466</v>
      </c>
      <c r="M343" s="73">
        <f t="shared" si="33"/>
        <v>82</v>
      </c>
    </row>
    <row r="344" spans="1:13">
      <c r="A344" s="27">
        <v>46032</v>
      </c>
      <c r="B344" s="1" t="s">
        <v>145</v>
      </c>
      <c r="C344" s="1" t="s">
        <v>73</v>
      </c>
      <c r="D344" s="1" t="s">
        <v>42</v>
      </c>
      <c r="E344" s="1" t="s">
        <v>50</v>
      </c>
      <c r="F344" s="73">
        <v>98</v>
      </c>
      <c r="G344" s="28">
        <v>153</v>
      </c>
      <c r="H344" s="73">
        <v>251</v>
      </c>
      <c r="I344" s="4">
        <v>69889</v>
      </c>
      <c r="J344" s="73">
        <v>396</v>
      </c>
      <c r="K344" s="73">
        <v>1</v>
      </c>
      <c r="L344" s="73">
        <f t="shared" si="32"/>
        <v>85862</v>
      </c>
      <c r="M344" s="73">
        <f t="shared" si="33"/>
        <v>83</v>
      </c>
    </row>
    <row r="345" spans="1:13">
      <c r="A345" s="27">
        <v>46032</v>
      </c>
      <c r="B345" s="1" t="s">
        <v>146</v>
      </c>
      <c r="C345" s="1" t="s">
        <v>75</v>
      </c>
      <c r="D345" s="1" t="s">
        <v>42</v>
      </c>
      <c r="E345" s="1" t="s">
        <v>50</v>
      </c>
      <c r="F345" s="73">
        <v>98</v>
      </c>
      <c r="G345" s="28">
        <v>153</v>
      </c>
      <c r="H345" s="73">
        <v>251</v>
      </c>
      <c r="I345" s="4">
        <v>70140</v>
      </c>
      <c r="J345" s="73">
        <v>396</v>
      </c>
      <c r="K345" s="73">
        <v>1</v>
      </c>
      <c r="L345" s="73">
        <f t="shared" si="32"/>
        <v>86258</v>
      </c>
      <c r="M345" s="73">
        <f t="shared" si="33"/>
        <v>84</v>
      </c>
    </row>
    <row r="346" spans="1:13">
      <c r="A346" s="27">
        <v>46032</v>
      </c>
      <c r="B346" s="74" t="s">
        <v>33</v>
      </c>
      <c r="C346" s="74"/>
      <c r="D346" s="74"/>
      <c r="E346" s="75"/>
      <c r="F346" s="73">
        <v>0</v>
      </c>
      <c r="G346" s="73">
        <v>9</v>
      </c>
      <c r="H346" s="73">
        <v>9</v>
      </c>
      <c r="I346" s="4">
        <v>70149</v>
      </c>
      <c r="J346" s="73">
        <v>0</v>
      </c>
      <c r="K346" s="73">
        <v>0</v>
      </c>
      <c r="L346" s="73">
        <f t="shared" si="32"/>
        <v>86258</v>
      </c>
      <c r="M346" s="73">
        <f t="shared" si="33"/>
        <v>84</v>
      </c>
    </row>
    <row r="347" spans="1:13">
      <c r="A347" s="27">
        <v>46033</v>
      </c>
      <c r="B347" s="1" t="s">
        <v>147</v>
      </c>
      <c r="C347" s="1" t="s">
        <v>121</v>
      </c>
      <c r="D347" s="1" t="s">
        <v>42</v>
      </c>
      <c r="E347" s="1" t="s">
        <v>50</v>
      </c>
      <c r="F347" s="73">
        <v>30</v>
      </c>
      <c r="G347" s="28">
        <v>32</v>
      </c>
      <c r="H347" s="73">
        <v>62</v>
      </c>
      <c r="I347" s="4">
        <v>70211</v>
      </c>
      <c r="J347" s="73">
        <v>60</v>
      </c>
      <c r="K347" s="73">
        <v>1</v>
      </c>
      <c r="L347" s="73">
        <f t="shared" si="32"/>
        <v>86318</v>
      </c>
      <c r="M347" s="73">
        <f t="shared" si="33"/>
        <v>85</v>
      </c>
    </row>
    <row r="348" spans="1:13">
      <c r="A348" s="27">
        <v>46033</v>
      </c>
      <c r="B348" s="1" t="s">
        <v>148</v>
      </c>
      <c r="C348" s="1" t="s">
        <v>123</v>
      </c>
      <c r="D348" s="1" t="s">
        <v>42</v>
      </c>
      <c r="E348" s="1" t="s">
        <v>50</v>
      </c>
      <c r="F348" s="73">
        <v>44</v>
      </c>
      <c r="G348" s="28">
        <v>96</v>
      </c>
      <c r="H348" s="73">
        <v>140</v>
      </c>
      <c r="I348" s="4">
        <v>70351</v>
      </c>
      <c r="J348" s="73">
        <v>288</v>
      </c>
      <c r="K348" s="73">
        <v>1</v>
      </c>
      <c r="L348" s="73">
        <f t="shared" ref="L348:L352" si="34">J348+L347</f>
        <v>86606</v>
      </c>
      <c r="M348" s="73">
        <f t="shared" ref="M348:M352" si="35">K348+M347</f>
        <v>86</v>
      </c>
    </row>
    <row r="349" spans="1:13">
      <c r="A349" s="27">
        <v>46033</v>
      </c>
      <c r="B349" s="1" t="s">
        <v>149</v>
      </c>
      <c r="C349" s="1" t="s">
        <v>150</v>
      </c>
      <c r="D349" s="1" t="s">
        <v>42</v>
      </c>
      <c r="E349" s="1" t="s">
        <v>50</v>
      </c>
      <c r="F349" s="73">
        <v>37</v>
      </c>
      <c r="G349" s="28">
        <v>39</v>
      </c>
      <c r="H349" s="73">
        <v>76</v>
      </c>
      <c r="I349" s="4">
        <v>70427</v>
      </c>
      <c r="J349" s="73">
        <v>74</v>
      </c>
      <c r="K349" s="73">
        <v>1</v>
      </c>
      <c r="L349" s="73">
        <f t="shared" si="34"/>
        <v>86680</v>
      </c>
      <c r="M349" s="73">
        <f t="shared" si="35"/>
        <v>87</v>
      </c>
    </row>
    <row r="350" spans="1:13">
      <c r="A350" s="27">
        <v>46033</v>
      </c>
      <c r="B350" s="1" t="s">
        <v>151</v>
      </c>
      <c r="C350" s="1" t="s">
        <v>152</v>
      </c>
      <c r="D350" s="1" t="s">
        <v>42</v>
      </c>
      <c r="E350" s="1" t="s">
        <v>50</v>
      </c>
      <c r="F350" s="73">
        <v>37</v>
      </c>
      <c r="G350" s="28">
        <v>39</v>
      </c>
      <c r="H350" s="73">
        <v>76</v>
      </c>
      <c r="I350" s="4">
        <v>70503</v>
      </c>
      <c r="J350" s="73">
        <v>74</v>
      </c>
      <c r="K350" s="73">
        <v>1</v>
      </c>
      <c r="L350" s="73">
        <f t="shared" si="34"/>
        <v>86754</v>
      </c>
      <c r="M350" s="73">
        <f t="shared" si="35"/>
        <v>88</v>
      </c>
    </row>
    <row r="351" spans="1:13">
      <c r="A351" s="27">
        <v>46033</v>
      </c>
      <c r="B351" s="1" t="s">
        <v>135</v>
      </c>
      <c r="C351" s="1" t="s">
        <v>136</v>
      </c>
      <c r="D351" s="1" t="s">
        <v>42</v>
      </c>
      <c r="E351" s="1" t="s">
        <v>50</v>
      </c>
      <c r="F351" s="73">
        <v>124</v>
      </c>
      <c r="G351" s="28">
        <v>130</v>
      </c>
      <c r="H351" s="73">
        <v>254</v>
      </c>
      <c r="I351" s="4">
        <v>70757</v>
      </c>
      <c r="J351" s="73">
        <v>248</v>
      </c>
      <c r="K351" s="73">
        <v>1</v>
      </c>
      <c r="L351" s="73">
        <f t="shared" si="34"/>
        <v>87002</v>
      </c>
      <c r="M351" s="73">
        <f t="shared" si="35"/>
        <v>89</v>
      </c>
    </row>
    <row r="352" spans="1:13">
      <c r="A352" s="27">
        <v>46033</v>
      </c>
      <c r="B352" s="1" t="s">
        <v>90</v>
      </c>
      <c r="C352" s="1" t="s">
        <v>91</v>
      </c>
      <c r="D352" s="1" t="s">
        <v>42</v>
      </c>
      <c r="E352" s="1" t="s">
        <v>50</v>
      </c>
      <c r="F352" s="73">
        <v>124</v>
      </c>
      <c r="G352" s="28">
        <v>130</v>
      </c>
      <c r="H352" s="73">
        <v>254</v>
      </c>
      <c r="I352" s="4">
        <v>71011</v>
      </c>
      <c r="J352" s="73">
        <v>248</v>
      </c>
      <c r="K352" s="73">
        <v>1</v>
      </c>
      <c r="L352" s="73">
        <f t="shared" si="34"/>
        <v>87250</v>
      </c>
      <c r="M352" s="73">
        <f t="shared" si="35"/>
        <v>90</v>
      </c>
    </row>
    <row r="353" spans="1:13">
      <c r="A353" s="27">
        <v>46033</v>
      </c>
      <c r="B353" s="1" t="s">
        <v>95</v>
      </c>
      <c r="C353" s="1" t="s">
        <v>69</v>
      </c>
      <c r="D353" s="1" t="s">
        <v>42</v>
      </c>
      <c r="E353" s="1" t="s">
        <v>50</v>
      </c>
      <c r="F353" s="73">
        <v>269</v>
      </c>
      <c r="G353" s="28">
        <v>282</v>
      </c>
      <c r="H353" s="73">
        <v>551</v>
      </c>
      <c r="I353" s="4">
        <v>71562</v>
      </c>
      <c r="J353" s="73">
        <v>538</v>
      </c>
      <c r="K353" s="73">
        <v>1</v>
      </c>
      <c r="L353" s="73">
        <f t="shared" ref="L353:L355" si="36">J353+L352</f>
        <v>87788</v>
      </c>
      <c r="M353" s="73">
        <f t="shared" ref="M353:M355" si="37">K353+M352</f>
        <v>91</v>
      </c>
    </row>
    <row r="354" spans="1:13">
      <c r="A354" s="27">
        <v>46033</v>
      </c>
      <c r="B354" s="1" t="s">
        <v>153</v>
      </c>
      <c r="C354" s="1" t="s">
        <v>100</v>
      </c>
      <c r="D354" s="1" t="s">
        <v>42</v>
      </c>
      <c r="E354" s="1" t="s">
        <v>50</v>
      </c>
      <c r="F354" s="73">
        <v>492</v>
      </c>
      <c r="G354" s="28">
        <v>517</v>
      </c>
      <c r="H354" s="4">
        <v>1009</v>
      </c>
      <c r="I354" s="4">
        <v>72571</v>
      </c>
      <c r="J354" s="73">
        <v>984</v>
      </c>
      <c r="K354" s="73">
        <v>1</v>
      </c>
      <c r="L354" s="73">
        <f t="shared" si="36"/>
        <v>88772</v>
      </c>
      <c r="M354" s="73">
        <f t="shared" si="37"/>
        <v>92</v>
      </c>
    </row>
    <row r="355" spans="1:13">
      <c r="A355" s="27">
        <v>46033</v>
      </c>
      <c r="B355" s="74" t="s">
        <v>49</v>
      </c>
      <c r="C355" s="74"/>
      <c r="D355" s="74"/>
      <c r="E355" s="75"/>
      <c r="F355" s="73">
        <v>0</v>
      </c>
      <c r="G355" s="73">
        <v>2</v>
      </c>
      <c r="H355" s="73">
        <v>2</v>
      </c>
      <c r="I355" s="4">
        <v>72573</v>
      </c>
      <c r="J355" s="73">
        <v>0</v>
      </c>
      <c r="K355" s="73">
        <v>0</v>
      </c>
      <c r="L355" s="73">
        <f t="shared" si="36"/>
        <v>88772</v>
      </c>
      <c r="M355" s="73">
        <f t="shared" si="37"/>
        <v>92</v>
      </c>
    </row>
    <row r="356" spans="1:13">
      <c r="A356" s="27">
        <v>46033</v>
      </c>
      <c r="B356" s="74" t="s">
        <v>33</v>
      </c>
      <c r="C356" s="74"/>
      <c r="D356" s="74"/>
      <c r="E356" s="75"/>
      <c r="F356" s="73">
        <v>0</v>
      </c>
      <c r="G356" s="73">
        <v>79</v>
      </c>
      <c r="H356" s="73">
        <v>79</v>
      </c>
      <c r="I356" s="4">
        <v>72652</v>
      </c>
      <c r="J356" s="73">
        <v>0</v>
      </c>
      <c r="K356" s="73">
        <v>0</v>
      </c>
      <c r="L356" s="73">
        <f t="shared" ref="L356:L366" si="38">J356+L355</f>
        <v>88772</v>
      </c>
      <c r="M356" s="73">
        <f t="shared" ref="M356:M366" si="39">K356+M355</f>
        <v>92</v>
      </c>
    </row>
    <row r="357" spans="1:13">
      <c r="A357" s="27">
        <v>46034</v>
      </c>
      <c r="B357" s="74" t="s">
        <v>33</v>
      </c>
      <c r="C357" s="74"/>
      <c r="D357" s="74"/>
      <c r="E357" s="75"/>
      <c r="F357" s="73">
        <v>0</v>
      </c>
      <c r="G357" s="73">
        <v>61</v>
      </c>
      <c r="H357" s="73">
        <v>61</v>
      </c>
      <c r="I357" s="4">
        <v>72713</v>
      </c>
      <c r="J357" s="73">
        <v>0</v>
      </c>
      <c r="K357" s="73">
        <v>0</v>
      </c>
      <c r="L357" s="73">
        <f t="shared" si="38"/>
        <v>88772</v>
      </c>
      <c r="M357" s="73">
        <f t="shared" si="39"/>
        <v>92</v>
      </c>
    </row>
    <row r="358" spans="1:13">
      <c r="A358" s="27">
        <v>46035</v>
      </c>
      <c r="B358" s="74" t="s">
        <v>65</v>
      </c>
      <c r="C358" s="74"/>
      <c r="D358" s="74"/>
      <c r="E358" s="75"/>
      <c r="F358" s="4">
        <v>12624</v>
      </c>
      <c r="G358" s="73">
        <v>0</v>
      </c>
      <c r="H358" s="4">
        <v>12624</v>
      </c>
      <c r="I358" s="4">
        <v>85337</v>
      </c>
      <c r="J358" s="73">
        <v>0</v>
      </c>
      <c r="K358" s="73">
        <v>0</v>
      </c>
      <c r="L358" s="73">
        <f t="shared" si="38"/>
        <v>88772</v>
      </c>
      <c r="M358" s="73">
        <f t="shared" si="39"/>
        <v>92</v>
      </c>
    </row>
    <row r="359" spans="1:13">
      <c r="A359" s="27">
        <v>46035</v>
      </c>
      <c r="B359" s="74" t="s">
        <v>33</v>
      </c>
      <c r="C359" s="74"/>
      <c r="D359" s="74"/>
      <c r="E359" s="75"/>
      <c r="F359" s="73">
        <v>0</v>
      </c>
      <c r="G359" s="73">
        <v>8</v>
      </c>
      <c r="H359" s="73">
        <v>8</v>
      </c>
      <c r="I359" s="4">
        <v>85345</v>
      </c>
      <c r="J359" s="73">
        <v>0</v>
      </c>
      <c r="K359" s="73">
        <v>0</v>
      </c>
      <c r="L359" s="73">
        <f t="shared" si="38"/>
        <v>88772</v>
      </c>
      <c r="M359" s="73">
        <f t="shared" si="39"/>
        <v>92</v>
      </c>
    </row>
    <row r="360" spans="1:13">
      <c r="A360" s="27">
        <v>46036</v>
      </c>
      <c r="B360" s="74" t="s">
        <v>33</v>
      </c>
      <c r="C360" s="74"/>
      <c r="D360" s="74"/>
      <c r="E360" s="75"/>
      <c r="F360" s="73">
        <v>0</v>
      </c>
      <c r="G360" s="73">
        <v>13</v>
      </c>
      <c r="H360" s="73">
        <v>13</v>
      </c>
      <c r="I360" s="4">
        <v>85358</v>
      </c>
      <c r="J360" s="73">
        <v>0</v>
      </c>
      <c r="K360" s="73">
        <v>0</v>
      </c>
      <c r="L360" s="73">
        <f t="shared" si="38"/>
        <v>88772</v>
      </c>
      <c r="M360" s="73">
        <f t="shared" si="39"/>
        <v>92</v>
      </c>
    </row>
    <row r="361" spans="1:13">
      <c r="A361" s="27">
        <v>46037</v>
      </c>
      <c r="B361" s="1" t="s">
        <v>52</v>
      </c>
      <c r="C361" s="1" t="s">
        <v>53</v>
      </c>
      <c r="D361" s="1" t="s">
        <v>42</v>
      </c>
      <c r="E361" s="1" t="s">
        <v>43</v>
      </c>
      <c r="F361" s="73">
        <v>232</v>
      </c>
      <c r="G361" s="28">
        <v>294</v>
      </c>
      <c r="H361" s="73">
        <v>526</v>
      </c>
      <c r="I361" s="4">
        <v>85884</v>
      </c>
      <c r="J361" s="73">
        <v>864</v>
      </c>
      <c r="K361" s="73">
        <v>1</v>
      </c>
      <c r="L361" s="73">
        <f t="shared" si="38"/>
        <v>89636</v>
      </c>
      <c r="M361" s="73">
        <f t="shared" si="39"/>
        <v>93</v>
      </c>
    </row>
    <row r="362" spans="1:13">
      <c r="A362" s="27">
        <v>46037</v>
      </c>
      <c r="B362" s="74" t="s">
        <v>33</v>
      </c>
      <c r="C362" s="74"/>
      <c r="D362" s="74"/>
      <c r="E362" s="75"/>
      <c r="F362" s="73">
        <v>0</v>
      </c>
      <c r="G362" s="73">
        <v>8</v>
      </c>
      <c r="H362" s="73">
        <v>8</v>
      </c>
      <c r="I362" s="4">
        <v>85892</v>
      </c>
      <c r="J362" s="73">
        <v>0</v>
      </c>
      <c r="K362" s="73">
        <v>0</v>
      </c>
      <c r="L362" s="73">
        <f t="shared" si="38"/>
        <v>89636</v>
      </c>
      <c r="M362" s="73">
        <f t="shared" si="39"/>
        <v>93</v>
      </c>
    </row>
    <row r="363" spans="1:13">
      <c r="A363" s="27">
        <v>46038</v>
      </c>
      <c r="B363" s="1" t="s">
        <v>154</v>
      </c>
      <c r="C363" s="1" t="s">
        <v>55</v>
      </c>
      <c r="D363" s="1" t="s">
        <v>42</v>
      </c>
      <c r="E363" s="1" t="s">
        <v>43</v>
      </c>
      <c r="F363" s="73">
        <v>232</v>
      </c>
      <c r="G363" s="28">
        <v>294</v>
      </c>
      <c r="H363" s="73">
        <v>526</v>
      </c>
      <c r="I363" s="4">
        <v>86418</v>
      </c>
      <c r="J363" s="73">
        <v>864</v>
      </c>
      <c r="K363" s="73">
        <v>1</v>
      </c>
      <c r="L363" s="73">
        <f t="shared" si="38"/>
        <v>90500</v>
      </c>
      <c r="M363" s="73">
        <f t="shared" si="39"/>
        <v>94</v>
      </c>
    </row>
    <row r="364" spans="1:13">
      <c r="A364" s="27">
        <v>46038</v>
      </c>
      <c r="B364" s="74" t="s">
        <v>33</v>
      </c>
      <c r="C364" s="74"/>
      <c r="D364" s="74"/>
      <c r="E364" s="75"/>
      <c r="F364" s="73">
        <v>0</v>
      </c>
      <c r="G364" s="73">
        <v>6</v>
      </c>
      <c r="H364" s="73">
        <v>6</v>
      </c>
      <c r="I364" s="4">
        <v>86424</v>
      </c>
      <c r="J364" s="73">
        <v>0</v>
      </c>
      <c r="K364" s="73">
        <v>0</v>
      </c>
      <c r="L364" s="73">
        <f t="shared" si="38"/>
        <v>90500</v>
      </c>
      <c r="M364" s="73">
        <f t="shared" si="39"/>
        <v>94</v>
      </c>
    </row>
    <row r="365" spans="1:13">
      <c r="A365" s="27">
        <v>46039</v>
      </c>
      <c r="B365" s="74" t="s">
        <v>33</v>
      </c>
      <c r="C365" s="74"/>
      <c r="D365" s="74"/>
      <c r="E365" s="75"/>
      <c r="F365" s="73">
        <v>0</v>
      </c>
      <c r="G365" s="73">
        <v>7</v>
      </c>
      <c r="H365" s="73">
        <v>7</v>
      </c>
      <c r="I365" s="4">
        <v>86431</v>
      </c>
      <c r="J365" s="73">
        <v>0</v>
      </c>
      <c r="K365" s="73">
        <v>0</v>
      </c>
      <c r="L365" s="73">
        <f t="shared" si="38"/>
        <v>90500</v>
      </c>
      <c r="M365" s="73">
        <f t="shared" si="39"/>
        <v>94</v>
      </c>
    </row>
    <row r="366" spans="1:13">
      <c r="A366" s="29">
        <v>46040</v>
      </c>
      <c r="B366" s="76" t="s">
        <v>33</v>
      </c>
      <c r="C366" s="76"/>
      <c r="D366" s="76"/>
      <c r="E366" s="77"/>
      <c r="F366" s="72">
        <v>0</v>
      </c>
      <c r="G366" s="72">
        <v>19</v>
      </c>
      <c r="H366" s="72">
        <v>19</v>
      </c>
      <c r="I366" s="30">
        <v>86450</v>
      </c>
      <c r="J366" s="72">
        <v>0</v>
      </c>
      <c r="K366" s="72">
        <v>0</v>
      </c>
      <c r="L366" s="73">
        <f t="shared" si="38"/>
        <v>90500</v>
      </c>
      <c r="M366" s="73">
        <f t="shared" si="39"/>
        <v>94</v>
      </c>
    </row>
    <row r="367" spans="1:13">
      <c r="A367" s="27">
        <v>46041</v>
      </c>
      <c r="B367" s="74" t="s">
        <v>33</v>
      </c>
      <c r="C367" s="74"/>
      <c r="D367" s="74"/>
      <c r="E367" s="75"/>
      <c r="F367" s="73">
        <v>0</v>
      </c>
      <c r="G367" s="73">
        <v>16</v>
      </c>
      <c r="H367" s="73">
        <v>16</v>
      </c>
      <c r="I367" s="4">
        <v>92548</v>
      </c>
      <c r="J367" s="73">
        <v>0</v>
      </c>
      <c r="K367" s="73">
        <v>0</v>
      </c>
      <c r="L367" s="73">
        <f t="shared" ref="L367:L373" si="40">J367+L366</f>
        <v>90500</v>
      </c>
      <c r="M367" s="73">
        <f t="shared" ref="M367:M373" si="41">K367+M366</f>
        <v>94</v>
      </c>
    </row>
    <row r="368" spans="1:13">
      <c r="A368" s="27">
        <v>46042</v>
      </c>
      <c r="B368" s="1" t="s">
        <v>29</v>
      </c>
      <c r="C368" s="1" t="s">
        <v>24</v>
      </c>
      <c r="D368" s="1" t="s">
        <v>42</v>
      </c>
      <c r="E368" s="1" t="s">
        <v>43</v>
      </c>
      <c r="F368" s="73">
        <v>624</v>
      </c>
      <c r="G368" s="28">
        <v>705</v>
      </c>
      <c r="H368" s="4">
        <v>1329</v>
      </c>
      <c r="I368" s="4">
        <v>93877</v>
      </c>
      <c r="J368" s="4">
        <v>1648</v>
      </c>
      <c r="K368" s="73">
        <v>1</v>
      </c>
      <c r="L368" s="73">
        <f t="shared" si="40"/>
        <v>92148</v>
      </c>
      <c r="M368" s="73">
        <f t="shared" si="41"/>
        <v>95</v>
      </c>
    </row>
    <row r="369" spans="1:13">
      <c r="A369" s="27">
        <v>46042</v>
      </c>
      <c r="B369" s="1" t="s">
        <v>41</v>
      </c>
      <c r="C369" s="1" t="s">
        <v>13</v>
      </c>
      <c r="D369" s="1" t="s">
        <v>42</v>
      </c>
      <c r="E369" s="1" t="s">
        <v>43</v>
      </c>
      <c r="F369" s="73">
        <v>624</v>
      </c>
      <c r="G369" s="28">
        <v>705</v>
      </c>
      <c r="H369" s="4">
        <v>1329</v>
      </c>
      <c r="I369" s="4">
        <v>95206</v>
      </c>
      <c r="J369" s="4">
        <v>1648</v>
      </c>
      <c r="K369" s="73">
        <v>1</v>
      </c>
      <c r="L369" s="73">
        <f t="shared" si="40"/>
        <v>93796</v>
      </c>
      <c r="M369" s="73">
        <f t="shared" si="41"/>
        <v>96</v>
      </c>
    </row>
    <row r="370" spans="1:13">
      <c r="A370" s="27">
        <v>46042</v>
      </c>
      <c r="B370" s="74" t="s">
        <v>33</v>
      </c>
      <c r="C370" s="74"/>
      <c r="D370" s="74"/>
      <c r="E370" s="75"/>
      <c r="F370" s="73">
        <v>0</v>
      </c>
      <c r="G370" s="73">
        <v>6</v>
      </c>
      <c r="H370" s="73">
        <v>6</v>
      </c>
      <c r="I370" s="4">
        <v>95212</v>
      </c>
      <c r="J370" s="73">
        <v>0</v>
      </c>
      <c r="K370" s="73">
        <v>0</v>
      </c>
      <c r="L370" s="73">
        <f t="shared" si="40"/>
        <v>93796</v>
      </c>
      <c r="M370" s="73">
        <f t="shared" si="41"/>
        <v>96</v>
      </c>
    </row>
    <row r="371" spans="1:13">
      <c r="A371" s="27">
        <v>46043</v>
      </c>
      <c r="B371" s="74" t="s">
        <v>33</v>
      </c>
      <c r="C371" s="74"/>
      <c r="D371" s="74"/>
      <c r="E371" s="75"/>
      <c r="F371" s="73">
        <v>0</v>
      </c>
      <c r="G371" s="73">
        <v>9</v>
      </c>
      <c r="H371" s="73">
        <v>9</v>
      </c>
      <c r="I371" s="4">
        <v>95221</v>
      </c>
      <c r="J371" s="73">
        <v>0</v>
      </c>
      <c r="K371" s="73">
        <v>0</v>
      </c>
      <c r="L371" s="73">
        <f t="shared" si="40"/>
        <v>93796</v>
      </c>
      <c r="M371" s="73">
        <f t="shared" si="41"/>
        <v>96</v>
      </c>
    </row>
    <row r="372" spans="1:13">
      <c r="A372" s="27">
        <v>46044</v>
      </c>
      <c r="B372" s="74" t="s">
        <v>33</v>
      </c>
      <c r="C372" s="74"/>
      <c r="D372" s="74"/>
      <c r="E372" s="75"/>
      <c r="F372" s="73">
        <v>0</v>
      </c>
      <c r="G372" s="73">
        <v>8</v>
      </c>
      <c r="H372" s="73">
        <v>8</v>
      </c>
      <c r="I372" s="4">
        <v>95229</v>
      </c>
      <c r="J372" s="73">
        <v>0</v>
      </c>
      <c r="K372" s="73">
        <v>0</v>
      </c>
      <c r="L372" s="73">
        <f t="shared" si="40"/>
        <v>93796</v>
      </c>
      <c r="M372" s="73">
        <f t="shared" si="41"/>
        <v>96</v>
      </c>
    </row>
    <row r="373" spans="1:13">
      <c r="A373" s="27">
        <v>46045</v>
      </c>
      <c r="B373" s="74" t="s">
        <v>33</v>
      </c>
      <c r="C373" s="74"/>
      <c r="D373" s="74"/>
      <c r="E373" s="75"/>
      <c r="F373" s="73">
        <v>0</v>
      </c>
      <c r="G373" s="73">
        <v>13</v>
      </c>
      <c r="H373" s="73">
        <v>13</v>
      </c>
      <c r="I373" s="4">
        <v>95242</v>
      </c>
      <c r="J373" s="73">
        <v>0</v>
      </c>
      <c r="K373" s="73">
        <v>0</v>
      </c>
      <c r="L373" s="73">
        <f t="shared" si="40"/>
        <v>93796</v>
      </c>
      <c r="M373" s="73">
        <f t="shared" si="41"/>
        <v>96</v>
      </c>
    </row>
    <row r="374" spans="1:13">
      <c r="A374" s="27">
        <v>46046</v>
      </c>
      <c r="B374" s="1" t="s">
        <v>155</v>
      </c>
      <c r="C374" s="1" t="s">
        <v>156</v>
      </c>
      <c r="D374" s="1" t="s">
        <v>42</v>
      </c>
      <c r="E374" s="1" t="s">
        <v>50</v>
      </c>
      <c r="F374" s="73">
        <v>113</v>
      </c>
      <c r="G374" s="28">
        <v>119</v>
      </c>
      <c r="H374" s="73">
        <v>232</v>
      </c>
      <c r="I374" s="4">
        <v>95474</v>
      </c>
      <c r="J374" s="73">
        <v>226</v>
      </c>
      <c r="K374" s="73">
        <v>1</v>
      </c>
      <c r="L374" s="73">
        <f t="shared" ref="L374:L375" si="42">J374+L373</f>
        <v>94022</v>
      </c>
      <c r="M374" s="73">
        <f t="shared" ref="M374:M375" si="43">K374+M373</f>
        <v>97</v>
      </c>
    </row>
    <row r="375" spans="1:13">
      <c r="A375" s="27">
        <v>46046</v>
      </c>
      <c r="B375" s="1" t="s">
        <v>157</v>
      </c>
      <c r="C375" s="1" t="s">
        <v>158</v>
      </c>
      <c r="D375" s="1" t="s">
        <v>42</v>
      </c>
      <c r="E375" s="1" t="s">
        <v>50</v>
      </c>
      <c r="F375" s="73">
        <v>113</v>
      </c>
      <c r="G375" s="28">
        <v>119</v>
      </c>
      <c r="H375" s="73">
        <v>232</v>
      </c>
      <c r="I375" s="4">
        <v>95706</v>
      </c>
      <c r="J375" s="73">
        <v>226</v>
      </c>
      <c r="K375" s="73">
        <v>1</v>
      </c>
      <c r="L375" s="73">
        <f t="shared" si="42"/>
        <v>94248</v>
      </c>
      <c r="M375" s="73">
        <f t="shared" si="43"/>
        <v>98</v>
      </c>
    </row>
    <row r="376" spans="1:13">
      <c r="A376" s="27">
        <v>46046</v>
      </c>
      <c r="B376" s="1" t="s">
        <v>159</v>
      </c>
      <c r="C376" s="1" t="s">
        <v>93</v>
      </c>
      <c r="D376" s="1" t="s">
        <v>42</v>
      </c>
      <c r="E376" s="1" t="s">
        <v>50</v>
      </c>
      <c r="F376" s="73">
        <v>89</v>
      </c>
      <c r="G376" s="28">
        <v>93</v>
      </c>
      <c r="H376" s="73">
        <v>182</v>
      </c>
      <c r="I376" s="4">
        <v>95888</v>
      </c>
      <c r="J376" s="73">
        <v>178</v>
      </c>
      <c r="K376" s="73">
        <v>1</v>
      </c>
      <c r="L376" s="73">
        <f t="shared" ref="L376:L383" si="44">J376+L375</f>
        <v>94426</v>
      </c>
      <c r="M376" s="73">
        <f t="shared" ref="M376:M383" si="45">K376+M375</f>
        <v>99</v>
      </c>
    </row>
    <row r="377" spans="1:13">
      <c r="A377" s="27">
        <v>46046</v>
      </c>
      <c r="B377" s="1" t="s">
        <v>160</v>
      </c>
      <c r="C377" s="1" t="s">
        <v>138</v>
      </c>
      <c r="D377" s="1" t="s">
        <v>42</v>
      </c>
      <c r="E377" s="1" t="s">
        <v>50</v>
      </c>
      <c r="F377" s="73">
        <v>89</v>
      </c>
      <c r="G377" s="28">
        <v>93</v>
      </c>
      <c r="H377" s="73">
        <v>182</v>
      </c>
      <c r="I377" s="4">
        <v>96070</v>
      </c>
      <c r="J377" s="73">
        <v>178</v>
      </c>
      <c r="K377" s="73">
        <v>1</v>
      </c>
      <c r="L377" s="73">
        <f t="shared" si="44"/>
        <v>94604</v>
      </c>
      <c r="M377" s="73">
        <f t="shared" si="45"/>
        <v>100</v>
      </c>
    </row>
    <row r="378" spans="1:13">
      <c r="A378" s="27">
        <v>46046</v>
      </c>
      <c r="B378" s="1" t="s">
        <v>161</v>
      </c>
      <c r="C378" s="1" t="s">
        <v>100</v>
      </c>
      <c r="D378" s="1" t="s">
        <v>42</v>
      </c>
      <c r="E378" s="1" t="s">
        <v>50</v>
      </c>
      <c r="F378" s="73">
        <v>492</v>
      </c>
      <c r="G378" s="28">
        <v>517</v>
      </c>
      <c r="H378" s="4">
        <v>1009</v>
      </c>
      <c r="I378" s="4">
        <v>97079</v>
      </c>
      <c r="J378" s="73">
        <v>984</v>
      </c>
      <c r="K378" s="73">
        <v>1</v>
      </c>
      <c r="L378" s="73">
        <f t="shared" si="44"/>
        <v>95588</v>
      </c>
      <c r="M378" s="73">
        <f t="shared" si="45"/>
        <v>101</v>
      </c>
    </row>
    <row r="379" spans="1:13">
      <c r="A379" s="27">
        <v>46046</v>
      </c>
      <c r="B379" s="1" t="s">
        <v>125</v>
      </c>
      <c r="C379" s="1" t="s">
        <v>11</v>
      </c>
      <c r="D379" s="1" t="s">
        <v>42</v>
      </c>
      <c r="E379" s="1" t="s">
        <v>50</v>
      </c>
      <c r="F379" s="73">
        <v>492</v>
      </c>
      <c r="G379" s="28">
        <v>517</v>
      </c>
      <c r="H379" s="4">
        <v>1009</v>
      </c>
      <c r="I379" s="4">
        <v>98088</v>
      </c>
      <c r="J379" s="73">
        <v>984</v>
      </c>
      <c r="K379" s="73">
        <v>1</v>
      </c>
      <c r="L379" s="73">
        <f t="shared" si="44"/>
        <v>96572</v>
      </c>
      <c r="M379" s="73">
        <f t="shared" si="45"/>
        <v>102</v>
      </c>
    </row>
    <row r="380" spans="1:13">
      <c r="A380" s="27">
        <v>46046</v>
      </c>
      <c r="B380" s="74" t="s">
        <v>33</v>
      </c>
      <c r="C380" s="74"/>
      <c r="D380" s="74"/>
      <c r="E380" s="75"/>
      <c r="F380" s="73">
        <v>0</v>
      </c>
      <c r="G380" s="73">
        <v>27</v>
      </c>
      <c r="H380" s="73">
        <v>27</v>
      </c>
      <c r="I380" s="4">
        <v>98115</v>
      </c>
      <c r="J380" s="73">
        <v>0</v>
      </c>
      <c r="K380" s="73">
        <v>0</v>
      </c>
      <c r="L380" s="73">
        <f t="shared" si="44"/>
        <v>96572</v>
      </c>
      <c r="M380" s="73">
        <f t="shared" si="45"/>
        <v>102</v>
      </c>
    </row>
    <row r="381" spans="1:13">
      <c r="A381" s="27">
        <v>46047</v>
      </c>
      <c r="B381" s="74" t="s">
        <v>129</v>
      </c>
      <c r="C381" s="74"/>
      <c r="D381" s="74"/>
      <c r="E381" s="75"/>
      <c r="F381" s="73">
        <v>0</v>
      </c>
      <c r="G381" s="73">
        <v>118</v>
      </c>
      <c r="H381" s="73">
        <v>118</v>
      </c>
      <c r="I381" s="4">
        <v>103738</v>
      </c>
      <c r="J381" s="73">
        <v>0</v>
      </c>
      <c r="K381" s="73">
        <v>0</v>
      </c>
      <c r="L381" s="73">
        <f t="shared" si="44"/>
        <v>96572</v>
      </c>
      <c r="M381" s="73">
        <f t="shared" si="45"/>
        <v>102</v>
      </c>
    </row>
    <row r="382" spans="1:13">
      <c r="A382" s="27">
        <v>46047</v>
      </c>
      <c r="B382" s="74" t="s">
        <v>33</v>
      </c>
      <c r="C382" s="74"/>
      <c r="D382" s="74"/>
      <c r="E382" s="75"/>
      <c r="F382" s="73">
        <v>0</v>
      </c>
      <c r="G382" s="73">
        <v>71</v>
      </c>
      <c r="H382" s="73">
        <v>71</v>
      </c>
      <c r="I382" s="4">
        <v>103809</v>
      </c>
      <c r="J382" s="73">
        <v>0</v>
      </c>
      <c r="K382" s="73">
        <v>0</v>
      </c>
      <c r="L382" s="73">
        <f t="shared" si="44"/>
        <v>96572</v>
      </c>
      <c r="M382" s="73">
        <f t="shared" si="45"/>
        <v>102</v>
      </c>
    </row>
    <row r="383" spans="1:13">
      <c r="A383" s="27">
        <v>46048</v>
      </c>
      <c r="B383" s="74" t="s">
        <v>162</v>
      </c>
      <c r="C383" s="74"/>
      <c r="D383" s="74"/>
      <c r="E383" s="75"/>
      <c r="F383" s="73">
        <v>0</v>
      </c>
      <c r="G383" s="73">
        <v>10</v>
      </c>
      <c r="H383" s="73">
        <v>10</v>
      </c>
      <c r="I383" s="4">
        <v>103819</v>
      </c>
      <c r="J383" s="73">
        <v>0</v>
      </c>
      <c r="K383" s="73">
        <v>0</v>
      </c>
      <c r="L383" s="73">
        <f t="shared" si="44"/>
        <v>96572</v>
      </c>
      <c r="M383" s="73">
        <f t="shared" si="45"/>
        <v>102</v>
      </c>
    </row>
    <row r="384" spans="1:13">
      <c r="A384" s="27">
        <v>46048</v>
      </c>
      <c r="B384" s="74" t="s">
        <v>33</v>
      </c>
      <c r="C384" s="74"/>
      <c r="D384" s="74"/>
      <c r="E384" s="75"/>
      <c r="F384" s="73">
        <v>0</v>
      </c>
      <c r="G384" s="73">
        <v>17</v>
      </c>
      <c r="H384" s="73">
        <v>17</v>
      </c>
      <c r="I384" s="4">
        <v>103836</v>
      </c>
      <c r="J384" s="73">
        <v>0</v>
      </c>
      <c r="K384" s="73">
        <v>0</v>
      </c>
      <c r="L384" s="73">
        <f t="shared" ref="L384:L398" si="46">J384+L383</f>
        <v>96572</v>
      </c>
      <c r="M384" s="73">
        <f t="shared" ref="M384:M398" si="47">K384+M383</f>
        <v>102</v>
      </c>
    </row>
    <row r="385" spans="1:13">
      <c r="A385" s="27">
        <v>46049</v>
      </c>
      <c r="B385" s="1" t="s">
        <v>163</v>
      </c>
      <c r="C385" s="1" t="s">
        <v>11</v>
      </c>
      <c r="D385" s="1" t="s">
        <v>42</v>
      </c>
      <c r="E385" s="1" t="s">
        <v>43</v>
      </c>
      <c r="F385" s="4">
        <v>1082</v>
      </c>
      <c r="G385" s="70">
        <v>1186</v>
      </c>
      <c r="H385" s="4">
        <v>2268</v>
      </c>
      <c r="I385" s="4">
        <v>106104</v>
      </c>
      <c r="J385" s="4">
        <v>2564</v>
      </c>
      <c r="K385" s="73">
        <v>1</v>
      </c>
      <c r="L385" s="73">
        <f t="shared" si="46"/>
        <v>99136</v>
      </c>
      <c r="M385" s="73">
        <f t="shared" si="47"/>
        <v>103</v>
      </c>
    </row>
    <row r="386" spans="1:13">
      <c r="A386" s="27">
        <v>46049</v>
      </c>
      <c r="B386" s="74" t="s">
        <v>49</v>
      </c>
      <c r="C386" s="74"/>
      <c r="D386" s="74"/>
      <c r="E386" s="75"/>
      <c r="F386" s="73">
        <v>0</v>
      </c>
      <c r="G386" s="73">
        <v>2</v>
      </c>
      <c r="H386" s="73">
        <v>2</v>
      </c>
      <c r="I386" s="4">
        <v>106106</v>
      </c>
      <c r="J386" s="73">
        <v>0</v>
      </c>
      <c r="K386" s="73">
        <v>0</v>
      </c>
      <c r="L386" s="73">
        <f t="shared" si="46"/>
        <v>99136</v>
      </c>
      <c r="M386" s="73">
        <f t="shared" si="47"/>
        <v>103</v>
      </c>
    </row>
    <row r="387" spans="1:13">
      <c r="A387" s="27">
        <v>46049</v>
      </c>
      <c r="B387" s="74" t="s">
        <v>33</v>
      </c>
      <c r="C387" s="74"/>
      <c r="D387" s="74"/>
      <c r="E387" s="75"/>
      <c r="F387" s="73">
        <v>0</v>
      </c>
      <c r="G387" s="73">
        <v>2</v>
      </c>
      <c r="H387" s="73">
        <v>2</v>
      </c>
      <c r="I387" s="4">
        <v>106108</v>
      </c>
      <c r="J387" s="73">
        <v>0</v>
      </c>
      <c r="K387" s="73">
        <v>0</v>
      </c>
      <c r="L387" s="73">
        <f t="shared" si="46"/>
        <v>99136</v>
      </c>
      <c r="M387" s="73">
        <f t="shared" si="47"/>
        <v>103</v>
      </c>
    </row>
    <row r="388" spans="1:13">
      <c r="A388" s="27">
        <v>46050</v>
      </c>
      <c r="B388" s="1" t="s">
        <v>164</v>
      </c>
      <c r="C388" s="1" t="s">
        <v>100</v>
      </c>
      <c r="D388" s="1" t="s">
        <v>42</v>
      </c>
      <c r="E388" s="1" t="s">
        <v>43</v>
      </c>
      <c r="F388" s="4">
        <v>1082</v>
      </c>
      <c r="G388" s="70">
        <v>1186</v>
      </c>
      <c r="H388" s="4">
        <v>2268</v>
      </c>
      <c r="I388" s="4">
        <v>108376</v>
      </c>
      <c r="J388" s="4">
        <v>2564</v>
      </c>
      <c r="K388" s="73">
        <v>1</v>
      </c>
      <c r="L388" s="73">
        <f t="shared" si="46"/>
        <v>101700</v>
      </c>
      <c r="M388" s="73">
        <f t="shared" si="47"/>
        <v>104</v>
      </c>
    </row>
    <row r="389" spans="1:13">
      <c r="A389" s="27">
        <v>46050</v>
      </c>
      <c r="B389" s="74" t="s">
        <v>33</v>
      </c>
      <c r="C389" s="74"/>
      <c r="D389" s="74"/>
      <c r="E389" s="75"/>
      <c r="F389" s="73">
        <v>0</v>
      </c>
      <c r="G389" s="73">
        <v>8</v>
      </c>
      <c r="H389" s="73">
        <v>8</v>
      </c>
      <c r="I389" s="4">
        <v>108384</v>
      </c>
      <c r="J389" s="73">
        <v>0</v>
      </c>
      <c r="K389" s="73">
        <v>0</v>
      </c>
      <c r="L389" s="73">
        <f t="shared" si="46"/>
        <v>101700</v>
      </c>
      <c r="M389" s="73">
        <f t="shared" si="47"/>
        <v>104</v>
      </c>
    </row>
    <row r="390" spans="1:13">
      <c r="A390" s="27">
        <v>46051</v>
      </c>
      <c r="B390" s="74" t="s">
        <v>33</v>
      </c>
      <c r="C390" s="74"/>
      <c r="D390" s="74"/>
      <c r="E390" s="75"/>
      <c r="F390" s="73">
        <v>0</v>
      </c>
      <c r="G390" s="73">
        <v>8</v>
      </c>
      <c r="H390" s="73">
        <v>8</v>
      </c>
      <c r="I390" s="4">
        <v>108392</v>
      </c>
      <c r="J390" s="73">
        <v>0</v>
      </c>
      <c r="K390" s="73">
        <v>0</v>
      </c>
      <c r="L390" s="73">
        <f t="shared" si="46"/>
        <v>101700</v>
      </c>
      <c r="M390" s="73">
        <f t="shared" si="47"/>
        <v>104</v>
      </c>
    </row>
    <row r="391" spans="1:13">
      <c r="A391" s="27">
        <v>46052</v>
      </c>
      <c r="B391" s="1" t="s">
        <v>125</v>
      </c>
      <c r="C391" s="1" t="s">
        <v>11</v>
      </c>
      <c r="D391" s="1" t="s">
        <v>42</v>
      </c>
      <c r="E391" s="1" t="s">
        <v>50</v>
      </c>
      <c r="F391" s="73">
        <v>738</v>
      </c>
      <c r="G391" s="28">
        <v>825</v>
      </c>
      <c r="H391" s="4">
        <v>1563</v>
      </c>
      <c r="I391" s="4">
        <v>109955</v>
      </c>
      <c r="J391" s="4">
        <v>1676</v>
      </c>
      <c r="K391" s="73">
        <v>1</v>
      </c>
      <c r="L391" s="73">
        <f t="shared" si="46"/>
        <v>103376</v>
      </c>
      <c r="M391" s="73">
        <f t="shared" si="47"/>
        <v>105</v>
      </c>
    </row>
    <row r="392" spans="1:13">
      <c r="A392" s="27">
        <v>46052</v>
      </c>
      <c r="B392" s="74" t="s">
        <v>49</v>
      </c>
      <c r="C392" s="74"/>
      <c r="D392" s="74"/>
      <c r="E392" s="75"/>
      <c r="F392" s="73">
        <v>0</v>
      </c>
      <c r="G392" s="73">
        <v>3</v>
      </c>
      <c r="H392" s="73">
        <v>3</v>
      </c>
      <c r="I392" s="4">
        <v>109958</v>
      </c>
      <c r="J392" s="73">
        <v>0</v>
      </c>
      <c r="K392" s="73">
        <v>0</v>
      </c>
      <c r="L392" s="73">
        <f t="shared" si="46"/>
        <v>103376</v>
      </c>
      <c r="M392" s="73">
        <f t="shared" si="47"/>
        <v>105</v>
      </c>
    </row>
    <row r="393" spans="1:13">
      <c r="A393" s="27">
        <v>46052</v>
      </c>
      <c r="B393" s="74" t="s">
        <v>33</v>
      </c>
      <c r="C393" s="74"/>
      <c r="D393" s="74"/>
      <c r="E393" s="75"/>
      <c r="F393" s="73">
        <v>0</v>
      </c>
      <c r="G393" s="73">
        <v>9</v>
      </c>
      <c r="H393" s="73">
        <v>9</v>
      </c>
      <c r="I393" s="4">
        <v>109967</v>
      </c>
      <c r="J393" s="73">
        <v>0</v>
      </c>
      <c r="K393" s="73">
        <v>0</v>
      </c>
      <c r="L393" s="73">
        <f t="shared" si="46"/>
        <v>103376</v>
      </c>
      <c r="M393" s="73">
        <f t="shared" si="47"/>
        <v>105</v>
      </c>
    </row>
    <row r="394" spans="1:13">
      <c r="A394" s="27">
        <v>46053</v>
      </c>
      <c r="B394" s="74" t="s">
        <v>33</v>
      </c>
      <c r="C394" s="74"/>
      <c r="D394" s="74"/>
      <c r="E394" s="75"/>
      <c r="F394" s="73">
        <v>0</v>
      </c>
      <c r="G394" s="73">
        <v>11</v>
      </c>
      <c r="H394" s="73">
        <v>11</v>
      </c>
      <c r="I394" s="4">
        <v>109978</v>
      </c>
      <c r="J394" s="73">
        <v>0</v>
      </c>
      <c r="K394" s="73">
        <v>0</v>
      </c>
      <c r="L394" s="73">
        <f t="shared" si="46"/>
        <v>103376</v>
      </c>
      <c r="M394" s="73">
        <f t="shared" si="47"/>
        <v>105</v>
      </c>
    </row>
    <row r="395" spans="1:13">
      <c r="A395" s="27">
        <v>46054</v>
      </c>
      <c r="B395" s="1" t="s">
        <v>165</v>
      </c>
      <c r="C395" s="1" t="s">
        <v>100</v>
      </c>
      <c r="D395" s="1" t="s">
        <v>42</v>
      </c>
      <c r="E395" s="1" t="s">
        <v>50</v>
      </c>
      <c r="F395" s="73">
        <v>738</v>
      </c>
      <c r="G395" s="28">
        <v>825</v>
      </c>
      <c r="H395" s="4">
        <v>1563</v>
      </c>
      <c r="I395" s="4">
        <v>111541</v>
      </c>
      <c r="J395" s="4">
        <v>1676</v>
      </c>
      <c r="K395" s="73">
        <v>1</v>
      </c>
      <c r="L395" s="73">
        <f t="shared" si="46"/>
        <v>105052</v>
      </c>
      <c r="M395" s="73">
        <f t="shared" si="47"/>
        <v>106</v>
      </c>
    </row>
    <row r="396" spans="1:13">
      <c r="A396" s="27">
        <v>46054</v>
      </c>
      <c r="B396" s="74" t="s">
        <v>33</v>
      </c>
      <c r="C396" s="74"/>
      <c r="D396" s="74"/>
      <c r="E396" s="75"/>
      <c r="F396" s="73">
        <v>0</v>
      </c>
      <c r="G396" s="73">
        <v>40</v>
      </c>
      <c r="H396" s="73">
        <v>40</v>
      </c>
      <c r="I396" s="4">
        <v>111581</v>
      </c>
      <c r="J396" s="73">
        <v>0</v>
      </c>
      <c r="K396" s="73">
        <v>0</v>
      </c>
      <c r="L396" s="73">
        <f t="shared" si="46"/>
        <v>105052</v>
      </c>
      <c r="M396" s="73">
        <f t="shared" si="47"/>
        <v>106</v>
      </c>
    </row>
    <row r="397" spans="1:13">
      <c r="A397" s="27">
        <v>46055</v>
      </c>
      <c r="B397" s="1" t="s">
        <v>166</v>
      </c>
      <c r="C397" s="1" t="s">
        <v>11</v>
      </c>
      <c r="D397" s="1" t="s">
        <v>42</v>
      </c>
      <c r="E397" s="1" t="s">
        <v>50</v>
      </c>
      <c r="F397" s="73">
        <v>738</v>
      </c>
      <c r="G397" s="28">
        <v>825</v>
      </c>
      <c r="H397" s="4">
        <v>1563</v>
      </c>
      <c r="I397" s="4">
        <v>113144</v>
      </c>
      <c r="J397" s="4">
        <v>1676</v>
      </c>
      <c r="K397" s="73">
        <v>1</v>
      </c>
      <c r="L397" s="73">
        <f t="shared" si="46"/>
        <v>106728</v>
      </c>
      <c r="M397" s="73">
        <f t="shared" si="47"/>
        <v>107</v>
      </c>
    </row>
    <row r="398" spans="1:13">
      <c r="A398" s="27">
        <v>46055</v>
      </c>
      <c r="B398" s="74" t="s">
        <v>33</v>
      </c>
      <c r="C398" s="74"/>
      <c r="D398" s="74"/>
      <c r="E398" s="75"/>
      <c r="F398" s="73">
        <v>0</v>
      </c>
      <c r="G398" s="73">
        <v>5</v>
      </c>
      <c r="H398" s="73">
        <v>5</v>
      </c>
      <c r="I398" s="4">
        <v>113149</v>
      </c>
      <c r="J398" s="73">
        <v>0</v>
      </c>
      <c r="K398" s="73">
        <v>0</v>
      </c>
      <c r="L398" s="73">
        <f t="shared" si="46"/>
        <v>106728</v>
      </c>
      <c r="M398" s="73">
        <f t="shared" si="47"/>
        <v>107</v>
      </c>
    </row>
    <row r="399" spans="1:13">
      <c r="A399" s="27">
        <v>46056</v>
      </c>
      <c r="B399" s="74" t="s">
        <v>33</v>
      </c>
      <c r="C399" s="74"/>
      <c r="D399" s="74"/>
      <c r="E399" s="75"/>
      <c r="F399" s="73">
        <v>0</v>
      </c>
      <c r="G399" s="73">
        <v>2</v>
      </c>
      <c r="H399" s="73">
        <v>2</v>
      </c>
      <c r="I399" s="4">
        <v>113151</v>
      </c>
      <c r="J399" s="73">
        <v>0</v>
      </c>
      <c r="K399" s="73">
        <v>0</v>
      </c>
      <c r="L399" s="73">
        <f t="shared" ref="L399:L426" si="48">J399+L398</f>
        <v>106728</v>
      </c>
      <c r="M399" s="73">
        <f t="shared" ref="M399:M426" si="49">K399+M398</f>
        <v>107</v>
      </c>
    </row>
    <row r="400" spans="1:13">
      <c r="A400" s="27">
        <v>46057</v>
      </c>
      <c r="B400" s="1" t="s">
        <v>164</v>
      </c>
      <c r="C400" s="71" t="s">
        <v>100</v>
      </c>
      <c r="D400" s="1" t="s">
        <v>42</v>
      </c>
      <c r="E400" s="1" t="s">
        <v>43</v>
      </c>
      <c r="F400" s="4">
        <v>1082</v>
      </c>
      <c r="G400" s="70">
        <v>1186</v>
      </c>
      <c r="H400" s="4">
        <v>2268</v>
      </c>
      <c r="I400" s="4">
        <v>115419</v>
      </c>
      <c r="J400" s="4">
        <v>2564</v>
      </c>
      <c r="K400" s="73">
        <v>1</v>
      </c>
      <c r="L400" s="73">
        <f t="shared" si="48"/>
        <v>109292</v>
      </c>
      <c r="M400" s="73">
        <f t="shared" si="49"/>
        <v>108</v>
      </c>
    </row>
    <row r="401" spans="1:13">
      <c r="A401" s="27">
        <v>46058</v>
      </c>
      <c r="B401" s="74" t="s">
        <v>33</v>
      </c>
      <c r="C401" s="74"/>
      <c r="D401" s="74"/>
      <c r="E401" s="75"/>
      <c r="F401" s="73">
        <v>0</v>
      </c>
      <c r="G401" s="73">
        <v>10</v>
      </c>
      <c r="H401" s="73">
        <v>10</v>
      </c>
      <c r="I401" s="4">
        <v>115429</v>
      </c>
      <c r="J401" s="73">
        <v>0</v>
      </c>
      <c r="K401" s="73">
        <v>0</v>
      </c>
      <c r="L401" s="73">
        <f t="shared" si="48"/>
        <v>109292</v>
      </c>
      <c r="M401" s="73">
        <f t="shared" si="49"/>
        <v>108</v>
      </c>
    </row>
    <row r="402" spans="1:13">
      <c r="A402" s="27">
        <v>46059</v>
      </c>
      <c r="B402" s="1" t="s">
        <v>167</v>
      </c>
      <c r="C402" s="71" t="s">
        <v>69</v>
      </c>
      <c r="D402" s="1" t="s">
        <v>42</v>
      </c>
      <c r="E402" s="1" t="s">
        <v>50</v>
      </c>
      <c r="F402" s="73">
        <v>269</v>
      </c>
      <c r="G402" s="28">
        <v>282</v>
      </c>
      <c r="H402" s="73">
        <v>551</v>
      </c>
      <c r="I402" s="4">
        <v>115980</v>
      </c>
      <c r="J402" s="73">
        <v>538</v>
      </c>
      <c r="K402" s="73">
        <v>1</v>
      </c>
      <c r="L402" s="73">
        <f t="shared" si="48"/>
        <v>109830</v>
      </c>
      <c r="M402" s="73">
        <f t="shared" si="49"/>
        <v>109</v>
      </c>
    </row>
    <row r="403" spans="1:13">
      <c r="A403" s="27">
        <v>46059</v>
      </c>
      <c r="B403" s="1" t="s">
        <v>145</v>
      </c>
      <c r="C403" s="71" t="s">
        <v>73</v>
      </c>
      <c r="D403" s="1" t="s">
        <v>42</v>
      </c>
      <c r="E403" s="1" t="s">
        <v>50</v>
      </c>
      <c r="F403" s="73">
        <v>98</v>
      </c>
      <c r="G403" s="28">
        <v>153</v>
      </c>
      <c r="H403" s="73">
        <v>251</v>
      </c>
      <c r="I403" s="4">
        <v>116231</v>
      </c>
      <c r="J403" s="73">
        <v>396</v>
      </c>
      <c r="K403" s="73">
        <v>1</v>
      </c>
      <c r="L403" s="73">
        <f t="shared" si="48"/>
        <v>110226</v>
      </c>
      <c r="M403" s="73">
        <f t="shared" si="49"/>
        <v>110</v>
      </c>
    </row>
    <row r="404" spans="1:13">
      <c r="A404" s="27">
        <v>46059</v>
      </c>
      <c r="B404" s="1" t="s">
        <v>168</v>
      </c>
      <c r="C404" s="71" t="s">
        <v>75</v>
      </c>
      <c r="D404" s="1" t="s">
        <v>42</v>
      </c>
      <c r="E404" s="1" t="s">
        <v>50</v>
      </c>
      <c r="F404" s="73">
        <v>98</v>
      </c>
      <c r="G404" s="28">
        <v>153</v>
      </c>
      <c r="H404" s="73">
        <v>251</v>
      </c>
      <c r="I404" s="4">
        <v>116482</v>
      </c>
      <c r="J404" s="73">
        <v>396</v>
      </c>
      <c r="K404" s="73">
        <v>1</v>
      </c>
      <c r="L404" s="73">
        <f t="shared" si="48"/>
        <v>110622</v>
      </c>
      <c r="M404" s="73">
        <f t="shared" si="49"/>
        <v>111</v>
      </c>
    </row>
    <row r="405" spans="1:13" ht="22.5">
      <c r="A405" s="27">
        <v>46059</v>
      </c>
      <c r="B405" s="1" t="s">
        <v>169</v>
      </c>
      <c r="C405" s="71" t="s">
        <v>170</v>
      </c>
      <c r="D405" s="1" t="s">
        <v>42</v>
      </c>
      <c r="E405" s="1" t="s">
        <v>50</v>
      </c>
      <c r="F405" s="73">
        <v>94</v>
      </c>
      <c r="G405" s="28">
        <v>99</v>
      </c>
      <c r="H405" s="73">
        <v>193</v>
      </c>
      <c r="I405" s="4">
        <v>116675</v>
      </c>
      <c r="J405" s="73">
        <v>188</v>
      </c>
      <c r="K405" s="73">
        <v>1</v>
      </c>
      <c r="L405" s="73">
        <f t="shared" si="48"/>
        <v>110810</v>
      </c>
      <c r="M405" s="73">
        <f t="shared" si="49"/>
        <v>112</v>
      </c>
    </row>
    <row r="406" spans="1:13" ht="22.5">
      <c r="A406" s="27">
        <v>46059</v>
      </c>
      <c r="B406" s="1" t="s">
        <v>171</v>
      </c>
      <c r="C406" s="71" t="s">
        <v>172</v>
      </c>
      <c r="D406" s="1" t="s">
        <v>42</v>
      </c>
      <c r="E406" s="1" t="s">
        <v>50</v>
      </c>
      <c r="F406" s="73">
        <v>94</v>
      </c>
      <c r="G406" s="28">
        <v>99</v>
      </c>
      <c r="H406" s="73">
        <v>193</v>
      </c>
      <c r="I406" s="4">
        <v>116868</v>
      </c>
      <c r="J406" s="73">
        <v>188</v>
      </c>
      <c r="K406" s="73">
        <v>1</v>
      </c>
      <c r="L406" s="73">
        <f t="shared" si="48"/>
        <v>110998</v>
      </c>
      <c r="M406" s="73">
        <f t="shared" si="49"/>
        <v>113</v>
      </c>
    </row>
    <row r="407" spans="1:13">
      <c r="A407" s="27">
        <v>46059</v>
      </c>
      <c r="B407" s="1" t="s">
        <v>173</v>
      </c>
      <c r="C407" s="71" t="s">
        <v>13</v>
      </c>
      <c r="D407" s="1" t="s">
        <v>42</v>
      </c>
      <c r="E407" s="1" t="s">
        <v>50</v>
      </c>
      <c r="F407" s="73">
        <v>284</v>
      </c>
      <c r="G407" s="28">
        <v>298</v>
      </c>
      <c r="H407" s="73">
        <v>582</v>
      </c>
      <c r="I407" s="4">
        <v>117450</v>
      </c>
      <c r="J407" s="73">
        <v>568</v>
      </c>
      <c r="K407" s="73">
        <v>1</v>
      </c>
      <c r="L407" s="73">
        <f t="shared" si="48"/>
        <v>111566</v>
      </c>
      <c r="M407" s="73">
        <f t="shared" si="49"/>
        <v>114</v>
      </c>
    </row>
    <row r="408" spans="1:13">
      <c r="A408" s="27">
        <v>46059</v>
      </c>
      <c r="B408" s="74" t="s">
        <v>33</v>
      </c>
      <c r="C408" s="74"/>
      <c r="D408" s="74"/>
      <c r="E408" s="75"/>
      <c r="F408" s="73">
        <v>0</v>
      </c>
      <c r="G408" s="73">
        <v>10</v>
      </c>
      <c r="H408" s="73">
        <v>10</v>
      </c>
      <c r="I408" s="4">
        <v>117460</v>
      </c>
      <c r="J408" s="73">
        <v>0</v>
      </c>
      <c r="K408" s="73">
        <v>0</v>
      </c>
      <c r="L408" s="73">
        <f t="shared" si="48"/>
        <v>111566</v>
      </c>
      <c r="M408" s="73">
        <f t="shared" si="49"/>
        <v>114</v>
      </c>
    </row>
    <row r="409" spans="1:13">
      <c r="A409" s="27">
        <v>46060</v>
      </c>
      <c r="B409" s="1" t="s">
        <v>174</v>
      </c>
      <c r="C409" s="71" t="s">
        <v>121</v>
      </c>
      <c r="D409" s="1" t="s">
        <v>42</v>
      </c>
      <c r="E409" s="1" t="s">
        <v>50</v>
      </c>
      <c r="F409" s="73">
        <v>44</v>
      </c>
      <c r="G409" s="28">
        <v>96</v>
      </c>
      <c r="H409" s="73">
        <v>140</v>
      </c>
      <c r="I409" s="4">
        <v>117600</v>
      </c>
      <c r="J409" s="73">
        <v>288</v>
      </c>
      <c r="K409" s="73">
        <v>1</v>
      </c>
      <c r="L409" s="73">
        <f t="shared" si="48"/>
        <v>111854</v>
      </c>
      <c r="M409" s="73">
        <f t="shared" si="49"/>
        <v>115</v>
      </c>
    </row>
    <row r="410" spans="1:13">
      <c r="A410" s="27">
        <v>46060</v>
      </c>
      <c r="B410" s="1" t="s">
        <v>175</v>
      </c>
      <c r="C410" s="71" t="s">
        <v>123</v>
      </c>
      <c r="D410" s="1" t="s">
        <v>42</v>
      </c>
      <c r="E410" s="1" t="s">
        <v>50</v>
      </c>
      <c r="F410" s="73">
        <v>30</v>
      </c>
      <c r="G410" s="28">
        <v>32</v>
      </c>
      <c r="H410" s="73">
        <v>62</v>
      </c>
      <c r="I410" s="4">
        <v>117662</v>
      </c>
      <c r="J410" s="73">
        <v>60</v>
      </c>
      <c r="K410" s="73">
        <v>1</v>
      </c>
      <c r="L410" s="73">
        <f t="shared" si="48"/>
        <v>111914</v>
      </c>
      <c r="M410" s="73">
        <f t="shared" si="49"/>
        <v>116</v>
      </c>
    </row>
    <row r="411" spans="1:13">
      <c r="A411" s="27">
        <v>46060</v>
      </c>
      <c r="B411" s="1" t="s">
        <v>176</v>
      </c>
      <c r="C411" s="71" t="s">
        <v>138</v>
      </c>
      <c r="D411" s="1" t="s">
        <v>42</v>
      </c>
      <c r="E411" s="1" t="s">
        <v>50</v>
      </c>
      <c r="F411" s="73">
        <v>89</v>
      </c>
      <c r="G411" s="28">
        <v>93</v>
      </c>
      <c r="H411" s="73">
        <v>182</v>
      </c>
      <c r="I411" s="4">
        <v>117844</v>
      </c>
      <c r="J411" s="73">
        <v>178</v>
      </c>
      <c r="K411" s="73">
        <v>1</v>
      </c>
      <c r="L411" s="73">
        <f t="shared" si="48"/>
        <v>112092</v>
      </c>
      <c r="M411" s="73">
        <f t="shared" si="49"/>
        <v>117</v>
      </c>
    </row>
    <row r="412" spans="1:13">
      <c r="A412" s="27">
        <v>46060</v>
      </c>
      <c r="B412" s="1" t="s">
        <v>177</v>
      </c>
      <c r="C412" s="71" t="s">
        <v>93</v>
      </c>
      <c r="D412" s="1" t="s">
        <v>42</v>
      </c>
      <c r="E412" s="1" t="s">
        <v>50</v>
      </c>
      <c r="F412" s="73">
        <v>89</v>
      </c>
      <c r="G412" s="28">
        <v>93</v>
      </c>
      <c r="H412" s="73">
        <v>182</v>
      </c>
      <c r="I412" s="4">
        <v>118026</v>
      </c>
      <c r="J412" s="73">
        <v>178</v>
      </c>
      <c r="K412" s="73">
        <v>1</v>
      </c>
      <c r="L412" s="73">
        <f t="shared" si="48"/>
        <v>112270</v>
      </c>
      <c r="M412" s="73">
        <f t="shared" si="49"/>
        <v>118</v>
      </c>
    </row>
    <row r="413" spans="1:13">
      <c r="A413" s="27">
        <v>46060</v>
      </c>
      <c r="B413" s="1" t="s">
        <v>94</v>
      </c>
      <c r="C413" s="71" t="s">
        <v>71</v>
      </c>
      <c r="D413" s="1" t="s">
        <v>42</v>
      </c>
      <c r="E413" s="1" t="s">
        <v>50</v>
      </c>
      <c r="F413" s="73">
        <v>269</v>
      </c>
      <c r="G413" s="28">
        <v>282</v>
      </c>
      <c r="H413" s="73">
        <v>551</v>
      </c>
      <c r="I413" s="4">
        <v>118577</v>
      </c>
      <c r="J413" s="73">
        <v>538</v>
      </c>
      <c r="K413" s="73">
        <v>1</v>
      </c>
      <c r="L413" s="73">
        <f t="shared" si="48"/>
        <v>112808</v>
      </c>
      <c r="M413" s="73">
        <f t="shared" si="49"/>
        <v>119</v>
      </c>
    </row>
    <row r="414" spans="1:13">
      <c r="A414" s="27">
        <v>46060</v>
      </c>
      <c r="B414" s="74" t="s">
        <v>33</v>
      </c>
      <c r="C414" s="74"/>
      <c r="D414" s="74"/>
      <c r="E414" s="75"/>
      <c r="F414" s="73">
        <v>0</v>
      </c>
      <c r="G414" s="73">
        <v>6</v>
      </c>
      <c r="H414" s="73">
        <v>6</v>
      </c>
      <c r="I414" s="4">
        <v>118583</v>
      </c>
      <c r="J414" s="73">
        <v>0</v>
      </c>
      <c r="K414" s="73">
        <v>0</v>
      </c>
      <c r="L414" s="73">
        <f t="shared" si="48"/>
        <v>112808</v>
      </c>
      <c r="M414" s="73">
        <f t="shared" si="49"/>
        <v>119</v>
      </c>
    </row>
    <row r="415" spans="1:13">
      <c r="A415" s="27">
        <v>46061</v>
      </c>
      <c r="B415" s="1" t="s">
        <v>120</v>
      </c>
      <c r="C415" s="71" t="s">
        <v>121</v>
      </c>
      <c r="D415" s="1" t="s">
        <v>42</v>
      </c>
      <c r="E415" s="1" t="s">
        <v>50</v>
      </c>
      <c r="F415" s="73">
        <v>44</v>
      </c>
      <c r="G415" s="28">
        <v>96</v>
      </c>
      <c r="H415" s="73">
        <v>140</v>
      </c>
      <c r="I415" s="4">
        <v>118723</v>
      </c>
      <c r="J415" s="73">
        <v>288</v>
      </c>
      <c r="K415" s="73">
        <v>1</v>
      </c>
      <c r="L415" s="73">
        <f t="shared" si="48"/>
        <v>113096</v>
      </c>
      <c r="M415" s="73">
        <f t="shared" si="49"/>
        <v>120</v>
      </c>
    </row>
    <row r="416" spans="1:13">
      <c r="A416" s="27">
        <v>46061</v>
      </c>
      <c r="B416" s="1" t="s">
        <v>122</v>
      </c>
      <c r="C416" s="71" t="s">
        <v>123</v>
      </c>
      <c r="D416" s="1" t="s">
        <v>42</v>
      </c>
      <c r="E416" s="1" t="s">
        <v>50</v>
      </c>
      <c r="F416" s="73">
        <v>30</v>
      </c>
      <c r="G416" s="28">
        <v>32</v>
      </c>
      <c r="H416" s="73">
        <v>62</v>
      </c>
      <c r="I416" s="4">
        <v>118785</v>
      </c>
      <c r="J416" s="73">
        <v>60</v>
      </c>
      <c r="K416" s="73">
        <v>1</v>
      </c>
      <c r="L416" s="73">
        <f t="shared" si="48"/>
        <v>113156</v>
      </c>
      <c r="M416" s="73">
        <f t="shared" si="49"/>
        <v>121</v>
      </c>
    </row>
    <row r="417" spans="1:13">
      <c r="A417" s="27">
        <v>46061</v>
      </c>
      <c r="B417" s="1" t="s">
        <v>178</v>
      </c>
      <c r="C417" s="71" t="s">
        <v>89</v>
      </c>
      <c r="D417" s="1" t="s">
        <v>42</v>
      </c>
      <c r="E417" s="1" t="s">
        <v>50</v>
      </c>
      <c r="F417" s="73">
        <v>40</v>
      </c>
      <c r="G417" s="28">
        <v>42</v>
      </c>
      <c r="H417" s="73">
        <v>82</v>
      </c>
      <c r="I417" s="4">
        <v>118867</v>
      </c>
      <c r="J417" s="73">
        <v>80</v>
      </c>
      <c r="K417" s="73">
        <v>1</v>
      </c>
      <c r="L417" s="73">
        <f t="shared" si="48"/>
        <v>113236</v>
      </c>
      <c r="M417" s="73">
        <f t="shared" si="49"/>
        <v>122</v>
      </c>
    </row>
    <row r="418" spans="1:13">
      <c r="A418" s="27">
        <v>46061</v>
      </c>
      <c r="B418" s="1" t="s">
        <v>179</v>
      </c>
      <c r="C418" s="71" t="s">
        <v>180</v>
      </c>
      <c r="D418" s="1" t="s">
        <v>42</v>
      </c>
      <c r="E418" s="1" t="s">
        <v>50</v>
      </c>
      <c r="F418" s="73">
        <v>158</v>
      </c>
      <c r="G418" s="28">
        <v>166</v>
      </c>
      <c r="H418" s="73">
        <v>324</v>
      </c>
      <c r="I418" s="4">
        <v>119191</v>
      </c>
      <c r="J418" s="73">
        <v>316</v>
      </c>
      <c r="K418" s="73">
        <v>1</v>
      </c>
      <c r="L418" s="73">
        <f t="shared" si="48"/>
        <v>113552</v>
      </c>
      <c r="M418" s="73">
        <f t="shared" si="49"/>
        <v>123</v>
      </c>
    </row>
    <row r="419" spans="1:13">
      <c r="A419" s="27">
        <v>46061</v>
      </c>
      <c r="B419" s="1" t="s">
        <v>181</v>
      </c>
      <c r="C419" s="71" t="s">
        <v>91</v>
      </c>
      <c r="D419" s="1" t="s">
        <v>42</v>
      </c>
      <c r="E419" s="1" t="s">
        <v>50</v>
      </c>
      <c r="F419" s="73">
        <v>124</v>
      </c>
      <c r="G419" s="28">
        <v>130</v>
      </c>
      <c r="H419" s="73">
        <v>254</v>
      </c>
      <c r="I419" s="4">
        <v>119445</v>
      </c>
      <c r="J419" s="73">
        <v>248</v>
      </c>
      <c r="K419" s="73">
        <v>1</v>
      </c>
      <c r="L419" s="73">
        <f t="shared" si="48"/>
        <v>113800</v>
      </c>
      <c r="M419" s="73">
        <f t="shared" si="49"/>
        <v>124</v>
      </c>
    </row>
    <row r="420" spans="1:13">
      <c r="A420" s="27">
        <v>46061</v>
      </c>
      <c r="B420" s="1" t="s">
        <v>182</v>
      </c>
      <c r="C420" s="71" t="s">
        <v>93</v>
      </c>
      <c r="D420" s="1" t="s">
        <v>42</v>
      </c>
      <c r="E420" s="1" t="s">
        <v>50</v>
      </c>
      <c r="F420" s="73">
        <v>89</v>
      </c>
      <c r="G420" s="28">
        <v>93</v>
      </c>
      <c r="H420" s="73">
        <v>182</v>
      </c>
      <c r="I420" s="4">
        <v>119627</v>
      </c>
      <c r="J420" s="73">
        <v>178</v>
      </c>
      <c r="K420" s="73">
        <v>1</v>
      </c>
      <c r="L420" s="73">
        <f t="shared" si="48"/>
        <v>113978</v>
      </c>
      <c r="M420" s="73">
        <f t="shared" si="49"/>
        <v>125</v>
      </c>
    </row>
    <row r="421" spans="1:13">
      <c r="A421" s="27">
        <v>46061</v>
      </c>
      <c r="B421" s="1" t="s">
        <v>183</v>
      </c>
      <c r="C421" s="71" t="s">
        <v>138</v>
      </c>
      <c r="D421" s="1" t="s">
        <v>42</v>
      </c>
      <c r="E421" s="1" t="s">
        <v>50</v>
      </c>
      <c r="F421" s="73">
        <v>89</v>
      </c>
      <c r="G421" s="28">
        <v>93</v>
      </c>
      <c r="H421" s="73">
        <v>182</v>
      </c>
      <c r="I421" s="4">
        <v>119809</v>
      </c>
      <c r="J421" s="73">
        <v>178</v>
      </c>
      <c r="K421" s="73">
        <v>1</v>
      </c>
      <c r="L421" s="73">
        <f t="shared" si="48"/>
        <v>114156</v>
      </c>
      <c r="M421" s="73">
        <f t="shared" si="49"/>
        <v>126</v>
      </c>
    </row>
    <row r="422" spans="1:13">
      <c r="A422" s="27">
        <v>46061</v>
      </c>
      <c r="B422" s="1" t="s">
        <v>95</v>
      </c>
      <c r="C422" s="71" t="s">
        <v>69</v>
      </c>
      <c r="D422" s="1" t="s">
        <v>42</v>
      </c>
      <c r="E422" s="1" t="s">
        <v>50</v>
      </c>
      <c r="F422" s="73">
        <v>269</v>
      </c>
      <c r="G422" s="28">
        <v>282</v>
      </c>
      <c r="H422" s="73">
        <v>551</v>
      </c>
      <c r="I422" s="4">
        <v>120360</v>
      </c>
      <c r="J422" s="73">
        <v>538</v>
      </c>
      <c r="K422" s="73">
        <v>1</v>
      </c>
      <c r="L422" s="73">
        <f t="shared" si="48"/>
        <v>114694</v>
      </c>
      <c r="M422" s="73">
        <f t="shared" si="49"/>
        <v>127</v>
      </c>
    </row>
    <row r="423" spans="1:13">
      <c r="A423" s="27">
        <v>46061</v>
      </c>
      <c r="B423" s="1" t="s">
        <v>161</v>
      </c>
      <c r="C423" s="71" t="s">
        <v>100</v>
      </c>
      <c r="D423" s="1" t="s">
        <v>42</v>
      </c>
      <c r="E423" s="1" t="s">
        <v>50</v>
      </c>
      <c r="F423" s="73">
        <v>492</v>
      </c>
      <c r="G423" s="28">
        <v>517</v>
      </c>
      <c r="H423" s="4">
        <v>1009</v>
      </c>
      <c r="I423" s="4">
        <v>121369</v>
      </c>
      <c r="J423" s="73">
        <v>984</v>
      </c>
      <c r="K423" s="73">
        <v>1</v>
      </c>
      <c r="L423" s="73">
        <f t="shared" si="48"/>
        <v>115678</v>
      </c>
      <c r="M423" s="73">
        <f t="shared" si="49"/>
        <v>128</v>
      </c>
    </row>
    <row r="424" spans="1:13">
      <c r="A424" s="27">
        <v>46061</v>
      </c>
      <c r="B424" s="74" t="s">
        <v>33</v>
      </c>
      <c r="C424" s="74"/>
      <c r="D424" s="74"/>
      <c r="E424" s="75"/>
      <c r="F424" s="73">
        <v>0</v>
      </c>
      <c r="G424" s="73">
        <v>20</v>
      </c>
      <c r="H424" s="73">
        <v>20</v>
      </c>
      <c r="I424" s="4">
        <v>121389</v>
      </c>
      <c r="J424" s="73">
        <v>0</v>
      </c>
      <c r="K424" s="73">
        <v>0</v>
      </c>
      <c r="L424" s="73">
        <f t="shared" si="48"/>
        <v>115678</v>
      </c>
      <c r="M424" s="73">
        <f t="shared" si="49"/>
        <v>128</v>
      </c>
    </row>
    <row r="425" spans="1:13">
      <c r="A425" s="27">
        <v>46062</v>
      </c>
      <c r="B425" s="1" t="s">
        <v>184</v>
      </c>
      <c r="C425" s="1" t="s">
        <v>61</v>
      </c>
      <c r="D425" s="1" t="s">
        <v>42</v>
      </c>
      <c r="E425" s="1" t="s">
        <v>43</v>
      </c>
      <c r="F425" s="73">
        <v>389</v>
      </c>
      <c r="G425" s="28">
        <v>458</v>
      </c>
      <c r="H425" s="73">
        <v>847</v>
      </c>
      <c r="I425" s="4">
        <v>122236</v>
      </c>
      <c r="J425" s="4">
        <v>1178</v>
      </c>
      <c r="K425" s="73">
        <v>1</v>
      </c>
      <c r="L425" s="73">
        <f t="shared" si="48"/>
        <v>116856</v>
      </c>
      <c r="M425" s="73">
        <f t="shared" si="49"/>
        <v>129</v>
      </c>
    </row>
    <row r="426" spans="1:13">
      <c r="A426" s="27">
        <v>46062</v>
      </c>
      <c r="B426" s="74" t="s">
        <v>33</v>
      </c>
      <c r="C426" s="74"/>
      <c r="D426" s="74"/>
      <c r="E426" s="75"/>
      <c r="F426" s="73">
        <v>0</v>
      </c>
      <c r="G426" s="73">
        <v>11</v>
      </c>
      <c r="H426" s="73">
        <v>11</v>
      </c>
      <c r="I426" s="4">
        <v>122247</v>
      </c>
      <c r="J426" s="73">
        <v>0</v>
      </c>
      <c r="K426" s="73">
        <v>0</v>
      </c>
      <c r="L426" s="73">
        <f t="shared" si="48"/>
        <v>116856</v>
      </c>
      <c r="M426" s="73">
        <f t="shared" si="49"/>
        <v>129</v>
      </c>
    </row>
    <row r="427" spans="1:13">
      <c r="A427" s="27">
        <v>46063</v>
      </c>
      <c r="B427" s="74" t="s">
        <v>65</v>
      </c>
      <c r="C427" s="74"/>
      <c r="D427" s="74"/>
      <c r="E427" s="75"/>
      <c r="F427" s="4">
        <v>4117</v>
      </c>
      <c r="G427" s="73">
        <v>0</v>
      </c>
      <c r="H427" s="4">
        <v>4117</v>
      </c>
      <c r="I427" s="4">
        <v>126364</v>
      </c>
      <c r="J427" s="73">
        <v>0</v>
      </c>
      <c r="K427" s="73">
        <v>0</v>
      </c>
      <c r="L427" s="73">
        <f t="shared" ref="L427:L439" si="50">J427+L426</f>
        <v>116856</v>
      </c>
      <c r="M427" s="73">
        <f t="shared" ref="M427:M439" si="51">K427+M426</f>
        <v>129</v>
      </c>
    </row>
    <row r="428" spans="1:13">
      <c r="A428" s="27">
        <v>46063</v>
      </c>
      <c r="B428" s="1" t="s">
        <v>185</v>
      </c>
      <c r="C428" s="1" t="s">
        <v>63</v>
      </c>
      <c r="D428" s="1" t="s">
        <v>42</v>
      </c>
      <c r="E428" s="1" t="s">
        <v>43</v>
      </c>
      <c r="F428" s="73">
        <v>389</v>
      </c>
      <c r="G428" s="28">
        <v>458</v>
      </c>
      <c r="H428" s="73">
        <v>847</v>
      </c>
      <c r="I428" s="4">
        <v>127211</v>
      </c>
      <c r="J428" s="4">
        <v>1178</v>
      </c>
      <c r="K428" s="73">
        <v>1</v>
      </c>
      <c r="L428" s="73">
        <f t="shared" si="50"/>
        <v>118034</v>
      </c>
      <c r="M428" s="73">
        <f t="shared" si="51"/>
        <v>130</v>
      </c>
    </row>
    <row r="429" spans="1:13">
      <c r="A429" s="27">
        <v>46063</v>
      </c>
      <c r="B429" s="1" t="s">
        <v>47</v>
      </c>
      <c r="C429" s="1" t="s">
        <v>13</v>
      </c>
      <c r="D429" s="1" t="s">
        <v>42</v>
      </c>
      <c r="E429" s="1" t="s">
        <v>50</v>
      </c>
      <c r="F429" s="73">
        <v>284</v>
      </c>
      <c r="G429" s="28">
        <v>298</v>
      </c>
      <c r="H429" s="73">
        <v>582</v>
      </c>
      <c r="I429" s="4">
        <v>127793</v>
      </c>
      <c r="J429" s="73">
        <v>568</v>
      </c>
      <c r="K429" s="73">
        <v>1</v>
      </c>
      <c r="L429" s="73">
        <f t="shared" si="50"/>
        <v>118602</v>
      </c>
      <c r="M429" s="73">
        <f t="shared" si="51"/>
        <v>131</v>
      </c>
    </row>
    <row r="430" spans="1:13">
      <c r="A430" s="27">
        <v>46063</v>
      </c>
      <c r="B430" s="74" t="s">
        <v>33</v>
      </c>
      <c r="C430" s="74"/>
      <c r="D430" s="74"/>
      <c r="E430" s="75"/>
      <c r="F430" s="73">
        <v>0</v>
      </c>
      <c r="G430" s="73">
        <v>8</v>
      </c>
      <c r="H430" s="73">
        <v>8</v>
      </c>
      <c r="I430" s="4">
        <v>127801</v>
      </c>
      <c r="J430" s="73">
        <v>0</v>
      </c>
      <c r="K430" s="73">
        <v>0</v>
      </c>
      <c r="L430" s="73">
        <f t="shared" si="50"/>
        <v>118602</v>
      </c>
      <c r="M430" s="73">
        <f t="shared" si="51"/>
        <v>131</v>
      </c>
    </row>
    <row r="431" spans="1:13">
      <c r="A431" s="27">
        <v>46064</v>
      </c>
      <c r="B431" s="1" t="s">
        <v>186</v>
      </c>
      <c r="C431" s="1" t="s">
        <v>87</v>
      </c>
      <c r="D431" s="1" t="s">
        <v>42</v>
      </c>
      <c r="E431" s="1" t="s">
        <v>50</v>
      </c>
      <c r="F431" s="73">
        <v>60</v>
      </c>
      <c r="G431" s="28">
        <v>113</v>
      </c>
      <c r="H431" s="73">
        <v>173</v>
      </c>
      <c r="I431" s="4">
        <v>127974</v>
      </c>
      <c r="J431" s="73">
        <v>320</v>
      </c>
      <c r="K431" s="73">
        <v>1</v>
      </c>
      <c r="L431" s="73">
        <f t="shared" si="50"/>
        <v>118922</v>
      </c>
      <c r="M431" s="73">
        <f t="shared" si="51"/>
        <v>132</v>
      </c>
    </row>
    <row r="432" spans="1:13">
      <c r="A432" s="27">
        <v>46064</v>
      </c>
      <c r="B432" s="1" t="s">
        <v>187</v>
      </c>
      <c r="C432" s="1" t="s">
        <v>188</v>
      </c>
      <c r="D432" s="1" t="s">
        <v>42</v>
      </c>
      <c r="E432" s="1" t="s">
        <v>50</v>
      </c>
      <c r="F432" s="73">
        <v>158</v>
      </c>
      <c r="G432" s="28">
        <v>166</v>
      </c>
      <c r="H432" s="73">
        <v>324</v>
      </c>
      <c r="I432" s="4">
        <v>128298</v>
      </c>
      <c r="J432" s="73">
        <v>316</v>
      </c>
      <c r="K432" s="73">
        <v>1</v>
      </c>
      <c r="L432" s="73">
        <f t="shared" si="50"/>
        <v>119238</v>
      </c>
      <c r="M432" s="73">
        <f t="shared" si="51"/>
        <v>133</v>
      </c>
    </row>
    <row r="433" spans="1:13">
      <c r="A433" s="27">
        <v>46064</v>
      </c>
      <c r="B433" s="1" t="s">
        <v>135</v>
      </c>
      <c r="C433" s="1" t="s">
        <v>136</v>
      </c>
      <c r="D433" s="1" t="s">
        <v>42</v>
      </c>
      <c r="E433" s="1" t="s">
        <v>50</v>
      </c>
      <c r="F433" s="73">
        <v>124</v>
      </c>
      <c r="G433" s="28">
        <v>130</v>
      </c>
      <c r="H433" s="73">
        <v>254</v>
      </c>
      <c r="I433" s="4">
        <v>128552</v>
      </c>
      <c r="J433" s="73">
        <v>248</v>
      </c>
      <c r="K433" s="73">
        <v>1</v>
      </c>
      <c r="L433" s="73">
        <f t="shared" si="50"/>
        <v>119486</v>
      </c>
      <c r="M433" s="73">
        <f t="shared" si="51"/>
        <v>134</v>
      </c>
    </row>
    <row r="434" spans="1:13">
      <c r="A434" s="27">
        <v>46064</v>
      </c>
      <c r="B434" s="1" t="s">
        <v>90</v>
      </c>
      <c r="C434" s="1" t="s">
        <v>91</v>
      </c>
      <c r="D434" s="1" t="s">
        <v>42</v>
      </c>
      <c r="E434" s="1" t="s">
        <v>50</v>
      </c>
      <c r="F434" s="73">
        <v>124</v>
      </c>
      <c r="G434" s="28">
        <v>130</v>
      </c>
      <c r="H434" s="73">
        <v>254</v>
      </c>
      <c r="I434" s="4">
        <v>128806</v>
      </c>
      <c r="J434" s="73">
        <v>248</v>
      </c>
      <c r="K434" s="73">
        <v>1</v>
      </c>
      <c r="L434" s="73">
        <f t="shared" si="50"/>
        <v>119734</v>
      </c>
      <c r="M434" s="73">
        <f t="shared" si="51"/>
        <v>135</v>
      </c>
    </row>
    <row r="435" spans="1:13">
      <c r="A435" s="27">
        <v>46064</v>
      </c>
      <c r="B435" s="1" t="s">
        <v>95</v>
      </c>
      <c r="C435" s="1" t="s">
        <v>69</v>
      </c>
      <c r="D435" s="1" t="s">
        <v>42</v>
      </c>
      <c r="E435" s="1" t="s">
        <v>50</v>
      </c>
      <c r="F435" s="73">
        <v>403</v>
      </c>
      <c r="G435" s="28">
        <v>473</v>
      </c>
      <c r="H435" s="73">
        <v>876</v>
      </c>
      <c r="I435" s="4">
        <v>129682</v>
      </c>
      <c r="J435" s="4">
        <v>1006</v>
      </c>
      <c r="K435" s="73">
        <v>1</v>
      </c>
      <c r="L435" s="73">
        <f t="shared" si="50"/>
        <v>120740</v>
      </c>
      <c r="M435" s="73">
        <f t="shared" si="51"/>
        <v>136</v>
      </c>
    </row>
    <row r="436" spans="1:13">
      <c r="A436" s="27">
        <v>46064</v>
      </c>
      <c r="B436" s="1" t="s">
        <v>189</v>
      </c>
      <c r="C436" s="1" t="s">
        <v>190</v>
      </c>
      <c r="D436" s="1" t="s">
        <v>42</v>
      </c>
      <c r="E436" s="1" t="s">
        <v>50</v>
      </c>
      <c r="F436" s="73">
        <v>612</v>
      </c>
      <c r="G436" s="28">
        <v>643</v>
      </c>
      <c r="H436" s="4">
        <v>1255</v>
      </c>
      <c r="I436" s="4">
        <v>130937</v>
      </c>
      <c r="J436" s="4">
        <v>1224</v>
      </c>
      <c r="K436" s="73">
        <v>1</v>
      </c>
      <c r="L436" s="73">
        <f t="shared" si="50"/>
        <v>121964</v>
      </c>
      <c r="M436" s="73">
        <f t="shared" si="51"/>
        <v>137</v>
      </c>
    </row>
    <row r="437" spans="1:13">
      <c r="A437" s="27">
        <v>46064</v>
      </c>
      <c r="B437" s="74" t="s">
        <v>33</v>
      </c>
      <c r="C437" s="74"/>
      <c r="D437" s="74"/>
      <c r="E437" s="75"/>
      <c r="F437" s="73">
        <v>0</v>
      </c>
      <c r="G437" s="73">
        <v>17</v>
      </c>
      <c r="H437" s="73">
        <v>17</v>
      </c>
      <c r="I437" s="4">
        <v>130954</v>
      </c>
      <c r="J437" s="73">
        <v>0</v>
      </c>
      <c r="K437" s="73">
        <v>0</v>
      </c>
      <c r="L437" s="73">
        <f t="shared" si="50"/>
        <v>121964</v>
      </c>
      <c r="M437" s="73">
        <f t="shared" si="51"/>
        <v>137</v>
      </c>
    </row>
    <row r="438" spans="1:13">
      <c r="A438" s="27">
        <v>46065</v>
      </c>
      <c r="B438" s="74" t="s">
        <v>33</v>
      </c>
      <c r="C438" s="74"/>
      <c r="D438" s="74"/>
      <c r="E438" s="75"/>
      <c r="F438" s="73">
        <v>0</v>
      </c>
      <c r="G438" s="73">
        <v>10</v>
      </c>
      <c r="H438" s="73">
        <v>10</v>
      </c>
      <c r="I438" s="4">
        <v>130964</v>
      </c>
      <c r="J438" s="73">
        <v>0</v>
      </c>
      <c r="K438" s="73">
        <v>0</v>
      </c>
      <c r="L438" s="73">
        <f t="shared" si="50"/>
        <v>121964</v>
      </c>
      <c r="M438" s="73">
        <f t="shared" si="51"/>
        <v>137</v>
      </c>
    </row>
    <row r="439" spans="1:13">
      <c r="A439" s="29">
        <v>46066</v>
      </c>
      <c r="B439" s="76" t="s">
        <v>33</v>
      </c>
      <c r="C439" s="76"/>
      <c r="D439" s="76"/>
      <c r="E439" s="77"/>
      <c r="F439" s="72">
        <v>0</v>
      </c>
      <c r="G439" s="72">
        <v>10</v>
      </c>
      <c r="H439" s="72">
        <v>10</v>
      </c>
      <c r="I439" s="30">
        <v>130974</v>
      </c>
      <c r="J439" s="72">
        <v>0</v>
      </c>
      <c r="K439" s="72">
        <v>0</v>
      </c>
      <c r="L439" s="73">
        <f t="shared" si="50"/>
        <v>121964</v>
      </c>
      <c r="M439" s="73">
        <f t="shared" si="51"/>
        <v>137</v>
      </c>
    </row>
    <row r="440" spans="1:13">
      <c r="A440" s="29">
        <v>46067</v>
      </c>
      <c r="B440" s="76" t="s">
        <v>33</v>
      </c>
      <c r="C440" s="76"/>
      <c r="D440" s="76"/>
      <c r="E440" s="77"/>
      <c r="F440" s="72">
        <v>0</v>
      </c>
      <c r="G440" s="72">
        <v>9</v>
      </c>
      <c r="H440" s="72">
        <v>9</v>
      </c>
      <c r="I440" s="30">
        <v>130986</v>
      </c>
      <c r="J440" s="72">
        <v>0</v>
      </c>
      <c r="K440" s="72">
        <v>0</v>
      </c>
      <c r="L440" s="73">
        <f t="shared" ref="L440:L441" si="52">J440+L439</f>
        <v>121964</v>
      </c>
      <c r="M440" s="73">
        <f t="shared" ref="M440:M441" si="53">K440+M439</f>
        <v>137</v>
      </c>
    </row>
    <row r="441" spans="1:13">
      <c r="A441" s="27">
        <v>46068</v>
      </c>
      <c r="B441" s="74" t="s">
        <v>33</v>
      </c>
      <c r="C441" s="74"/>
      <c r="D441" s="74"/>
      <c r="E441" s="75"/>
      <c r="F441" s="73">
        <v>0</v>
      </c>
      <c r="G441" s="73">
        <v>18</v>
      </c>
      <c r="H441" s="73">
        <v>18</v>
      </c>
      <c r="I441" s="4">
        <v>131138</v>
      </c>
      <c r="J441" s="73">
        <v>0</v>
      </c>
      <c r="K441" s="73">
        <v>0</v>
      </c>
      <c r="L441" s="73">
        <f t="shared" si="52"/>
        <v>121964</v>
      </c>
      <c r="M441" s="73">
        <f t="shared" si="53"/>
        <v>137</v>
      </c>
    </row>
    <row r="442" spans="1:13">
      <c r="A442" s="27">
        <v>46069</v>
      </c>
      <c r="B442" s="74" t="s">
        <v>33</v>
      </c>
      <c r="C442" s="74"/>
      <c r="D442" s="74"/>
      <c r="E442" s="75"/>
      <c r="F442" s="73">
        <v>0</v>
      </c>
      <c r="G442" s="73">
        <v>18</v>
      </c>
      <c r="H442" s="73">
        <v>18</v>
      </c>
      <c r="I442" s="4">
        <v>131156</v>
      </c>
      <c r="J442" s="73">
        <v>0</v>
      </c>
      <c r="K442" s="73">
        <v>0</v>
      </c>
      <c r="L442" s="73">
        <f t="shared" ref="L442:L457" si="54">J442+L441</f>
        <v>121964</v>
      </c>
      <c r="M442" s="73">
        <f t="shared" ref="M442:M457" si="55">K442+M441</f>
        <v>137</v>
      </c>
    </row>
    <row r="443" spans="1:13">
      <c r="A443" s="27">
        <v>46070</v>
      </c>
      <c r="B443" s="74" t="s">
        <v>33</v>
      </c>
      <c r="C443" s="74"/>
      <c r="D443" s="74"/>
      <c r="E443" s="75"/>
      <c r="F443" s="73">
        <v>0</v>
      </c>
      <c r="G443" s="73">
        <v>7</v>
      </c>
      <c r="H443" s="73">
        <v>7</v>
      </c>
      <c r="I443" s="4">
        <v>131163</v>
      </c>
      <c r="J443" s="73">
        <v>0</v>
      </c>
      <c r="K443" s="73">
        <v>0</v>
      </c>
      <c r="L443" s="73">
        <f t="shared" si="54"/>
        <v>121964</v>
      </c>
      <c r="M443" s="73">
        <f t="shared" si="55"/>
        <v>137</v>
      </c>
    </row>
    <row r="444" spans="1:13">
      <c r="A444" s="27">
        <v>46071</v>
      </c>
      <c r="B444" s="74" t="s">
        <v>33</v>
      </c>
      <c r="C444" s="74"/>
      <c r="D444" s="74"/>
      <c r="E444" s="75"/>
      <c r="F444" s="73">
        <v>0</v>
      </c>
      <c r="G444" s="73">
        <v>11</v>
      </c>
      <c r="H444" s="73">
        <v>11</v>
      </c>
      <c r="I444" s="4">
        <v>131174</v>
      </c>
      <c r="J444" s="73">
        <v>0</v>
      </c>
      <c r="K444" s="73">
        <v>0</v>
      </c>
      <c r="L444" s="73">
        <f t="shared" si="54"/>
        <v>121964</v>
      </c>
      <c r="M444" s="73">
        <f t="shared" si="55"/>
        <v>137</v>
      </c>
    </row>
    <row r="445" spans="1:13">
      <c r="A445" s="27">
        <v>46072</v>
      </c>
      <c r="B445" s="74" t="s">
        <v>33</v>
      </c>
      <c r="C445" s="74"/>
      <c r="D445" s="74"/>
      <c r="E445" s="75"/>
      <c r="F445" s="73">
        <v>0</v>
      </c>
      <c r="G445" s="73">
        <v>17</v>
      </c>
      <c r="H445" s="73">
        <v>17</v>
      </c>
      <c r="I445" s="4">
        <v>131191</v>
      </c>
      <c r="J445" s="73">
        <v>0</v>
      </c>
      <c r="K445" s="73">
        <v>0</v>
      </c>
      <c r="L445" s="73">
        <f t="shared" si="54"/>
        <v>121964</v>
      </c>
      <c r="M445" s="73">
        <f t="shared" si="55"/>
        <v>137</v>
      </c>
    </row>
    <row r="446" spans="1:13">
      <c r="A446" s="27">
        <v>46073</v>
      </c>
      <c r="B446" s="74" t="s">
        <v>33</v>
      </c>
      <c r="C446" s="74"/>
      <c r="D446" s="74"/>
      <c r="E446" s="75"/>
      <c r="F446" s="73">
        <v>0</v>
      </c>
      <c r="G446" s="73">
        <v>25</v>
      </c>
      <c r="H446" s="73">
        <v>25</v>
      </c>
      <c r="I446" s="4">
        <v>131216</v>
      </c>
      <c r="J446" s="73">
        <v>0</v>
      </c>
      <c r="K446" s="73">
        <v>0</v>
      </c>
      <c r="L446" s="73">
        <f t="shared" si="54"/>
        <v>121964</v>
      </c>
      <c r="M446" s="73">
        <f t="shared" si="55"/>
        <v>137</v>
      </c>
    </row>
    <row r="447" spans="1:13">
      <c r="A447" s="27">
        <v>46074</v>
      </c>
      <c r="B447" s="1" t="s">
        <v>191</v>
      </c>
      <c r="C447" s="1" t="s">
        <v>73</v>
      </c>
      <c r="D447" s="1" t="s">
        <v>42</v>
      </c>
      <c r="E447" s="1" t="s">
        <v>50</v>
      </c>
      <c r="F447" s="73">
        <v>98</v>
      </c>
      <c r="G447" s="28">
        <v>153</v>
      </c>
      <c r="H447" s="73">
        <v>251</v>
      </c>
      <c r="I447" s="4">
        <v>131467</v>
      </c>
      <c r="J447" s="73">
        <v>396</v>
      </c>
      <c r="K447" s="73">
        <v>1</v>
      </c>
      <c r="L447" s="73">
        <f t="shared" si="54"/>
        <v>122360</v>
      </c>
      <c r="M447" s="73">
        <f t="shared" si="55"/>
        <v>138</v>
      </c>
    </row>
    <row r="448" spans="1:13">
      <c r="A448" s="27">
        <v>46074</v>
      </c>
      <c r="B448" s="1" t="s">
        <v>192</v>
      </c>
      <c r="C448" s="1" t="s">
        <v>75</v>
      </c>
      <c r="D448" s="1" t="s">
        <v>42</v>
      </c>
      <c r="E448" s="1" t="s">
        <v>50</v>
      </c>
      <c r="F448" s="73">
        <v>98</v>
      </c>
      <c r="G448" s="28">
        <v>153</v>
      </c>
      <c r="H448" s="73">
        <v>251</v>
      </c>
      <c r="I448" s="4">
        <v>131718</v>
      </c>
      <c r="J448" s="73">
        <v>396</v>
      </c>
      <c r="K448" s="73">
        <v>1</v>
      </c>
      <c r="L448" s="73">
        <f t="shared" si="54"/>
        <v>122756</v>
      </c>
      <c r="M448" s="73">
        <f t="shared" si="55"/>
        <v>139</v>
      </c>
    </row>
    <row r="449" spans="1:13">
      <c r="A449" s="27">
        <v>46074</v>
      </c>
      <c r="B449" s="1" t="s">
        <v>193</v>
      </c>
      <c r="C449" s="1" t="s">
        <v>13</v>
      </c>
      <c r="D449" s="1" t="s">
        <v>42</v>
      </c>
      <c r="E449" s="1" t="s">
        <v>50</v>
      </c>
      <c r="F449" s="73">
        <v>425</v>
      </c>
      <c r="G449" s="28">
        <v>496</v>
      </c>
      <c r="H449" s="73">
        <v>921</v>
      </c>
      <c r="I449" s="4">
        <v>132639</v>
      </c>
      <c r="J449" s="4">
        <v>1050</v>
      </c>
      <c r="K449" s="73">
        <v>1</v>
      </c>
      <c r="L449" s="73">
        <f t="shared" si="54"/>
        <v>123806</v>
      </c>
      <c r="M449" s="73">
        <f t="shared" si="55"/>
        <v>140</v>
      </c>
    </row>
    <row r="450" spans="1:13">
      <c r="A450" s="27">
        <v>46074</v>
      </c>
      <c r="B450" s="74" t="s">
        <v>194</v>
      </c>
      <c r="C450" s="74"/>
      <c r="D450" s="74"/>
      <c r="E450" s="75"/>
      <c r="F450" s="73">
        <v>0</v>
      </c>
      <c r="G450" s="4">
        <v>3326</v>
      </c>
      <c r="H450" s="4">
        <v>3326</v>
      </c>
      <c r="I450" s="4">
        <v>135965</v>
      </c>
      <c r="J450" s="73">
        <v>0</v>
      </c>
      <c r="K450" s="73">
        <v>0</v>
      </c>
      <c r="L450" s="73">
        <f t="shared" si="54"/>
        <v>123806</v>
      </c>
      <c r="M450" s="73">
        <f t="shared" si="55"/>
        <v>140</v>
      </c>
    </row>
    <row r="451" spans="1:13">
      <c r="A451" s="27">
        <v>46074</v>
      </c>
      <c r="B451" s="74" t="s">
        <v>195</v>
      </c>
      <c r="C451" s="74"/>
      <c r="D451" s="74"/>
      <c r="E451" s="75"/>
      <c r="F451" s="73">
        <v>0</v>
      </c>
      <c r="G451" s="4">
        <v>3326</v>
      </c>
      <c r="H451" s="4">
        <v>3326</v>
      </c>
      <c r="I451" s="4">
        <v>139291</v>
      </c>
      <c r="J451" s="73">
        <v>0</v>
      </c>
      <c r="K451" s="73">
        <v>0</v>
      </c>
      <c r="L451" s="73">
        <f t="shared" si="54"/>
        <v>123806</v>
      </c>
      <c r="M451" s="73">
        <f t="shared" si="55"/>
        <v>140</v>
      </c>
    </row>
    <row r="452" spans="1:13">
      <c r="A452" s="27">
        <v>46074</v>
      </c>
      <c r="B452" s="74" t="s">
        <v>196</v>
      </c>
      <c r="C452" s="74"/>
      <c r="D452" s="74"/>
      <c r="E452" s="75"/>
      <c r="F452" s="73">
        <v>0</v>
      </c>
      <c r="G452" s="4">
        <v>8012</v>
      </c>
      <c r="H452" s="4">
        <v>8012</v>
      </c>
      <c r="I452" s="4">
        <v>147303</v>
      </c>
      <c r="J452" s="73">
        <v>0</v>
      </c>
      <c r="K452" s="73">
        <v>0</v>
      </c>
      <c r="L452" s="73">
        <f t="shared" si="54"/>
        <v>123806</v>
      </c>
      <c r="M452" s="73">
        <f t="shared" si="55"/>
        <v>140</v>
      </c>
    </row>
    <row r="453" spans="1:13">
      <c r="A453" s="27">
        <v>46074</v>
      </c>
      <c r="B453" s="74" t="s">
        <v>33</v>
      </c>
      <c r="C453" s="74"/>
      <c r="D453" s="74"/>
      <c r="E453" s="75"/>
      <c r="F453" s="73">
        <v>0</v>
      </c>
      <c r="G453" s="73">
        <v>8</v>
      </c>
      <c r="H453" s="73">
        <v>8</v>
      </c>
      <c r="I453" s="4">
        <v>147311</v>
      </c>
      <c r="J453" s="73">
        <v>0</v>
      </c>
      <c r="K453" s="73">
        <v>0</v>
      </c>
      <c r="L453" s="73">
        <f t="shared" si="54"/>
        <v>123806</v>
      </c>
      <c r="M453" s="73">
        <f t="shared" si="55"/>
        <v>140</v>
      </c>
    </row>
    <row r="454" spans="1:13">
      <c r="A454" s="27">
        <v>46074</v>
      </c>
      <c r="B454" s="74" t="s">
        <v>197</v>
      </c>
      <c r="C454" s="74"/>
      <c r="D454" s="74"/>
      <c r="E454" s="75"/>
      <c r="F454" s="4">
        <v>-70000</v>
      </c>
      <c r="G454" s="73">
        <v>0</v>
      </c>
      <c r="H454" s="4">
        <v>-70000</v>
      </c>
      <c r="I454" s="4">
        <v>77311</v>
      </c>
      <c r="J454" s="73">
        <v>0</v>
      </c>
      <c r="K454" s="73">
        <v>0</v>
      </c>
      <c r="L454" s="73">
        <f t="shared" si="54"/>
        <v>123806</v>
      </c>
      <c r="M454" s="73">
        <f t="shared" si="55"/>
        <v>140</v>
      </c>
    </row>
    <row r="455" spans="1:13">
      <c r="A455" s="27">
        <v>46075</v>
      </c>
      <c r="B455" s="74" t="s">
        <v>129</v>
      </c>
      <c r="C455" s="74"/>
      <c r="D455" s="74"/>
      <c r="E455" s="75"/>
      <c r="F455" s="73">
        <v>0</v>
      </c>
      <c r="G455" s="73">
        <v>34</v>
      </c>
      <c r="H455" s="73">
        <v>34</v>
      </c>
      <c r="I455" s="4">
        <v>77345</v>
      </c>
      <c r="J455" s="73">
        <v>0</v>
      </c>
      <c r="K455" s="73">
        <v>0</v>
      </c>
      <c r="L455" s="73">
        <f t="shared" si="54"/>
        <v>123806</v>
      </c>
      <c r="M455" s="73">
        <f t="shared" si="55"/>
        <v>140</v>
      </c>
    </row>
    <row r="456" spans="1:13">
      <c r="A456" s="27">
        <v>46075</v>
      </c>
      <c r="B456" s="74" t="s">
        <v>33</v>
      </c>
      <c r="C456" s="74"/>
      <c r="D456" s="74"/>
      <c r="E456" s="75"/>
      <c r="F456" s="73">
        <v>0</v>
      </c>
      <c r="G456" s="73">
        <v>30</v>
      </c>
      <c r="H456" s="73">
        <v>30</v>
      </c>
      <c r="I456" s="4">
        <v>77375</v>
      </c>
      <c r="J456" s="73">
        <v>0</v>
      </c>
      <c r="K456" s="73">
        <v>0</v>
      </c>
      <c r="L456" s="73">
        <f t="shared" si="54"/>
        <v>123806</v>
      </c>
      <c r="M456" s="73">
        <f t="shared" si="55"/>
        <v>140</v>
      </c>
    </row>
    <row r="457" spans="1:13">
      <c r="A457" s="27">
        <v>46076</v>
      </c>
      <c r="B457" s="74" t="s">
        <v>33</v>
      </c>
      <c r="C457" s="74"/>
      <c r="D457" s="74"/>
      <c r="E457" s="75"/>
      <c r="F457" s="73">
        <v>0</v>
      </c>
      <c r="G457" s="73">
        <v>24</v>
      </c>
      <c r="H457" s="73">
        <v>24</v>
      </c>
      <c r="I457" s="4">
        <v>80575</v>
      </c>
      <c r="J457" s="73">
        <v>0</v>
      </c>
      <c r="K457" s="73">
        <v>0</v>
      </c>
      <c r="L457" s="73">
        <f t="shared" si="54"/>
        <v>123806</v>
      </c>
      <c r="M457" s="73">
        <f t="shared" si="55"/>
        <v>140</v>
      </c>
    </row>
    <row r="458" spans="1:13">
      <c r="A458" s="27">
        <v>46077</v>
      </c>
      <c r="B458" s="74" t="s">
        <v>33</v>
      </c>
      <c r="C458" s="74"/>
      <c r="D458" s="74"/>
      <c r="E458" s="75"/>
      <c r="F458" s="73">
        <v>0</v>
      </c>
      <c r="G458" s="73">
        <v>10</v>
      </c>
      <c r="H458" s="73">
        <v>10</v>
      </c>
      <c r="I458" s="4">
        <v>80585</v>
      </c>
      <c r="J458" s="73">
        <v>0</v>
      </c>
      <c r="K458" s="73">
        <v>0</v>
      </c>
      <c r="L458" s="73">
        <f t="shared" ref="L458:L471" si="56">J458+L457</f>
        <v>123806</v>
      </c>
      <c r="M458" s="73">
        <f t="shared" ref="M458:M471" si="57">K458+M457</f>
        <v>140</v>
      </c>
    </row>
    <row r="459" spans="1:13">
      <c r="A459" s="27">
        <v>46078</v>
      </c>
      <c r="B459" s="1" t="s">
        <v>198</v>
      </c>
      <c r="C459" s="71" t="s">
        <v>138</v>
      </c>
      <c r="D459" s="1" t="s">
        <v>42</v>
      </c>
      <c r="E459" s="1" t="s">
        <v>50</v>
      </c>
      <c r="F459" s="73">
        <v>89</v>
      </c>
      <c r="G459" s="28">
        <v>93</v>
      </c>
      <c r="H459" s="73">
        <v>182</v>
      </c>
      <c r="I459" s="4">
        <v>80767</v>
      </c>
      <c r="J459" s="73">
        <v>178</v>
      </c>
      <c r="K459" s="73">
        <v>1</v>
      </c>
      <c r="L459" s="73">
        <f t="shared" si="56"/>
        <v>123984</v>
      </c>
      <c r="M459" s="73">
        <f t="shared" si="57"/>
        <v>141</v>
      </c>
    </row>
    <row r="460" spans="1:13">
      <c r="A460" s="27">
        <v>46078</v>
      </c>
      <c r="B460" s="1" t="s">
        <v>98</v>
      </c>
      <c r="C460" s="71" t="s">
        <v>93</v>
      </c>
      <c r="D460" s="1" t="s">
        <v>42</v>
      </c>
      <c r="E460" s="1" t="s">
        <v>50</v>
      </c>
      <c r="F460" s="73">
        <v>89</v>
      </c>
      <c r="G460" s="28">
        <v>93</v>
      </c>
      <c r="H460" s="73">
        <v>182</v>
      </c>
      <c r="I460" s="4">
        <v>80949</v>
      </c>
      <c r="J460" s="73">
        <v>178</v>
      </c>
      <c r="K460" s="73">
        <v>1</v>
      </c>
      <c r="L460" s="73">
        <f t="shared" si="56"/>
        <v>124162</v>
      </c>
      <c r="M460" s="73">
        <f t="shared" si="57"/>
        <v>142</v>
      </c>
    </row>
    <row r="461" spans="1:13">
      <c r="A461" s="27">
        <v>46078</v>
      </c>
      <c r="B461" s="1" t="s">
        <v>199</v>
      </c>
      <c r="C461" s="71" t="s">
        <v>69</v>
      </c>
      <c r="D461" s="1" t="s">
        <v>42</v>
      </c>
      <c r="E461" s="1" t="s">
        <v>50</v>
      </c>
      <c r="F461" s="73">
        <v>269</v>
      </c>
      <c r="G461" s="28">
        <v>282</v>
      </c>
      <c r="H461" s="73">
        <v>551</v>
      </c>
      <c r="I461" s="4">
        <v>81500</v>
      </c>
      <c r="J461" s="73">
        <v>538</v>
      </c>
      <c r="K461" s="73">
        <v>1</v>
      </c>
      <c r="L461" s="73">
        <f t="shared" si="56"/>
        <v>124700</v>
      </c>
      <c r="M461" s="73">
        <f t="shared" si="57"/>
        <v>143</v>
      </c>
    </row>
    <row r="462" spans="1:13" ht="22.5">
      <c r="A462" s="27">
        <v>46078</v>
      </c>
      <c r="B462" s="1" t="s">
        <v>169</v>
      </c>
      <c r="C462" s="71" t="s">
        <v>170</v>
      </c>
      <c r="D462" s="1" t="s">
        <v>42</v>
      </c>
      <c r="E462" s="1" t="s">
        <v>50</v>
      </c>
      <c r="F462" s="73">
        <v>94</v>
      </c>
      <c r="G462" s="28">
        <v>99</v>
      </c>
      <c r="H462" s="73">
        <v>193</v>
      </c>
      <c r="I462" s="4">
        <v>81693</v>
      </c>
      <c r="J462" s="73">
        <v>188</v>
      </c>
      <c r="K462" s="73">
        <v>1</v>
      </c>
      <c r="L462" s="73">
        <f t="shared" si="56"/>
        <v>124888</v>
      </c>
      <c r="M462" s="73">
        <f t="shared" si="57"/>
        <v>144</v>
      </c>
    </row>
    <row r="463" spans="1:13" ht="22.5">
      <c r="A463" s="27">
        <v>46078</v>
      </c>
      <c r="B463" s="1" t="s">
        <v>171</v>
      </c>
      <c r="C463" s="71" t="s">
        <v>172</v>
      </c>
      <c r="D463" s="1" t="s">
        <v>42</v>
      </c>
      <c r="E463" s="1" t="s">
        <v>50</v>
      </c>
      <c r="F463" s="73">
        <v>94</v>
      </c>
      <c r="G463" s="28">
        <v>99</v>
      </c>
      <c r="H463" s="73">
        <v>193</v>
      </c>
      <c r="I463" s="4">
        <v>81886</v>
      </c>
      <c r="J463" s="73">
        <v>188</v>
      </c>
      <c r="K463" s="73">
        <v>1</v>
      </c>
      <c r="L463" s="73">
        <f t="shared" si="56"/>
        <v>125076</v>
      </c>
      <c r="M463" s="73">
        <f t="shared" si="57"/>
        <v>145</v>
      </c>
    </row>
    <row r="464" spans="1:13">
      <c r="A464" s="27">
        <v>46078</v>
      </c>
      <c r="B464" s="1" t="s">
        <v>99</v>
      </c>
      <c r="C464" s="71" t="s">
        <v>100</v>
      </c>
      <c r="D464" s="1" t="s">
        <v>42</v>
      </c>
      <c r="E464" s="1" t="s">
        <v>50</v>
      </c>
      <c r="F464" s="73">
        <v>492</v>
      </c>
      <c r="G464" s="28">
        <v>517</v>
      </c>
      <c r="H464" s="4">
        <v>1009</v>
      </c>
      <c r="I464" s="4">
        <v>82895</v>
      </c>
      <c r="J464" s="73">
        <v>984</v>
      </c>
      <c r="K464" s="73">
        <v>1</v>
      </c>
      <c r="L464" s="73">
        <f t="shared" si="56"/>
        <v>126060</v>
      </c>
      <c r="M464" s="73">
        <f t="shared" si="57"/>
        <v>146</v>
      </c>
    </row>
    <row r="465" spans="1:13">
      <c r="A465" s="27">
        <v>46078</v>
      </c>
      <c r="B465" s="1" t="s">
        <v>173</v>
      </c>
      <c r="C465" s="71" t="s">
        <v>13</v>
      </c>
      <c r="D465" s="1" t="s">
        <v>42</v>
      </c>
      <c r="E465" s="1" t="s">
        <v>50</v>
      </c>
      <c r="F465" s="73">
        <v>284</v>
      </c>
      <c r="G465" s="28">
        <v>298</v>
      </c>
      <c r="H465" s="73">
        <v>582</v>
      </c>
      <c r="I465" s="4">
        <v>83477</v>
      </c>
      <c r="J465" s="73">
        <v>568</v>
      </c>
      <c r="K465" s="73">
        <v>1</v>
      </c>
      <c r="L465" s="73">
        <f t="shared" si="56"/>
        <v>126628</v>
      </c>
      <c r="M465" s="73">
        <f t="shared" si="57"/>
        <v>147</v>
      </c>
    </row>
    <row r="466" spans="1:13">
      <c r="A466" s="27">
        <v>46078</v>
      </c>
      <c r="B466" s="74" t="s">
        <v>33</v>
      </c>
      <c r="C466" s="74"/>
      <c r="D466" s="74"/>
      <c r="E466" s="75"/>
      <c r="F466" s="73">
        <v>0</v>
      </c>
      <c r="G466" s="73">
        <v>13</v>
      </c>
      <c r="H466" s="73">
        <v>13</v>
      </c>
      <c r="I466" s="4">
        <v>83490</v>
      </c>
      <c r="J466" s="73">
        <v>0</v>
      </c>
      <c r="K466" s="73">
        <v>0</v>
      </c>
      <c r="L466" s="73">
        <f t="shared" si="56"/>
        <v>126628</v>
      </c>
      <c r="M466" s="73">
        <f t="shared" si="57"/>
        <v>147</v>
      </c>
    </row>
    <row r="467" spans="1:13">
      <c r="A467" s="27">
        <v>46079</v>
      </c>
      <c r="B467" s="74" t="s">
        <v>33</v>
      </c>
      <c r="C467" s="74"/>
      <c r="D467" s="74"/>
      <c r="E467" s="75"/>
      <c r="F467" s="73">
        <v>0</v>
      </c>
      <c r="G467" s="73">
        <v>29</v>
      </c>
      <c r="H467" s="73">
        <v>29</v>
      </c>
      <c r="I467" s="4">
        <v>83519</v>
      </c>
      <c r="J467" s="73">
        <v>0</v>
      </c>
      <c r="K467" s="73">
        <v>0</v>
      </c>
      <c r="L467" s="73">
        <f t="shared" si="56"/>
        <v>126628</v>
      </c>
      <c r="M467" s="73">
        <f t="shared" si="57"/>
        <v>147</v>
      </c>
    </row>
    <row r="468" spans="1:13">
      <c r="A468" s="27">
        <v>46080</v>
      </c>
      <c r="B468" s="74" t="s">
        <v>33</v>
      </c>
      <c r="C468" s="74"/>
      <c r="D468" s="74"/>
      <c r="E468" s="75"/>
      <c r="F468" s="73">
        <v>0</v>
      </c>
      <c r="G468" s="73">
        <v>9</v>
      </c>
      <c r="H468" s="73">
        <v>9</v>
      </c>
      <c r="I468" s="4">
        <v>83528</v>
      </c>
      <c r="J468" s="73">
        <v>0</v>
      </c>
      <c r="K468" s="73">
        <v>0</v>
      </c>
      <c r="L468" s="73">
        <f t="shared" si="56"/>
        <v>126628</v>
      </c>
      <c r="M468" s="73">
        <f t="shared" si="57"/>
        <v>147</v>
      </c>
    </row>
    <row r="469" spans="1:13">
      <c r="A469" s="27">
        <v>46080</v>
      </c>
      <c r="B469" s="74" t="s">
        <v>197</v>
      </c>
      <c r="C469" s="74"/>
      <c r="D469" s="74"/>
      <c r="E469" s="75"/>
      <c r="F469" s="4">
        <v>-18000</v>
      </c>
      <c r="G469" s="73">
        <v>0</v>
      </c>
      <c r="H469" s="4">
        <v>-18000</v>
      </c>
      <c r="I469" s="4">
        <v>65528</v>
      </c>
      <c r="J469" s="73">
        <v>0</v>
      </c>
      <c r="K469" s="73">
        <v>0</v>
      </c>
      <c r="L469" s="73">
        <f t="shared" si="56"/>
        <v>126628</v>
      </c>
      <c r="M469" s="73">
        <f t="shared" si="57"/>
        <v>147</v>
      </c>
    </row>
    <row r="470" spans="1:13">
      <c r="A470" s="27">
        <v>46080</v>
      </c>
      <c r="B470" s="74" t="s">
        <v>197</v>
      </c>
      <c r="C470" s="74"/>
      <c r="D470" s="74"/>
      <c r="E470" s="75"/>
      <c r="F470" s="4">
        <v>-18000</v>
      </c>
      <c r="G470" s="73">
        <v>0</v>
      </c>
      <c r="H470" s="4">
        <v>-18000</v>
      </c>
      <c r="I470" s="4">
        <v>47528</v>
      </c>
      <c r="J470" s="73">
        <v>0</v>
      </c>
      <c r="K470" s="73">
        <v>0</v>
      </c>
      <c r="L470" s="73">
        <f t="shared" si="56"/>
        <v>126628</v>
      </c>
      <c r="M470" s="73">
        <f t="shared" si="57"/>
        <v>147</v>
      </c>
    </row>
    <row r="471" spans="1:13">
      <c r="A471" s="29">
        <v>46080</v>
      </c>
      <c r="B471" s="76" t="s">
        <v>197</v>
      </c>
      <c r="C471" s="76"/>
      <c r="D471" s="76"/>
      <c r="E471" s="77"/>
      <c r="F471" s="30">
        <v>-18000</v>
      </c>
      <c r="G471" s="72">
        <v>0</v>
      </c>
      <c r="H471" s="30">
        <v>-18000</v>
      </c>
      <c r="I471" s="30">
        <v>29528</v>
      </c>
      <c r="J471" s="72">
        <v>0</v>
      </c>
      <c r="K471" s="72">
        <v>0</v>
      </c>
      <c r="L471" s="73">
        <f t="shared" si="56"/>
        <v>126628</v>
      </c>
      <c r="M471" s="73">
        <f t="shared" si="57"/>
        <v>147</v>
      </c>
    </row>
  </sheetData>
  <mergeCells count="301">
    <mergeCell ref="B458:E458"/>
    <mergeCell ref="B466:E466"/>
    <mergeCell ref="B467:E467"/>
    <mergeCell ref="B468:E468"/>
    <mergeCell ref="B469:E469"/>
    <mergeCell ref="B470:E470"/>
    <mergeCell ref="B471:E471"/>
    <mergeCell ref="B440:E440"/>
    <mergeCell ref="B424:E424"/>
    <mergeCell ref="B426:E426"/>
    <mergeCell ref="B387:E387"/>
    <mergeCell ref="B389:E389"/>
    <mergeCell ref="B390:E390"/>
    <mergeCell ref="B392:E392"/>
    <mergeCell ref="B393:E393"/>
    <mergeCell ref="B394:E394"/>
    <mergeCell ref="B396:E396"/>
    <mergeCell ref="B398:E398"/>
    <mergeCell ref="B427:E427"/>
    <mergeCell ref="B430:E430"/>
    <mergeCell ref="B437:E437"/>
    <mergeCell ref="B438:E438"/>
    <mergeCell ref="B439:E439"/>
    <mergeCell ref="B399:E399"/>
    <mergeCell ref="B401:E401"/>
    <mergeCell ref="B408:E408"/>
    <mergeCell ref="B414:E414"/>
    <mergeCell ref="B371:E371"/>
    <mergeCell ref="B372:E372"/>
    <mergeCell ref="B373:E373"/>
    <mergeCell ref="B384:E384"/>
    <mergeCell ref="B386:E386"/>
    <mergeCell ref="B380:E380"/>
    <mergeCell ref="B381:E381"/>
    <mergeCell ref="B382:E382"/>
    <mergeCell ref="B383:E383"/>
    <mergeCell ref="B262:E262"/>
    <mergeCell ref="B264:E264"/>
    <mergeCell ref="B266:E266"/>
    <mergeCell ref="B276:E276"/>
    <mergeCell ref="B277:E277"/>
    <mergeCell ref="B278:E278"/>
    <mergeCell ref="B279:E279"/>
    <mergeCell ref="B238:E238"/>
    <mergeCell ref="B239:E239"/>
    <mergeCell ref="B240:E240"/>
    <mergeCell ref="B250:E250"/>
    <mergeCell ref="B251:E251"/>
    <mergeCell ref="B253:E253"/>
    <mergeCell ref="B255:E255"/>
    <mergeCell ref="B257:E257"/>
    <mergeCell ref="B259:E259"/>
    <mergeCell ref="B260:E260"/>
    <mergeCell ref="B261:E261"/>
    <mergeCell ref="B241:E241"/>
    <mergeCell ref="B242:E242"/>
    <mergeCell ref="B245:E245"/>
    <mergeCell ref="B247:E247"/>
    <mergeCell ref="B248:E248"/>
    <mergeCell ref="B229:E229"/>
    <mergeCell ref="B230:E230"/>
    <mergeCell ref="B231:E231"/>
    <mergeCell ref="B232:E232"/>
    <mergeCell ref="B233:E233"/>
    <mergeCell ref="B234:E234"/>
    <mergeCell ref="B235:E235"/>
    <mergeCell ref="B236:E236"/>
    <mergeCell ref="B237:E237"/>
    <mergeCell ref="B226:E226"/>
    <mergeCell ref="B227:E227"/>
    <mergeCell ref="B228:E228"/>
    <mergeCell ref="B218:E218"/>
    <mergeCell ref="B219:E219"/>
    <mergeCell ref="B220:E220"/>
    <mergeCell ref="B221:E221"/>
    <mergeCell ref="B222:E222"/>
    <mergeCell ref="B223:E223"/>
    <mergeCell ref="B198:E198"/>
    <mergeCell ref="B201:E201"/>
    <mergeCell ref="B202:E202"/>
    <mergeCell ref="B203:E203"/>
    <mergeCell ref="B204:E204"/>
    <mergeCell ref="B205:E205"/>
    <mergeCell ref="B206:E206"/>
    <mergeCell ref="B224:E224"/>
    <mergeCell ref="B225:E225"/>
    <mergeCell ref="B102:E102"/>
    <mergeCell ref="B94:E94"/>
    <mergeCell ref="B95:E95"/>
    <mergeCell ref="B96:E96"/>
    <mergeCell ref="B98:E98"/>
    <mergeCell ref="B100:E100"/>
    <mergeCell ref="B89:E89"/>
    <mergeCell ref="B90:E90"/>
    <mergeCell ref="B91:E91"/>
    <mergeCell ref="B92:E92"/>
    <mergeCell ref="B93:E93"/>
    <mergeCell ref="B103:E103"/>
    <mergeCell ref="B84:E84"/>
    <mergeCell ref="B85:E85"/>
    <mergeCell ref="B86:E86"/>
    <mergeCell ref="B87:E87"/>
    <mergeCell ref="B88:E88"/>
    <mergeCell ref="B10:E10"/>
    <mergeCell ref="B35:E35"/>
    <mergeCell ref="B36:E36"/>
    <mergeCell ref="B37:E37"/>
    <mergeCell ref="B53:E53"/>
    <mergeCell ref="B61:E61"/>
    <mergeCell ref="B62:E62"/>
    <mergeCell ref="B63:E63"/>
    <mergeCell ref="B65:E65"/>
    <mergeCell ref="B54:E54"/>
    <mergeCell ref="B55:E55"/>
    <mergeCell ref="B57:E57"/>
    <mergeCell ref="B58:E58"/>
    <mergeCell ref="B59:E59"/>
    <mergeCell ref="B81:E81"/>
    <mergeCell ref="B82:E82"/>
    <mergeCell ref="B83:E83"/>
    <mergeCell ref="B101:E101"/>
    <mergeCell ref="B78:E78"/>
    <mergeCell ref="B40:E40"/>
    <mergeCell ref="B41:E41"/>
    <mergeCell ref="B42:E42"/>
    <mergeCell ref="B43:E43"/>
    <mergeCell ref="B44:E44"/>
    <mergeCell ref="B29:E29"/>
    <mergeCell ref="B30:E30"/>
    <mergeCell ref="B31:E31"/>
    <mergeCell ref="B32:E32"/>
    <mergeCell ref="B33:E33"/>
    <mergeCell ref="B34:E34"/>
    <mergeCell ref="B60:E60"/>
    <mergeCell ref="B38:E38"/>
    <mergeCell ref="B49:E49"/>
    <mergeCell ref="B50:E50"/>
    <mergeCell ref="B51:E51"/>
    <mergeCell ref="B52:E52"/>
    <mergeCell ref="B47:E47"/>
    <mergeCell ref="B48:E48"/>
    <mergeCell ref="B45:E45"/>
    <mergeCell ref="B46:E46"/>
    <mergeCell ref="B39:E39"/>
    <mergeCell ref="B71:E71"/>
    <mergeCell ref="B72:E72"/>
    <mergeCell ref="B74:E74"/>
    <mergeCell ref="B76:E76"/>
    <mergeCell ref="B77:E77"/>
    <mergeCell ref="B66:E66"/>
    <mergeCell ref="B67:E67"/>
    <mergeCell ref="B68:E68"/>
    <mergeCell ref="B69:E69"/>
    <mergeCell ref="B70:E70"/>
    <mergeCell ref="B104:E104"/>
    <mergeCell ref="B105:E105"/>
    <mergeCell ref="B106:E106"/>
    <mergeCell ref="B107:E107"/>
    <mergeCell ref="B108:E108"/>
    <mergeCell ref="B109:E109"/>
    <mergeCell ref="B110:E110"/>
    <mergeCell ref="B111:E111"/>
    <mergeCell ref="B145:E145"/>
    <mergeCell ref="B135:E135"/>
    <mergeCell ref="B122:E122"/>
    <mergeCell ref="B123:E123"/>
    <mergeCell ref="B124:E124"/>
    <mergeCell ref="B125:E125"/>
    <mergeCell ref="B126:E126"/>
    <mergeCell ref="B146:E146"/>
    <mergeCell ref="B112:E112"/>
    <mergeCell ref="B120:E120"/>
    <mergeCell ref="B121:E121"/>
    <mergeCell ref="B114:E114"/>
    <mergeCell ref="B115:E115"/>
    <mergeCell ref="B117:E117"/>
    <mergeCell ref="B118:E118"/>
    <mergeCell ref="B119:E119"/>
    <mergeCell ref="B127:E127"/>
    <mergeCell ref="B142:E142"/>
    <mergeCell ref="B143:E143"/>
    <mergeCell ref="B144:E144"/>
    <mergeCell ref="B137:E137"/>
    <mergeCell ref="B138:E138"/>
    <mergeCell ref="B139:E139"/>
    <mergeCell ref="B140:E140"/>
    <mergeCell ref="B141:E141"/>
    <mergeCell ref="B128:E128"/>
    <mergeCell ref="B129:E129"/>
    <mergeCell ref="B130:E130"/>
    <mergeCell ref="B131:E131"/>
    <mergeCell ref="B132:E132"/>
    <mergeCell ref="B134:E134"/>
    <mergeCell ref="B147:E147"/>
    <mergeCell ref="B148:E148"/>
    <mergeCell ref="B149:E149"/>
    <mergeCell ref="B157:E157"/>
    <mergeCell ref="B167:E167"/>
    <mergeCell ref="B168:E168"/>
    <mergeCell ref="B169:E169"/>
    <mergeCell ref="B170:E170"/>
    <mergeCell ref="B171:E171"/>
    <mergeCell ref="B172:E172"/>
    <mergeCell ref="B174:E174"/>
    <mergeCell ref="B175:E175"/>
    <mergeCell ref="B176:E176"/>
    <mergeCell ref="B178:E178"/>
    <mergeCell ref="B179:E179"/>
    <mergeCell ref="B187:E187"/>
    <mergeCell ref="B188:E188"/>
    <mergeCell ref="B217:E217"/>
    <mergeCell ref="B207:E207"/>
    <mergeCell ref="B209:E209"/>
    <mergeCell ref="B210:E210"/>
    <mergeCell ref="B212:E212"/>
    <mergeCell ref="B214:E214"/>
    <mergeCell ref="B215:E215"/>
    <mergeCell ref="B216:E216"/>
    <mergeCell ref="B189:E189"/>
    <mergeCell ref="B190:E190"/>
    <mergeCell ref="B191:E191"/>
    <mergeCell ref="B193:E193"/>
    <mergeCell ref="B194:E194"/>
    <mergeCell ref="B195:E195"/>
    <mergeCell ref="B196:E196"/>
    <mergeCell ref="B197:E197"/>
    <mergeCell ref="B280:E280"/>
    <mergeCell ref="B281:E281"/>
    <mergeCell ref="B282:E282"/>
    <mergeCell ref="B283:E283"/>
    <mergeCell ref="B284:E284"/>
    <mergeCell ref="B285:E285"/>
    <mergeCell ref="B286:E286"/>
    <mergeCell ref="B287:E287"/>
    <mergeCell ref="B288:E288"/>
    <mergeCell ref="B289:E289"/>
    <mergeCell ref="B290:E290"/>
    <mergeCell ref="B291:E291"/>
    <mergeCell ref="B292:E292"/>
    <mergeCell ref="B293:E293"/>
    <mergeCell ref="B294:E294"/>
    <mergeCell ref="B295:E295"/>
    <mergeCell ref="B296:E296"/>
    <mergeCell ref="B297:E297"/>
    <mergeCell ref="B299:E299"/>
    <mergeCell ref="B300:E300"/>
    <mergeCell ref="B301:E301"/>
    <mergeCell ref="B302:E302"/>
    <mergeCell ref="B314:E314"/>
    <mergeCell ref="B315:E315"/>
    <mergeCell ref="B316:E316"/>
    <mergeCell ref="B317:E317"/>
    <mergeCell ref="B318:E318"/>
    <mergeCell ref="B319:E319"/>
    <mergeCell ref="B303:E303"/>
    <mergeCell ref="B304:E304"/>
    <mergeCell ref="B306:E306"/>
    <mergeCell ref="B307:E307"/>
    <mergeCell ref="B308:E308"/>
    <mergeCell ref="B309:E309"/>
    <mergeCell ref="B311:E311"/>
    <mergeCell ref="B312:E312"/>
    <mergeCell ref="B313:E313"/>
    <mergeCell ref="B320:E320"/>
    <mergeCell ref="B321:E321"/>
    <mergeCell ref="B322:E322"/>
    <mergeCell ref="B323:E323"/>
    <mergeCell ref="B324:E324"/>
    <mergeCell ref="B326:E326"/>
    <mergeCell ref="B327:E327"/>
    <mergeCell ref="B328:E328"/>
    <mergeCell ref="B331:E331"/>
    <mergeCell ref="B332:E332"/>
    <mergeCell ref="B341:E341"/>
    <mergeCell ref="B356:E356"/>
    <mergeCell ref="B357:E357"/>
    <mergeCell ref="B358:E358"/>
    <mergeCell ref="B359:E359"/>
    <mergeCell ref="B346:E346"/>
    <mergeCell ref="B367:E367"/>
    <mergeCell ref="B370:E370"/>
    <mergeCell ref="B360:E360"/>
    <mergeCell ref="B362:E362"/>
    <mergeCell ref="B364:E364"/>
    <mergeCell ref="B365:E365"/>
    <mergeCell ref="B366:E366"/>
    <mergeCell ref="B355:E355"/>
    <mergeCell ref="B453:E453"/>
    <mergeCell ref="B454:E454"/>
    <mergeCell ref="B455:E455"/>
    <mergeCell ref="B456:E456"/>
    <mergeCell ref="B457:E457"/>
    <mergeCell ref="B441:E441"/>
    <mergeCell ref="B442:E442"/>
    <mergeCell ref="B443:E443"/>
    <mergeCell ref="B444:E444"/>
    <mergeCell ref="B445:E445"/>
    <mergeCell ref="B446:E446"/>
    <mergeCell ref="B450:E450"/>
    <mergeCell ref="B451:E451"/>
    <mergeCell ref="B452:E452"/>
  </mergeCells>
  <hyperlinks>
    <hyperlink ref="G56" r:id="rId1" display="106" xr:uid="{91711D96-DEE6-4487-B096-595B3971FA7B}"/>
    <hyperlink ref="G64" r:id="rId2" display="106" xr:uid="{8CA565ED-0165-48C7-8BAE-3121CEB5A7F5}"/>
    <hyperlink ref="G73" r:id="rId3" display="40" xr:uid="{AECEEDB4-81AE-4ADA-81BA-00CA7581EB0D}"/>
    <hyperlink ref="G75" r:id="rId4" display="40" xr:uid="{19A80D7D-AE10-43E9-BDDD-5188668121C3}"/>
    <hyperlink ref="G79" r:id="rId5" display="77" xr:uid="{4A351DE3-C4CA-4AD9-A752-D39ADDBBC2F2}"/>
    <hyperlink ref="G80" r:id="rId6" display="77" xr:uid="{5DF3388F-CED7-4CA3-A15C-E54C6D65C046}"/>
    <hyperlink ref="G97" r:id="rId7" display="147" xr:uid="{B62C7FFB-ADCA-42C6-8629-D34744194B7C}"/>
    <hyperlink ref="G99" r:id="rId8" display="147" xr:uid="{2F86217E-A052-44CC-B504-E706D2FCA098}"/>
    <hyperlink ref="G113" r:id="rId9" display="206" xr:uid="{4C427091-B276-432D-B8A9-C411A7B7408F}"/>
    <hyperlink ref="G116" r:id="rId10" display="206" xr:uid="{3197CE0D-F3FE-4C17-889E-66CC4A0EFFC1}"/>
    <hyperlink ref="G133" r:id="rId11" display="206" xr:uid="{8E2FFB28-4372-4988-9BB4-6ED14EA26290}"/>
    <hyperlink ref="G136" r:id="rId12" display="206" xr:uid="{E2DDC3E7-3ACA-4D37-B93D-40EDE52ABB00}"/>
    <hyperlink ref="G150" r:id="rId13" display="151" xr:uid="{4FAE6D5F-10F7-43CA-ADB8-295607AA184A}"/>
    <hyperlink ref="G151" r:id="rId14" display="151" xr:uid="{9345CA52-7FFF-4C87-9AF3-48CE8BEAFE9F}"/>
    <hyperlink ref="G152" r:id="rId15" display="75" xr:uid="{778822BC-4363-45F6-ABB5-745B72E79E17}"/>
    <hyperlink ref="G153" r:id="rId16" display="75" xr:uid="{B380A19E-DA49-4B1D-9B0D-9672E167DF4E}"/>
    <hyperlink ref="G154" r:id="rId17" display="96" xr:uid="{BBA2E5DA-D3D5-4FE9-A8A4-FA086A02FC91}"/>
    <hyperlink ref="G155" r:id="rId18" display="96" xr:uid="{B140135B-01CA-414A-B749-EFB31E457C03}"/>
    <hyperlink ref="G156" r:id="rId19" display="156" xr:uid="{6835806D-5037-460B-A5A9-F1A1932304D3}"/>
    <hyperlink ref="G158" r:id="rId20" display="57" xr:uid="{E103B7B1-B8DA-4720-9C86-E989834BCE94}"/>
    <hyperlink ref="G159" r:id="rId21" display="57" xr:uid="{6DF4FDA7-D090-4A8B-8396-2ABDBC6F5A90}"/>
    <hyperlink ref="G160" r:id="rId22" display="64" xr:uid="{ECD95636-D13A-4F60-A420-0A87EEA93FBD}"/>
    <hyperlink ref="G161" r:id="rId23" display="65" xr:uid="{11B4BCF2-3873-439E-AA29-EBDCD5E32CEA}"/>
    <hyperlink ref="G162" r:id="rId24" display="65" xr:uid="{9F309762-3D3D-40BC-9B2E-4BFE73479742}"/>
    <hyperlink ref="G163" r:id="rId25" display="96" xr:uid="{6444E571-EA34-4409-BF1A-0619A15BD78A}"/>
    <hyperlink ref="G164" r:id="rId26" display="83" xr:uid="{7F18512C-C205-466C-AC76-D7A84D0AE93B}"/>
    <hyperlink ref="G165" r:id="rId27" display="151" xr:uid="{46DFA96C-83AE-411D-8BC9-330737121FF8}"/>
    <hyperlink ref="G166" r:id="rId28" display="151" xr:uid="{8232C7F6-CF7F-429F-9004-C2B66EA6552F}"/>
    <hyperlink ref="G173" r:id="rId29" display="264" xr:uid="{C8516692-06E0-4CFE-98D1-283E91BE32E4}"/>
    <hyperlink ref="G177" r:id="rId30" display="284" xr:uid="{0F16AB5C-158F-460E-B0DF-E0DA6075F322}"/>
    <hyperlink ref="G180" r:id="rId31" display="80" xr:uid="{4D9C7131-99CC-4394-9D71-AB1814B20E48}"/>
    <hyperlink ref="G181" r:id="rId32" display="83" xr:uid="{66A41897-4932-4E6C-B0BF-D75066401D29}"/>
    <hyperlink ref="G182" r:id="rId33" display="83" xr:uid="{97F15A5B-EC62-445C-BD2C-0BAE2E037557}"/>
    <hyperlink ref="G183" r:id="rId34" display="152" xr:uid="{EAEB4C72-13F1-4B90-8CC7-4EC1ACCEAB99}"/>
    <hyperlink ref="G184" r:id="rId35" display="123" xr:uid="{61AE1761-FD5C-4777-B75D-32EFFA8B5F5A}"/>
    <hyperlink ref="G185" r:id="rId36" display="272" xr:uid="{4717CB2F-E31C-48C7-8600-C8588E4D0222}"/>
    <hyperlink ref="G186" r:id="rId37" display="456" xr:uid="{02A5B28A-5FB2-4F8F-A53A-E5DB5CF9600F}"/>
    <hyperlink ref="G192" r:id="rId38" display="705" xr:uid="{FEBF7082-D92F-4349-B6EE-ED9B83BA2F0B}"/>
    <hyperlink ref="G208" r:id="rId39" display="373" xr:uid="{4D819A5F-5EB0-463A-BF72-242D70FE1D2E}"/>
    <hyperlink ref="G211" r:id="rId40" display="188" xr:uid="{0E7DD8CA-CC68-4E39-A028-BD307505BD49}"/>
    <hyperlink ref="G213" r:id="rId41" display="705" xr:uid="{A1A00FD2-02D2-47DC-8BFB-80A72099129E}"/>
    <hyperlink ref="G246" r:id="rId42" display="528" xr:uid="{EA8CA386-5D7A-4A49-8767-F139351B75CA}"/>
    <hyperlink ref="G249" r:id="rId43" display="528" xr:uid="{369416B9-B0EA-436E-A3C3-2E5C2407053C}"/>
    <hyperlink ref="G252" r:id="rId44" display="496" xr:uid="{EE96E9C8-1E5C-4ABB-B40C-FC9CFBD3BD23}"/>
    <hyperlink ref="G254" r:id="rId45" display="705" xr:uid="{70598C68-EB1D-4F8F-BDAF-7E7A6820BF7F}"/>
    <hyperlink ref="G256" r:id="rId46" display="294" xr:uid="{CDDFDA60-7962-4673-9FE1-51F396296C13}"/>
    <hyperlink ref="G258" r:id="rId47" display="294" xr:uid="{9A06B80B-898B-43C7-A16A-5ED9627DDA43}"/>
    <hyperlink ref="G263" r:id="rId48" display="496" xr:uid="{AC6BC4D2-41E3-4067-8923-87A526EF4328}"/>
    <hyperlink ref="G265" r:id="rId49" display="496" xr:uid="{5360CEB3-D648-4928-B61B-72692948EF8E}"/>
    <hyperlink ref="G267" r:id="rId50" display="21" xr:uid="{DF2FD9CD-4D1E-4039-8FEE-CF782B2BE101}"/>
    <hyperlink ref="G268" r:id="rId51" display="21" xr:uid="{1F9224C0-C5CB-445A-A1DF-FB66C8E4DFF6}"/>
    <hyperlink ref="G269" r:id="rId52" display="96" xr:uid="{D98C62A7-C627-489F-BEBF-95BF99EDED33}"/>
    <hyperlink ref="G270" r:id="rId53" display="32" xr:uid="{9CEAF3E6-54B0-4ED3-B31B-432ABCA970C4}"/>
    <hyperlink ref="G271" r:id="rId54" display="38" xr:uid="{6E2F5870-3BB0-4908-93E5-65CC2510CB40}"/>
    <hyperlink ref="G272" r:id="rId55" display="130" xr:uid="{60065F0A-ED39-424C-9885-56CDECCAF388}"/>
    <hyperlink ref="G273" r:id="rId56" display="93" xr:uid="{D68651ED-DEE1-4FB0-B90E-1B555289FE16}"/>
    <hyperlink ref="G274" r:id="rId57" display="517" xr:uid="{B14D4EE0-CD4D-448A-B24D-E9C4B05478D9}"/>
    <hyperlink ref="G275" r:id="rId58" display="517" xr:uid="{C54620FA-4D5F-4A6D-B5A7-A226D2CADD89}"/>
    <hyperlink ref="G298" r:id="rId59" display="825" xr:uid="{83506C4A-1CEC-4EE8-9A7A-A32424795B09}"/>
    <hyperlink ref="G305" r:id="rId60" display="496" xr:uid="{CE1EC726-F747-4176-9FAA-CCC924835C53}"/>
    <hyperlink ref="G310" r:id="rId61" display="496" xr:uid="{612BA483-DA23-4BD4-A82A-D474FD75E4A1}"/>
    <hyperlink ref="G325" r:id="rId62" display="462" xr:uid="{FCFC1091-5EDC-4DF5-9C90-0460662F3FA3}"/>
    <hyperlink ref="G329" r:id="rId63" display="298" xr:uid="{F0E45CC2-4156-4273-8EB1-DC3BDF4AFB63}"/>
    <hyperlink ref="G330" r:id="rId64" display="462" xr:uid="{EDCCCF19-F232-4698-A46B-C6819AB8C2A8}"/>
    <hyperlink ref="G333" r:id="rId65" display="130" xr:uid="{2833A82D-8B3F-4246-B210-26EAFC2F92C9}"/>
    <hyperlink ref="G334" r:id="rId66" display="130" xr:uid="{CDC147C2-A450-41AA-BA2D-E67CB864F1F5}"/>
    <hyperlink ref="G335" r:id="rId67" display="190" xr:uid="{1DFB2F0E-F4A1-4A5A-AA09-28CAD3FF085A}"/>
    <hyperlink ref="G336" r:id="rId68" display="93" xr:uid="{B2B7489E-9426-4135-9933-A3BE416C1D65}"/>
    <hyperlink ref="G337" r:id="rId69" display="32" xr:uid="{1C958404-6817-4A74-8B79-63CD0AD49058}"/>
    <hyperlink ref="G338" r:id="rId70" display="32" xr:uid="{B07F1054-6988-4F7A-80C9-F32CE554EC75}"/>
    <hyperlink ref="G339" r:id="rId71" display="282" xr:uid="{3F2206CC-33D7-47FA-A15E-0AF47A4D4D12}"/>
    <hyperlink ref="G340" r:id="rId72" display="826" xr:uid="{50F332D3-ABE9-4D06-909F-E166B5834278}"/>
    <hyperlink ref="G342" r:id="rId73" display="66" xr:uid="{BF18FF5F-0CBA-454A-8871-38128355A52B}"/>
    <hyperlink ref="G343" r:id="rId74" display="66" xr:uid="{9CE7613A-F029-47B1-A14F-4D8076FBD551}"/>
    <hyperlink ref="G344" r:id="rId75" display="153" xr:uid="{F5BD1B42-242B-4A1E-A03A-D90BE712E48E}"/>
    <hyperlink ref="G345" r:id="rId76" display="153" xr:uid="{7EC9F8B9-3822-4B64-8692-E28797ECE244}"/>
    <hyperlink ref="G347" r:id="rId77" display="32" xr:uid="{96D04083-4925-4140-A149-B7657BC2D125}"/>
    <hyperlink ref="G348" r:id="rId78" display="96" xr:uid="{8E6022E4-7B5B-4993-81C7-6F351AA9ED32}"/>
    <hyperlink ref="G349" r:id="rId79" display="39" xr:uid="{B2BFEA9F-CA10-47DD-AAE0-506717654464}"/>
    <hyperlink ref="G350" r:id="rId80" display="39" xr:uid="{87A96518-5AAE-416E-8945-DAE692907F84}"/>
    <hyperlink ref="G351" r:id="rId81" display="130" xr:uid="{799D5A4F-A372-4CBF-96C7-F845EA08B93B}"/>
    <hyperlink ref="G352" r:id="rId82" display="130" xr:uid="{189C2C5D-2FE1-4EC3-AB4B-DF09736B16DF}"/>
    <hyperlink ref="G353" r:id="rId83" display="282" xr:uid="{E8C83F92-1A34-4A8B-9473-F1EB89B9B47F}"/>
    <hyperlink ref="G354" r:id="rId84" display="517" xr:uid="{10E5D9AF-6293-495B-96FA-4A778C9662FB}"/>
    <hyperlink ref="G361" r:id="rId85" display="294" xr:uid="{CED30346-5FD9-4636-9527-FDE3C4E68EC1}"/>
    <hyperlink ref="G363" r:id="rId86" display="294" xr:uid="{B2446DA2-22B9-4971-BAF1-D11D82C91345}"/>
    <hyperlink ref="G368" r:id="rId87" display="705" xr:uid="{514EE229-7928-4872-9D12-495AF1767B7B}"/>
    <hyperlink ref="G369" r:id="rId88" display="705" xr:uid="{E8218822-BCA8-4F26-A683-B0ED923D72FC}"/>
    <hyperlink ref="G374" r:id="rId89" display="119" xr:uid="{91E58635-971E-480D-9321-24DC83443863}"/>
    <hyperlink ref="G375" r:id="rId90" display="119" xr:uid="{F06861C8-074E-4990-9924-019783AE0109}"/>
    <hyperlink ref="G376" r:id="rId91" display="93" xr:uid="{8FE0E60A-89AC-4903-A028-EF9204D0BEC4}"/>
    <hyperlink ref="G377" r:id="rId92" display="93" xr:uid="{F2298C16-D800-4326-83CF-7ED6B35DAF38}"/>
    <hyperlink ref="G378" r:id="rId93" display="517" xr:uid="{36BFE522-E7B5-4E7D-9F2F-1A2264820DA8}"/>
    <hyperlink ref="G379" r:id="rId94" display="517" xr:uid="{854583B8-0A76-440E-AD32-83CC93E6E78C}"/>
    <hyperlink ref="G385" r:id="rId95" display="1,186" xr:uid="{9AE767C8-9C93-44F0-B3E2-E89305E2B15E}"/>
    <hyperlink ref="G388" r:id="rId96" display="1,186" xr:uid="{EFEBAA8E-4A5E-4EDC-B0C8-726A9D475F6E}"/>
    <hyperlink ref="G391" r:id="rId97" display="825" xr:uid="{8AF277AB-6113-4E57-90B6-EFBDD72B125B}"/>
    <hyperlink ref="G395" r:id="rId98" display="825" xr:uid="{732768B5-9A9B-4613-9EA4-6772FFE5F3DE}"/>
    <hyperlink ref="G397" r:id="rId99" display="825" xr:uid="{40E8C94E-FF97-47E9-8040-518B35063F06}"/>
    <hyperlink ref="G400" r:id="rId100" display="1,186" xr:uid="{3E4A6D90-91F5-435E-8AAF-CC53E57A3888}"/>
    <hyperlink ref="G402" r:id="rId101" display="282" xr:uid="{3BBC7678-F83A-474C-8E25-6F46FD2CF3DF}"/>
    <hyperlink ref="G403" r:id="rId102" display="153" xr:uid="{4E64492B-8F6D-4164-8D06-1A1283108ABD}"/>
    <hyperlink ref="G404" r:id="rId103" display="153" xr:uid="{8F99EF51-F94B-4F96-9C9D-D0568526B235}"/>
    <hyperlink ref="G405" r:id="rId104" display="99" xr:uid="{C6E78C3F-9781-421F-ACFB-004781FD3274}"/>
    <hyperlink ref="G406" r:id="rId105" display="99" xr:uid="{7E5F2EB3-4316-4535-A67B-B0998B758C9E}"/>
    <hyperlink ref="G407" r:id="rId106" display="298" xr:uid="{060D29D1-1046-4872-B7DB-F486683D0B07}"/>
    <hyperlink ref="G409" r:id="rId107" display="96" xr:uid="{7B656458-A8DE-4D97-9CA3-D672B352F06B}"/>
    <hyperlink ref="G410" r:id="rId108" display="32" xr:uid="{8B95C747-954F-4779-AFA8-97EAE50A6244}"/>
    <hyperlink ref="G411" r:id="rId109" display="93" xr:uid="{D0F6B47F-35CC-4EE2-BF57-1E915BD3D824}"/>
    <hyperlink ref="G412" r:id="rId110" display="93" xr:uid="{D0EFBE14-B6DE-453F-B217-9D0D62EA9351}"/>
    <hyperlink ref="G413" r:id="rId111" display="282" xr:uid="{D6CF0B73-ED04-446B-9AD8-F9E3FA6AE9E7}"/>
    <hyperlink ref="G415" r:id="rId112" display="96" xr:uid="{CAA5C44D-1648-4E7A-9BDB-54BFCD37417F}"/>
    <hyperlink ref="G416" r:id="rId113" display="32" xr:uid="{AF4C4E5E-4BB8-48E6-BE8A-3A58DE4F7623}"/>
    <hyperlink ref="G417" r:id="rId114" display="42" xr:uid="{A3A2572A-711B-48A0-889F-4AE07B6E7635}"/>
    <hyperlink ref="G418" r:id="rId115" display="166" xr:uid="{33D414C9-ECF4-437D-9BFD-275E97E01FA7}"/>
    <hyperlink ref="G419" r:id="rId116" display="130" xr:uid="{DBF7D2FD-B758-4C9A-BEB3-2056D9C4979F}"/>
    <hyperlink ref="G420" r:id="rId117" display="93" xr:uid="{1909DF5F-E390-4B93-8C2E-CE85B66EA711}"/>
    <hyperlink ref="G421" r:id="rId118" display="93" xr:uid="{AFE6078B-F668-4F15-945A-E0AE0C43B7F2}"/>
    <hyperlink ref="G422" r:id="rId119" display="282" xr:uid="{8CB9035B-F484-4CA1-95B6-C6284486F18A}"/>
    <hyperlink ref="G423" r:id="rId120" display="517" xr:uid="{A21AD631-32DE-42E9-B619-2CA9F9B15D67}"/>
    <hyperlink ref="G425" r:id="rId121" display="458" xr:uid="{D93A1318-20D8-42AC-8BAA-2B34043B5FD4}"/>
    <hyperlink ref="G428" r:id="rId122" display="458" xr:uid="{EEED44E4-AA45-458F-A208-AFDD14F1304A}"/>
    <hyperlink ref="G429" r:id="rId123" display="298" xr:uid="{52A960F8-711F-44D4-9A11-DBE2C595AA75}"/>
    <hyperlink ref="G431" r:id="rId124" display="113" xr:uid="{E3FB07C6-1948-4450-A059-DA619CD18C97}"/>
    <hyperlink ref="G432" r:id="rId125" display="166" xr:uid="{54AEED90-E627-4A60-B0FC-954B632CE9B7}"/>
    <hyperlink ref="G433" r:id="rId126" display="130" xr:uid="{4F838035-44BB-406E-8CEB-186B49400EFE}"/>
    <hyperlink ref="G434" r:id="rId127" display="130" xr:uid="{03FD7714-CA1D-47E3-A443-26A46FFAF012}"/>
    <hyperlink ref="G435" r:id="rId128" display="473" xr:uid="{3D990709-7032-4B92-829A-1643F591B99D}"/>
    <hyperlink ref="G436" r:id="rId129" display="643" xr:uid="{E7C922E2-2CD1-47DD-807C-DC278EDF0B48}"/>
    <hyperlink ref="G447" r:id="rId130" display="153" xr:uid="{ECC351CD-1986-4654-AED9-D4BA9DCA6F81}"/>
    <hyperlink ref="G448" r:id="rId131" display="153" xr:uid="{CB3C528F-BF64-46A3-B019-46044B917651}"/>
    <hyperlink ref="G449" r:id="rId132" display="496" xr:uid="{68F42CBA-887B-43BD-8F8D-043C586C6407}"/>
    <hyperlink ref="G459" r:id="rId133" display="93" xr:uid="{FE162A21-C4CF-4E46-8260-FDBA62FD1E37}"/>
    <hyperlink ref="G460" r:id="rId134" display="93" xr:uid="{F266D668-ABB7-4FC7-8794-38E0E22A2B5B}"/>
    <hyperlink ref="G461" r:id="rId135" display="282" xr:uid="{6DB4B41A-1581-4C47-BBB2-8BCE7EF386A7}"/>
    <hyperlink ref="G462" r:id="rId136" display="99" xr:uid="{72C1A5F6-37BF-497D-AA38-45B487E57960}"/>
    <hyperlink ref="G463" r:id="rId137" display="99" xr:uid="{94DCCDE0-EDFD-4737-847E-19DB94BB30DB}"/>
    <hyperlink ref="G464" r:id="rId138" display="517" xr:uid="{4220B08E-DF79-4A44-BAF5-13AF5A9B648B}"/>
    <hyperlink ref="G465" r:id="rId139" display="298" xr:uid="{091235BC-A386-4E04-A769-DAC63E6D2DB8}"/>
  </hyperlinks>
  <pageMargins left="0.7" right="0.7" top="0.75" bottom="0.75" header="0.3" footer="0.3"/>
  <drawing r:id="rId14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582C36-6AED-433D-BA75-169649376AF6}">
  <dimension ref="B2:J183"/>
  <sheetViews>
    <sheetView workbookViewId="0">
      <pane xSplit="1" ySplit="2" topLeftCell="B45" activePane="bottomRight" state="frozen"/>
      <selection pane="bottomRight" activeCell="C60" sqref="C60"/>
      <selection pane="bottomLeft"/>
      <selection pane="topRight"/>
    </sheetView>
  </sheetViews>
  <sheetFormatPr defaultRowHeight="13.5"/>
  <cols>
    <col min="1" max="1" width="4.5703125" customWidth="1"/>
    <col min="2" max="2" width="17.140625" bestFit="1" customWidth="1"/>
    <col min="3" max="3" width="32.85546875" customWidth="1"/>
    <col min="4" max="4" width="31.85546875" customWidth="1"/>
    <col min="5" max="5" width="37.7109375" customWidth="1"/>
    <col min="6" max="6" width="24.28515625" customWidth="1"/>
    <col min="7" max="7" width="12.140625" bestFit="1" customWidth="1"/>
    <col min="9" max="9" width="35.42578125" customWidth="1"/>
    <col min="10" max="10" width="40.85546875" customWidth="1"/>
  </cols>
  <sheetData>
    <row r="2" spans="2:10" ht="17.25">
      <c r="B2" s="35" t="s">
        <v>200</v>
      </c>
      <c r="C2" s="32" t="s">
        <v>201</v>
      </c>
      <c r="D2" s="32" t="s">
        <v>202</v>
      </c>
      <c r="E2" s="32" t="s">
        <v>1</v>
      </c>
      <c r="F2" s="32" t="s">
        <v>203</v>
      </c>
      <c r="G2" s="34" t="s">
        <v>204</v>
      </c>
    </row>
    <row r="3" spans="2:10" ht="15.75">
      <c r="B3" s="35"/>
      <c r="C3" s="32"/>
      <c r="D3" s="32"/>
      <c r="E3" s="32"/>
      <c r="F3" s="32"/>
      <c r="G3" s="34">
        <f t="shared" ref="G3:G161" si="0">G4+F3</f>
        <v>1078</v>
      </c>
    </row>
    <row r="4" spans="2:10" ht="15">
      <c r="B4" s="44"/>
      <c r="C4" s="45"/>
      <c r="D4" s="45"/>
      <c r="E4" s="45"/>
      <c r="F4" s="45"/>
      <c r="G4" s="34">
        <f t="shared" si="0"/>
        <v>1078</v>
      </c>
      <c r="I4" t="s">
        <v>205</v>
      </c>
      <c r="J4">
        <f>SUMIFS(F3:F30115,D3:D30115, "*JAL国内線*")</f>
        <v>860</v>
      </c>
    </row>
    <row r="5" spans="2:10" ht="15">
      <c r="B5" s="44"/>
      <c r="C5" s="45"/>
      <c r="D5" s="45"/>
      <c r="E5" s="45"/>
      <c r="F5" s="45"/>
      <c r="G5" s="34">
        <f t="shared" si="0"/>
        <v>1078</v>
      </c>
      <c r="I5" t="s">
        <v>206</v>
      </c>
      <c r="J5">
        <f>SUMIFS(F3:F30115,D3:D30115, "*JAL国際線*")</f>
        <v>70</v>
      </c>
    </row>
    <row r="6" spans="2:10" ht="15">
      <c r="B6" s="44"/>
      <c r="C6" s="45"/>
      <c r="D6" s="45"/>
      <c r="E6" s="45"/>
      <c r="F6" s="45"/>
      <c r="G6" s="34">
        <f t="shared" si="0"/>
        <v>1078</v>
      </c>
      <c r="I6" t="s">
        <v>207</v>
      </c>
      <c r="J6">
        <f>SUMIFS(F3:F30115,D3:D30115, "*JALカード*")</f>
        <v>90</v>
      </c>
    </row>
    <row r="7" spans="2:10" ht="15">
      <c r="B7" s="44"/>
      <c r="C7" s="45"/>
      <c r="D7" s="45"/>
      <c r="E7" s="45"/>
      <c r="F7" s="45"/>
      <c r="G7" s="34">
        <f t="shared" si="0"/>
        <v>1078</v>
      </c>
      <c r="I7" t="s">
        <v>208</v>
      </c>
      <c r="J7">
        <f>SUMIFS(F3:F30115,D3:D30115, "*JALモバイル*")</f>
        <v>7</v>
      </c>
    </row>
    <row r="8" spans="2:10" ht="15">
      <c r="B8" s="44"/>
      <c r="C8" s="45"/>
      <c r="D8" s="45"/>
      <c r="E8" s="45"/>
      <c r="F8" s="45"/>
      <c r="G8" s="34">
        <f t="shared" si="0"/>
        <v>1078</v>
      </c>
      <c r="I8" s="31" t="s">
        <v>209</v>
      </c>
      <c r="J8">
        <f>SUMIFS(F3:F30115,D3:D30115, "*JAL Wellness &amp; Travel*")</f>
        <v>7</v>
      </c>
    </row>
    <row r="9" spans="2:10" ht="15">
      <c r="B9" s="44"/>
      <c r="C9" s="45"/>
      <c r="D9" s="45"/>
      <c r="E9" s="45"/>
      <c r="F9" s="45"/>
      <c r="G9" s="34">
        <f t="shared" si="0"/>
        <v>1078</v>
      </c>
      <c r="I9" s="31" t="s">
        <v>210</v>
      </c>
      <c r="J9">
        <f>SUMIFS(F3:F30115,D3:D30115, "*JALマイレージパーク*")</f>
        <v>6</v>
      </c>
    </row>
    <row r="10" spans="2:10" ht="15">
      <c r="B10" s="44"/>
      <c r="C10" s="45"/>
      <c r="D10" s="45"/>
      <c r="E10" s="45"/>
      <c r="F10" s="45"/>
      <c r="G10" s="34">
        <f t="shared" si="0"/>
        <v>1078</v>
      </c>
      <c r="I10" s="31" t="s">
        <v>211</v>
      </c>
      <c r="J10">
        <f>SUMIFS(F3:F30115,D3:D30115, "*その他*")</f>
        <v>38</v>
      </c>
    </row>
    <row r="11" spans="2:10" ht="15">
      <c r="B11" s="44"/>
      <c r="C11" s="45"/>
      <c r="D11" s="45"/>
      <c r="E11" s="45"/>
      <c r="F11" s="45"/>
      <c r="G11" s="34">
        <f>G50+F11</f>
        <v>1078</v>
      </c>
      <c r="I11" s="31" t="s">
        <v>212</v>
      </c>
      <c r="J11">
        <f>SUM(J4:J10)</f>
        <v>1078</v>
      </c>
    </row>
    <row r="12" spans="2:10" ht="15">
      <c r="B12" s="44"/>
      <c r="C12" s="45"/>
      <c r="D12" s="45"/>
      <c r="E12" s="45"/>
      <c r="F12" s="45"/>
      <c r="G12" s="34"/>
      <c r="I12" s="31"/>
    </row>
    <row r="13" spans="2:10" ht="15">
      <c r="B13" s="44"/>
      <c r="C13" s="45"/>
      <c r="D13" s="45"/>
      <c r="E13" s="45"/>
      <c r="F13" s="45"/>
      <c r="G13" s="34"/>
      <c r="I13" s="31"/>
    </row>
    <row r="14" spans="2:10" ht="15">
      <c r="B14" s="44"/>
      <c r="C14" s="45"/>
      <c r="D14" s="45"/>
      <c r="E14" s="45"/>
      <c r="F14" s="45"/>
      <c r="G14" s="34"/>
      <c r="I14" s="31"/>
    </row>
    <row r="15" spans="2:10" ht="15">
      <c r="B15" s="44"/>
      <c r="C15" s="45"/>
      <c r="D15" s="45"/>
      <c r="E15" s="45"/>
      <c r="F15" s="45"/>
      <c r="G15" s="34"/>
      <c r="I15" s="31"/>
    </row>
    <row r="16" spans="2:10" ht="15">
      <c r="B16" s="44"/>
      <c r="C16" s="45"/>
      <c r="D16" s="45"/>
      <c r="E16" s="45"/>
      <c r="F16" s="45"/>
      <c r="G16" s="34"/>
      <c r="I16" s="31"/>
    </row>
    <row r="17" spans="2:9" ht="15">
      <c r="B17" s="44"/>
      <c r="C17" s="45"/>
      <c r="D17" s="45"/>
      <c r="E17" s="45"/>
      <c r="F17" s="45"/>
      <c r="G17" s="34"/>
      <c r="I17" s="31"/>
    </row>
    <row r="18" spans="2:9" ht="15">
      <c r="B18" s="44"/>
      <c r="C18" s="45"/>
      <c r="D18" s="45"/>
      <c r="E18" s="45"/>
      <c r="F18" s="45"/>
      <c r="G18" s="34"/>
      <c r="I18" s="31"/>
    </row>
    <row r="19" spans="2:9" ht="15">
      <c r="B19" s="44"/>
      <c r="C19" s="45"/>
      <c r="D19" s="45"/>
      <c r="E19" s="45"/>
      <c r="F19" s="45"/>
      <c r="G19" s="34"/>
      <c r="I19" s="31"/>
    </row>
    <row r="20" spans="2:9" ht="15">
      <c r="B20" s="44"/>
      <c r="C20" s="45"/>
      <c r="D20" s="45"/>
      <c r="E20" s="45"/>
      <c r="F20" s="45"/>
      <c r="G20" s="34"/>
      <c r="I20" s="31"/>
    </row>
    <row r="21" spans="2:9" ht="15">
      <c r="B21" s="44"/>
      <c r="C21" s="45"/>
      <c r="D21" s="45"/>
      <c r="E21" s="45"/>
      <c r="F21" s="45"/>
      <c r="G21" s="34"/>
      <c r="I21" s="31"/>
    </row>
    <row r="22" spans="2:9" ht="15">
      <c r="B22" s="44"/>
      <c r="C22" s="45"/>
      <c r="D22" s="45"/>
      <c r="E22" s="45"/>
      <c r="F22" s="45"/>
      <c r="G22" s="34"/>
      <c r="I22" s="31"/>
    </row>
    <row r="23" spans="2:9" ht="15">
      <c r="B23" s="44"/>
      <c r="C23" s="45"/>
      <c r="D23" s="45"/>
      <c r="E23" s="45"/>
      <c r="F23" s="45"/>
      <c r="G23" s="34"/>
      <c r="I23" s="31"/>
    </row>
    <row r="24" spans="2:9" ht="15">
      <c r="B24" s="44"/>
      <c r="C24" s="45"/>
      <c r="D24" s="45"/>
      <c r="E24" s="45"/>
      <c r="F24" s="45"/>
      <c r="G24" s="34"/>
      <c r="I24" s="31"/>
    </row>
    <row r="25" spans="2:9" ht="15">
      <c r="B25" s="44"/>
      <c r="C25" s="45"/>
      <c r="D25" s="45"/>
      <c r="E25" s="45"/>
      <c r="F25" s="45"/>
      <c r="G25" s="34"/>
      <c r="I25" s="31"/>
    </row>
    <row r="26" spans="2:9" ht="15">
      <c r="B26" s="44"/>
      <c r="C26" s="45"/>
      <c r="D26" s="45"/>
      <c r="E26" s="45"/>
      <c r="F26" s="45"/>
      <c r="G26" s="34"/>
      <c r="I26" s="31"/>
    </row>
    <row r="27" spans="2:9" ht="15">
      <c r="B27" s="44"/>
      <c r="C27" s="45"/>
      <c r="D27" s="45"/>
      <c r="E27" s="45"/>
      <c r="F27" s="45"/>
      <c r="G27" s="34"/>
      <c r="I27" s="31"/>
    </row>
    <row r="28" spans="2:9" ht="15">
      <c r="B28" s="44"/>
      <c r="C28" s="45"/>
      <c r="D28" s="45"/>
      <c r="E28" s="45"/>
      <c r="F28" s="45"/>
      <c r="G28" s="34"/>
      <c r="I28" s="31"/>
    </row>
    <row r="29" spans="2:9" ht="15">
      <c r="B29" s="44"/>
      <c r="C29" s="45"/>
      <c r="D29" s="45"/>
      <c r="E29" s="45"/>
      <c r="F29" s="45"/>
      <c r="G29" s="34"/>
      <c r="I29" s="31"/>
    </row>
    <row r="30" spans="2:9" ht="15">
      <c r="B30" s="44"/>
      <c r="C30" s="45"/>
      <c r="D30" s="45"/>
      <c r="E30" s="45"/>
      <c r="F30" s="45"/>
      <c r="G30" s="34"/>
      <c r="I30" s="31"/>
    </row>
    <row r="31" spans="2:9" ht="15">
      <c r="B31" s="44"/>
      <c r="C31" s="45"/>
      <c r="D31" s="45"/>
      <c r="E31" s="45"/>
      <c r="F31" s="45"/>
      <c r="G31" s="34"/>
      <c r="I31" s="31"/>
    </row>
    <row r="32" spans="2:9" ht="15">
      <c r="B32" s="44"/>
      <c r="C32" s="45"/>
      <c r="D32" s="45"/>
      <c r="E32" s="45"/>
      <c r="F32" s="45"/>
      <c r="G32" s="34"/>
      <c r="I32" s="31"/>
    </row>
    <row r="33" spans="2:9" ht="15">
      <c r="B33" s="44"/>
      <c r="C33" s="45"/>
      <c r="D33" s="45"/>
      <c r="E33" s="45"/>
      <c r="F33" s="45"/>
      <c r="G33" s="34"/>
      <c r="I33" s="31"/>
    </row>
    <row r="34" spans="2:9" ht="15">
      <c r="B34" s="44"/>
      <c r="C34" s="45"/>
      <c r="D34" s="45"/>
      <c r="E34" s="45"/>
      <c r="F34" s="45"/>
      <c r="G34" s="34"/>
      <c r="I34" s="31"/>
    </row>
    <row r="35" spans="2:9" ht="15">
      <c r="B35" s="44"/>
      <c r="C35" s="45"/>
      <c r="D35" s="45"/>
      <c r="E35" s="45"/>
      <c r="F35" s="45"/>
      <c r="G35" s="34"/>
      <c r="I35" s="31"/>
    </row>
    <row r="36" spans="2:9" ht="15">
      <c r="B36" s="44"/>
      <c r="C36" s="45"/>
      <c r="D36" s="45"/>
      <c r="E36" s="45"/>
      <c r="F36" s="45"/>
      <c r="G36" s="34"/>
      <c r="I36" s="31"/>
    </row>
    <row r="37" spans="2:9" ht="15">
      <c r="B37" s="44"/>
      <c r="C37" s="45"/>
      <c r="D37" s="45"/>
      <c r="E37" s="45"/>
      <c r="F37" s="45"/>
      <c r="G37" s="34"/>
      <c r="I37" s="31"/>
    </row>
    <row r="38" spans="2:9" ht="15">
      <c r="B38" s="44"/>
      <c r="C38" s="45"/>
      <c r="D38" s="45"/>
      <c r="E38" s="45"/>
      <c r="F38" s="45"/>
      <c r="G38" s="34"/>
      <c r="I38" s="31"/>
    </row>
    <row r="39" spans="2:9" ht="15">
      <c r="B39" s="44"/>
      <c r="C39" s="45"/>
      <c r="D39" s="45"/>
      <c r="E39" s="45"/>
      <c r="F39" s="45"/>
      <c r="G39" s="34"/>
      <c r="I39" s="31"/>
    </row>
    <row r="40" spans="2:9" ht="15">
      <c r="B40" s="44"/>
      <c r="C40" s="45"/>
      <c r="D40" s="45"/>
      <c r="E40" s="45"/>
      <c r="F40" s="45"/>
      <c r="G40" s="34"/>
      <c r="I40" s="31"/>
    </row>
    <row r="41" spans="2:9" ht="15">
      <c r="B41" s="44"/>
      <c r="C41" s="45"/>
      <c r="D41" s="45"/>
      <c r="E41" s="45"/>
      <c r="F41" s="45"/>
      <c r="G41" s="34"/>
      <c r="I41" s="31"/>
    </row>
    <row r="42" spans="2:9" ht="15">
      <c r="B42" s="44"/>
      <c r="C42" s="45"/>
      <c r="D42" s="45"/>
      <c r="E42" s="45"/>
      <c r="F42" s="45"/>
      <c r="G42" s="34"/>
      <c r="I42" s="31"/>
    </row>
    <row r="43" spans="2:9" ht="15">
      <c r="B43" s="44"/>
      <c r="C43" s="45"/>
      <c r="D43" s="45"/>
      <c r="E43" s="45"/>
      <c r="F43" s="45"/>
      <c r="G43" s="34"/>
      <c r="I43" s="31"/>
    </row>
    <row r="44" spans="2:9" ht="15">
      <c r="B44" s="44"/>
      <c r="C44" s="45"/>
      <c r="D44" s="45"/>
      <c r="E44" s="45"/>
      <c r="F44" s="45"/>
      <c r="G44" s="34"/>
      <c r="I44" s="31"/>
    </row>
    <row r="45" spans="2:9" ht="15">
      <c r="B45" s="44"/>
      <c r="C45" s="45"/>
      <c r="D45" s="45"/>
      <c r="E45" s="45"/>
      <c r="F45" s="45"/>
      <c r="G45" s="34"/>
      <c r="I45" s="31"/>
    </row>
    <row r="46" spans="2:9" ht="15">
      <c r="B46" s="44"/>
      <c r="C46" s="45"/>
      <c r="D46" s="45"/>
      <c r="E46" s="45"/>
      <c r="F46" s="45"/>
      <c r="G46" s="34"/>
      <c r="I46" s="31"/>
    </row>
    <row r="47" spans="2:9" ht="15">
      <c r="B47" s="44"/>
      <c r="C47" s="45"/>
      <c r="D47" s="45"/>
      <c r="E47" s="45"/>
      <c r="F47" s="45"/>
      <c r="G47" s="34"/>
      <c r="I47" s="31"/>
    </row>
    <row r="48" spans="2:9" ht="15">
      <c r="B48" s="44"/>
      <c r="C48" s="45"/>
      <c r="D48" s="45"/>
      <c r="E48" s="45"/>
      <c r="F48" s="45"/>
      <c r="G48" s="34"/>
      <c r="I48" s="31"/>
    </row>
    <row r="49" spans="2:9" ht="15">
      <c r="B49" s="44"/>
      <c r="C49" s="45"/>
      <c r="D49" s="45"/>
      <c r="E49" s="45"/>
      <c r="F49" s="45"/>
      <c r="G49" s="34"/>
      <c r="I49" s="31"/>
    </row>
    <row r="50" spans="2:9" ht="15">
      <c r="B50" s="44"/>
      <c r="C50" s="45"/>
      <c r="D50" s="45"/>
      <c r="E50" s="45"/>
      <c r="F50" s="45"/>
      <c r="G50" s="34">
        <f t="shared" si="0"/>
        <v>1078</v>
      </c>
      <c r="I50" s="31"/>
    </row>
    <row r="51" spans="2:9" ht="15">
      <c r="B51" s="44"/>
      <c r="C51" s="45"/>
      <c r="D51" s="45"/>
      <c r="E51" s="45"/>
      <c r="F51" s="45"/>
      <c r="G51" s="34">
        <f t="shared" si="0"/>
        <v>1078</v>
      </c>
      <c r="I51" s="31"/>
    </row>
    <row r="52" spans="2:9" ht="15">
      <c r="B52" s="44"/>
      <c r="C52" s="45"/>
      <c r="D52" s="45"/>
      <c r="E52" s="45"/>
      <c r="F52" s="45"/>
      <c r="G52" s="34">
        <f t="shared" si="0"/>
        <v>1078</v>
      </c>
      <c r="I52" s="31"/>
    </row>
    <row r="53" spans="2:9" ht="15">
      <c r="B53" s="44"/>
      <c r="C53" s="45"/>
      <c r="D53" s="45"/>
      <c r="E53" s="45"/>
      <c r="F53" s="45"/>
      <c r="G53" s="34">
        <f t="shared" si="0"/>
        <v>1078</v>
      </c>
      <c r="I53" s="31"/>
    </row>
    <row r="54" spans="2:9" ht="15">
      <c r="B54" s="44"/>
      <c r="C54" s="45"/>
      <c r="D54" s="45"/>
      <c r="E54" s="45"/>
      <c r="F54" s="45"/>
      <c r="G54" s="34">
        <f t="shared" si="0"/>
        <v>1078</v>
      </c>
      <c r="I54" s="31"/>
    </row>
    <row r="55" spans="2:9" ht="15">
      <c r="B55" s="44"/>
      <c r="C55" s="45"/>
      <c r="D55" s="45"/>
      <c r="E55" s="45"/>
      <c r="F55" s="45"/>
      <c r="G55" s="34">
        <f t="shared" si="0"/>
        <v>1078</v>
      </c>
      <c r="I55" s="31"/>
    </row>
    <row r="56" spans="2:9" ht="15">
      <c r="B56" s="44"/>
      <c r="C56" s="45"/>
      <c r="D56" s="45"/>
      <c r="E56" s="45"/>
      <c r="F56" s="45"/>
      <c r="G56" s="34">
        <f t="shared" si="0"/>
        <v>1078</v>
      </c>
      <c r="I56" s="31"/>
    </row>
    <row r="57" spans="2:9" ht="17.25">
      <c r="B57" s="44">
        <v>46077</v>
      </c>
      <c r="C57" s="45" t="s">
        <v>213</v>
      </c>
      <c r="D57" s="45" t="s">
        <v>205</v>
      </c>
      <c r="E57" s="45" t="s">
        <v>214</v>
      </c>
      <c r="F57" s="45">
        <v>40</v>
      </c>
      <c r="G57" s="34">
        <f t="shared" si="0"/>
        <v>1078</v>
      </c>
      <c r="I57" s="31"/>
    </row>
    <row r="58" spans="2:9" ht="17.25">
      <c r="B58" s="44">
        <v>46076</v>
      </c>
      <c r="C58" s="45" t="s">
        <v>213</v>
      </c>
      <c r="D58" s="45" t="s">
        <v>205</v>
      </c>
      <c r="E58" s="45" t="s">
        <v>214</v>
      </c>
      <c r="F58" s="45">
        <v>15</v>
      </c>
      <c r="G58" s="34">
        <f t="shared" si="0"/>
        <v>1038</v>
      </c>
      <c r="I58" s="31"/>
    </row>
    <row r="59" spans="2:9" ht="17.25">
      <c r="B59" s="44">
        <v>46074</v>
      </c>
      <c r="C59" s="45" t="s">
        <v>215</v>
      </c>
      <c r="D59" s="45" t="s">
        <v>210</v>
      </c>
      <c r="E59" s="45" t="s">
        <v>216</v>
      </c>
      <c r="F59" s="45">
        <v>1</v>
      </c>
      <c r="G59" s="34">
        <f t="shared" si="0"/>
        <v>1023</v>
      </c>
      <c r="I59" s="31"/>
    </row>
    <row r="60" spans="2:9" ht="17.25">
      <c r="B60" s="44">
        <v>46071</v>
      </c>
      <c r="C60" s="45" t="s">
        <v>215</v>
      </c>
      <c r="D60" s="45" t="s">
        <v>208</v>
      </c>
      <c r="E60" s="45" t="s">
        <v>208</v>
      </c>
      <c r="F60" s="45">
        <v>1</v>
      </c>
      <c r="G60" s="34">
        <f t="shared" si="0"/>
        <v>1022</v>
      </c>
      <c r="I60" s="31"/>
    </row>
    <row r="61" spans="2:9" ht="17.25">
      <c r="B61" s="44">
        <v>46068</v>
      </c>
      <c r="C61" s="45" t="s">
        <v>215</v>
      </c>
      <c r="D61" s="45" t="s">
        <v>209</v>
      </c>
      <c r="E61" s="45" t="s">
        <v>217</v>
      </c>
      <c r="F61" s="45">
        <v>1</v>
      </c>
      <c r="G61" s="34">
        <f t="shared" si="0"/>
        <v>1021</v>
      </c>
      <c r="I61" s="31"/>
    </row>
    <row r="62" spans="2:9" ht="17.25">
      <c r="B62" s="44">
        <v>46066</v>
      </c>
      <c r="C62" s="45" t="s">
        <v>213</v>
      </c>
      <c r="D62" s="45" t="s">
        <v>205</v>
      </c>
      <c r="E62" s="45" t="s">
        <v>214</v>
      </c>
      <c r="F62" s="45">
        <v>30</v>
      </c>
      <c r="G62" s="34">
        <f t="shared" si="0"/>
        <v>1020</v>
      </c>
      <c r="I62" s="31"/>
    </row>
    <row r="63" spans="2:9" ht="17.25">
      <c r="B63" s="44">
        <v>46065</v>
      </c>
      <c r="C63" s="45" t="s">
        <v>213</v>
      </c>
      <c r="D63" s="45" t="s">
        <v>205</v>
      </c>
      <c r="E63" s="45" t="s">
        <v>214</v>
      </c>
      <c r="F63" s="45">
        <v>10</v>
      </c>
      <c r="G63" s="34">
        <f t="shared" si="0"/>
        <v>990</v>
      </c>
      <c r="I63" s="31"/>
    </row>
    <row r="64" spans="2:9" ht="17.25">
      <c r="B64" s="44">
        <v>46064</v>
      </c>
      <c r="C64" s="45" t="s">
        <v>215</v>
      </c>
      <c r="D64" s="45" t="s">
        <v>207</v>
      </c>
      <c r="E64" s="45" t="s">
        <v>218</v>
      </c>
      <c r="F64" s="45">
        <v>10</v>
      </c>
      <c r="G64" s="34">
        <f t="shared" si="0"/>
        <v>980</v>
      </c>
      <c r="I64" s="31"/>
    </row>
    <row r="65" spans="2:9" ht="17.25">
      <c r="B65" s="44">
        <v>46064</v>
      </c>
      <c r="C65" s="45" t="s">
        <v>213</v>
      </c>
      <c r="D65" s="45" t="s">
        <v>205</v>
      </c>
      <c r="E65" s="45" t="s">
        <v>214</v>
      </c>
      <c r="F65" s="45">
        <v>5</v>
      </c>
      <c r="G65" s="34">
        <f t="shared" si="0"/>
        <v>970</v>
      </c>
      <c r="I65" s="31"/>
    </row>
    <row r="66" spans="2:9" ht="17.25">
      <c r="B66" s="44">
        <v>46063</v>
      </c>
      <c r="C66" s="45" t="s">
        <v>213</v>
      </c>
      <c r="D66" s="45" t="s">
        <v>205</v>
      </c>
      <c r="E66" s="45" t="s">
        <v>214</v>
      </c>
      <c r="F66" s="45">
        <v>45</v>
      </c>
      <c r="G66" s="34">
        <f t="shared" si="0"/>
        <v>965</v>
      </c>
      <c r="I66" s="31"/>
    </row>
    <row r="67" spans="2:9" ht="17.25">
      <c r="B67" s="44">
        <v>46062</v>
      </c>
      <c r="C67" s="45" t="s">
        <v>213</v>
      </c>
      <c r="D67" s="45" t="s">
        <v>205</v>
      </c>
      <c r="E67" s="45" t="s">
        <v>214</v>
      </c>
      <c r="F67" s="45">
        <v>25</v>
      </c>
      <c r="G67" s="34">
        <f t="shared" si="0"/>
        <v>920</v>
      </c>
      <c r="I67" s="31"/>
    </row>
    <row r="68" spans="2:9" ht="17.25">
      <c r="B68" s="44">
        <v>46061</v>
      </c>
      <c r="C68" s="45" t="s">
        <v>213</v>
      </c>
      <c r="D68" s="45" t="s">
        <v>205</v>
      </c>
      <c r="E68" s="45" t="s">
        <v>214</v>
      </c>
      <c r="F68" s="45">
        <v>30</v>
      </c>
      <c r="G68" s="34">
        <f t="shared" si="0"/>
        <v>895</v>
      </c>
      <c r="I68" s="31"/>
    </row>
    <row r="69" spans="2:9" ht="17.25">
      <c r="B69" s="44">
        <v>46059</v>
      </c>
      <c r="C69" s="45" t="s">
        <v>213</v>
      </c>
      <c r="D69" s="45" t="s">
        <v>205</v>
      </c>
      <c r="E69" s="45" t="s">
        <v>214</v>
      </c>
      <c r="F69" s="45">
        <v>5</v>
      </c>
      <c r="G69" s="34">
        <f t="shared" si="0"/>
        <v>865</v>
      </c>
      <c r="I69" s="31"/>
    </row>
    <row r="70" spans="2:9" ht="17.25">
      <c r="B70" s="44">
        <v>46057</v>
      </c>
      <c r="C70" s="45" t="s">
        <v>213</v>
      </c>
      <c r="D70" s="45" t="s">
        <v>205</v>
      </c>
      <c r="E70" s="45" t="s">
        <v>214</v>
      </c>
      <c r="F70" s="45">
        <v>5</v>
      </c>
      <c r="G70" s="34">
        <f t="shared" si="0"/>
        <v>860</v>
      </c>
      <c r="I70" s="31"/>
    </row>
    <row r="71" spans="2:9" ht="17.25">
      <c r="B71" s="44">
        <v>46056</v>
      </c>
      <c r="C71" s="45" t="s">
        <v>213</v>
      </c>
      <c r="D71" s="45" t="s">
        <v>205</v>
      </c>
      <c r="E71" s="45" t="s">
        <v>214</v>
      </c>
      <c r="F71" s="45">
        <v>5</v>
      </c>
      <c r="G71" s="34">
        <f t="shared" si="0"/>
        <v>855</v>
      </c>
      <c r="I71" s="31"/>
    </row>
    <row r="72" spans="2:9" ht="17.25">
      <c r="B72" s="44">
        <v>46055</v>
      </c>
      <c r="C72" s="45" t="s">
        <v>211</v>
      </c>
      <c r="D72" s="45" t="s">
        <v>211</v>
      </c>
      <c r="E72" s="45" t="s">
        <v>219</v>
      </c>
      <c r="F72" s="45">
        <v>10</v>
      </c>
      <c r="G72" s="34">
        <f t="shared" si="0"/>
        <v>850</v>
      </c>
      <c r="I72" s="31"/>
    </row>
    <row r="73" spans="2:9" ht="17.25">
      <c r="B73" s="44">
        <v>46054</v>
      </c>
      <c r="C73" s="45" t="s">
        <v>213</v>
      </c>
      <c r="D73" s="45" t="s">
        <v>205</v>
      </c>
      <c r="E73" s="45" t="s">
        <v>214</v>
      </c>
      <c r="F73" s="45">
        <v>5</v>
      </c>
      <c r="G73" s="34">
        <f t="shared" si="0"/>
        <v>840</v>
      </c>
      <c r="I73" s="31"/>
    </row>
    <row r="74" spans="2:9" ht="17.25">
      <c r="B74" s="44">
        <v>46052</v>
      </c>
      <c r="C74" s="45" t="s">
        <v>213</v>
      </c>
      <c r="D74" s="45" t="s">
        <v>205</v>
      </c>
      <c r="E74" s="45" t="s">
        <v>214</v>
      </c>
      <c r="F74" s="45">
        <v>5</v>
      </c>
      <c r="G74" s="34">
        <f t="shared" si="0"/>
        <v>835</v>
      </c>
      <c r="I74" s="31"/>
    </row>
    <row r="75" spans="2:9" ht="17.25">
      <c r="B75" s="44">
        <v>46051</v>
      </c>
      <c r="C75" s="45" t="s">
        <v>213</v>
      </c>
      <c r="D75" s="45" t="s">
        <v>205</v>
      </c>
      <c r="E75" s="45" t="s">
        <v>214</v>
      </c>
      <c r="F75" s="45">
        <v>5</v>
      </c>
      <c r="G75" s="34">
        <f t="shared" si="0"/>
        <v>830</v>
      </c>
      <c r="I75" s="31"/>
    </row>
    <row r="76" spans="2:9" ht="17.25">
      <c r="B76" s="44">
        <v>46048</v>
      </c>
      <c r="C76" s="45" t="s">
        <v>213</v>
      </c>
      <c r="D76" s="45" t="s">
        <v>205</v>
      </c>
      <c r="E76" s="45" t="s">
        <v>214</v>
      </c>
      <c r="F76" s="45">
        <v>30</v>
      </c>
      <c r="G76" s="34">
        <f t="shared" si="0"/>
        <v>825</v>
      </c>
      <c r="I76" s="31"/>
    </row>
    <row r="77" spans="2:9" ht="17.25">
      <c r="B77" s="44">
        <v>46047</v>
      </c>
      <c r="C77" s="45" t="s">
        <v>215</v>
      </c>
      <c r="D77" s="45" t="s">
        <v>210</v>
      </c>
      <c r="E77" s="45" t="s">
        <v>216</v>
      </c>
      <c r="F77" s="45">
        <v>2</v>
      </c>
      <c r="G77" s="34">
        <f t="shared" si="0"/>
        <v>795</v>
      </c>
      <c r="I77" s="31"/>
    </row>
    <row r="78" spans="2:9" ht="17.25">
      <c r="B78" s="44">
        <v>46044</v>
      </c>
      <c r="C78" s="45" t="s">
        <v>213</v>
      </c>
      <c r="D78" s="45" t="s">
        <v>205</v>
      </c>
      <c r="E78" s="45" t="s">
        <v>214</v>
      </c>
      <c r="F78" s="45">
        <v>10</v>
      </c>
      <c r="G78" s="34">
        <f t="shared" si="0"/>
        <v>793</v>
      </c>
      <c r="I78" s="31"/>
    </row>
    <row r="79" spans="2:9" ht="17.25">
      <c r="B79" s="44">
        <v>46041</v>
      </c>
      <c r="C79" s="45" t="s">
        <v>215</v>
      </c>
      <c r="D79" s="45" t="s">
        <v>208</v>
      </c>
      <c r="E79" s="45" t="s">
        <v>208</v>
      </c>
      <c r="F79" s="45">
        <v>1</v>
      </c>
      <c r="G79" s="34">
        <f t="shared" si="0"/>
        <v>783</v>
      </c>
      <c r="I79" s="31"/>
    </row>
    <row r="80" spans="2:9" ht="17.25">
      <c r="B80" s="44">
        <v>46040</v>
      </c>
      <c r="C80" s="45" t="s">
        <v>213</v>
      </c>
      <c r="D80" s="45" t="s">
        <v>205</v>
      </c>
      <c r="E80" s="45" t="s">
        <v>214</v>
      </c>
      <c r="F80" s="45">
        <v>5</v>
      </c>
      <c r="G80" s="34">
        <f t="shared" si="0"/>
        <v>782</v>
      </c>
      <c r="I80" s="31"/>
    </row>
    <row r="81" spans="2:10" ht="17.25">
      <c r="B81" s="44">
        <v>46039</v>
      </c>
      <c r="C81" s="45" t="s">
        <v>213</v>
      </c>
      <c r="D81" s="45" t="s">
        <v>205</v>
      </c>
      <c r="E81" s="45" t="s">
        <v>214</v>
      </c>
      <c r="F81" s="45">
        <v>5</v>
      </c>
      <c r="G81" s="34">
        <f t="shared" si="0"/>
        <v>777</v>
      </c>
      <c r="I81" s="31"/>
    </row>
    <row r="82" spans="2:10" ht="17.25">
      <c r="B82" s="44">
        <v>46037</v>
      </c>
      <c r="C82" s="45" t="s">
        <v>215</v>
      </c>
      <c r="D82" s="45" t="s">
        <v>209</v>
      </c>
      <c r="E82" s="45" t="s">
        <v>217</v>
      </c>
      <c r="F82" s="45">
        <v>1</v>
      </c>
      <c r="G82" s="34">
        <f t="shared" si="0"/>
        <v>772</v>
      </c>
      <c r="I82" s="31"/>
    </row>
    <row r="83" spans="2:10" ht="17.25">
      <c r="B83" s="44">
        <v>46035</v>
      </c>
      <c r="C83" s="45" t="s">
        <v>213</v>
      </c>
      <c r="D83" s="45" t="s">
        <v>205</v>
      </c>
      <c r="E83" s="45" t="s">
        <v>214</v>
      </c>
      <c r="F83" s="45">
        <v>40</v>
      </c>
      <c r="G83" s="34">
        <f t="shared" si="0"/>
        <v>771</v>
      </c>
      <c r="I83" s="31"/>
    </row>
    <row r="84" spans="2:10" ht="17.25">
      <c r="B84" s="44">
        <v>46034</v>
      </c>
      <c r="C84" s="45" t="s">
        <v>213</v>
      </c>
      <c r="D84" s="45" t="s">
        <v>205</v>
      </c>
      <c r="E84" s="45" t="s">
        <v>214</v>
      </c>
      <c r="F84" s="45">
        <v>20</v>
      </c>
      <c r="G84" s="34">
        <f t="shared" si="0"/>
        <v>731</v>
      </c>
      <c r="I84" s="31"/>
    </row>
    <row r="85" spans="2:10" ht="17.25">
      <c r="B85" s="44">
        <v>46033</v>
      </c>
      <c r="C85" s="45" t="s">
        <v>215</v>
      </c>
      <c r="D85" s="45" t="s">
        <v>207</v>
      </c>
      <c r="E85" s="45" t="s">
        <v>218</v>
      </c>
      <c r="F85" s="45">
        <v>30</v>
      </c>
      <c r="G85" s="34">
        <f t="shared" si="0"/>
        <v>711</v>
      </c>
      <c r="J85">
        <f>SUM(J4:J11)</f>
        <v>2156</v>
      </c>
    </row>
    <row r="86" spans="2:10" ht="17.25">
      <c r="B86" s="44">
        <v>46033</v>
      </c>
      <c r="C86" s="45" t="s">
        <v>213</v>
      </c>
      <c r="D86" s="45" t="s">
        <v>205</v>
      </c>
      <c r="E86" s="45" t="s">
        <v>214</v>
      </c>
      <c r="F86" s="45">
        <v>40</v>
      </c>
      <c r="G86" s="34">
        <f t="shared" si="0"/>
        <v>681</v>
      </c>
    </row>
    <row r="87" spans="2:10" ht="17.25">
      <c r="B87" s="44">
        <v>46032</v>
      </c>
      <c r="C87" s="45" t="s">
        <v>213</v>
      </c>
      <c r="D87" s="45" t="s">
        <v>205</v>
      </c>
      <c r="E87" s="45" t="s">
        <v>214</v>
      </c>
      <c r="F87" s="45">
        <v>10</v>
      </c>
      <c r="G87" s="34">
        <f t="shared" si="0"/>
        <v>641</v>
      </c>
    </row>
    <row r="88" spans="2:10" ht="17.25">
      <c r="B88" s="44">
        <v>46030</v>
      </c>
      <c r="C88" s="45" t="s">
        <v>213</v>
      </c>
      <c r="D88" s="45" t="s">
        <v>205</v>
      </c>
      <c r="E88" s="45" t="s">
        <v>214</v>
      </c>
      <c r="F88" s="45">
        <v>5</v>
      </c>
      <c r="G88" s="34">
        <f t="shared" si="0"/>
        <v>631</v>
      </c>
    </row>
    <row r="89" spans="2:10" ht="17.25">
      <c r="B89" s="44">
        <v>46016</v>
      </c>
      <c r="C89" s="45" t="s">
        <v>213</v>
      </c>
      <c r="D89" s="45" t="s">
        <v>205</v>
      </c>
      <c r="E89" s="45" t="s">
        <v>214</v>
      </c>
      <c r="F89" s="45">
        <v>5</v>
      </c>
      <c r="G89" s="34">
        <f t="shared" si="0"/>
        <v>626</v>
      </c>
    </row>
    <row r="90" spans="2:10" ht="17.25">
      <c r="B90" s="44">
        <v>46014</v>
      </c>
      <c r="C90" s="45" t="s">
        <v>213</v>
      </c>
      <c r="D90" s="45" t="s">
        <v>205</v>
      </c>
      <c r="E90" s="45" t="s">
        <v>214</v>
      </c>
      <c r="F90" s="45">
        <v>5</v>
      </c>
      <c r="G90" s="34">
        <f t="shared" si="0"/>
        <v>621</v>
      </c>
    </row>
    <row r="91" spans="2:10" ht="17.25">
      <c r="B91" s="44">
        <v>46012</v>
      </c>
      <c r="C91" s="45" t="s">
        <v>215</v>
      </c>
      <c r="D91" s="45" t="s">
        <v>210</v>
      </c>
      <c r="E91" s="45" t="s">
        <v>216</v>
      </c>
      <c r="F91" s="45">
        <v>1</v>
      </c>
      <c r="G91" s="34">
        <f t="shared" si="0"/>
        <v>616</v>
      </c>
    </row>
    <row r="92" spans="2:10" ht="17.25">
      <c r="B92" s="44">
        <v>46012</v>
      </c>
      <c r="C92" s="45" t="s">
        <v>213</v>
      </c>
      <c r="D92" s="45" t="s">
        <v>205</v>
      </c>
      <c r="E92" s="45" t="s">
        <v>214</v>
      </c>
      <c r="F92" s="45">
        <v>5</v>
      </c>
      <c r="G92" s="34">
        <f t="shared" si="0"/>
        <v>615</v>
      </c>
    </row>
    <row r="93" spans="2:10" ht="17.25">
      <c r="B93" s="44">
        <v>46011</v>
      </c>
      <c r="C93" s="45" t="s">
        <v>213</v>
      </c>
      <c r="D93" s="45" t="s">
        <v>205</v>
      </c>
      <c r="E93" s="45" t="s">
        <v>214</v>
      </c>
      <c r="F93" s="45">
        <v>5</v>
      </c>
      <c r="G93" s="34">
        <f t="shared" si="0"/>
        <v>610</v>
      </c>
    </row>
    <row r="94" spans="2:10" ht="17.25">
      <c r="B94" s="44">
        <v>46008</v>
      </c>
      <c r="C94" s="45" t="s">
        <v>215</v>
      </c>
      <c r="D94" s="45" t="s">
        <v>208</v>
      </c>
      <c r="E94" s="45" t="s">
        <v>208</v>
      </c>
      <c r="F94" s="45">
        <v>1</v>
      </c>
      <c r="G94" s="34">
        <f t="shared" si="0"/>
        <v>605</v>
      </c>
    </row>
    <row r="95" spans="2:10" ht="17.25">
      <c r="B95" s="44">
        <v>46006</v>
      </c>
      <c r="C95" s="45" t="s">
        <v>215</v>
      </c>
      <c r="D95" s="45" t="s">
        <v>209</v>
      </c>
      <c r="E95" s="45" t="s">
        <v>217</v>
      </c>
      <c r="F95" s="45">
        <v>1</v>
      </c>
      <c r="G95" s="34">
        <f t="shared" si="0"/>
        <v>604</v>
      </c>
    </row>
    <row r="96" spans="2:10" ht="17.25">
      <c r="B96" s="44">
        <v>46002</v>
      </c>
      <c r="C96" s="45" t="s">
        <v>215</v>
      </c>
      <c r="D96" s="45" t="s">
        <v>207</v>
      </c>
      <c r="E96" s="45" t="s">
        <v>218</v>
      </c>
      <c r="F96" s="45">
        <v>10</v>
      </c>
      <c r="G96" s="34">
        <f t="shared" si="0"/>
        <v>603</v>
      </c>
    </row>
    <row r="97" spans="2:7" ht="17.25">
      <c r="B97" s="44">
        <v>45996</v>
      </c>
      <c r="C97" s="45" t="s">
        <v>213</v>
      </c>
      <c r="D97" s="45" t="s">
        <v>205</v>
      </c>
      <c r="E97" s="45" t="s">
        <v>214</v>
      </c>
      <c r="F97" s="45">
        <v>45</v>
      </c>
      <c r="G97" s="34">
        <f t="shared" si="0"/>
        <v>593</v>
      </c>
    </row>
    <row r="98" spans="2:7" ht="17.25">
      <c r="B98" s="44">
        <v>45995</v>
      </c>
      <c r="C98" s="45" t="s">
        <v>213</v>
      </c>
      <c r="D98" s="45" t="s">
        <v>205</v>
      </c>
      <c r="E98" s="45" t="s">
        <v>214</v>
      </c>
      <c r="F98" s="45">
        <v>5</v>
      </c>
      <c r="G98" s="34">
        <f t="shared" si="0"/>
        <v>548</v>
      </c>
    </row>
    <row r="99" spans="2:7" ht="17.25">
      <c r="B99" s="44">
        <v>45994</v>
      </c>
      <c r="C99" s="45" t="s">
        <v>213</v>
      </c>
      <c r="D99" s="45" t="s">
        <v>205</v>
      </c>
      <c r="E99" s="45" t="s">
        <v>214</v>
      </c>
      <c r="F99" s="45">
        <v>5</v>
      </c>
      <c r="G99" s="34">
        <f t="shared" si="0"/>
        <v>543</v>
      </c>
    </row>
    <row r="100" spans="2:7" ht="17.25">
      <c r="B100" s="44">
        <v>45990</v>
      </c>
      <c r="C100" s="45" t="s">
        <v>213</v>
      </c>
      <c r="D100" s="45" t="s">
        <v>205</v>
      </c>
      <c r="E100" s="45" t="s">
        <v>214</v>
      </c>
      <c r="F100" s="45">
        <v>5</v>
      </c>
      <c r="G100" s="34">
        <f t="shared" si="0"/>
        <v>538</v>
      </c>
    </row>
    <row r="101" spans="2:7" ht="17.25">
      <c r="B101" s="44">
        <v>45989</v>
      </c>
      <c r="C101" s="45" t="s">
        <v>213</v>
      </c>
      <c r="D101" s="45" t="s">
        <v>205</v>
      </c>
      <c r="E101" s="45" t="s">
        <v>214</v>
      </c>
      <c r="F101" s="45">
        <v>5</v>
      </c>
      <c r="G101" s="34">
        <f t="shared" si="0"/>
        <v>533</v>
      </c>
    </row>
    <row r="102" spans="2:7" ht="17.25">
      <c r="B102" s="44">
        <v>45988</v>
      </c>
      <c r="C102" s="45" t="s">
        <v>211</v>
      </c>
      <c r="D102" s="45" t="s">
        <v>211</v>
      </c>
      <c r="E102" s="45" t="s">
        <v>220</v>
      </c>
      <c r="F102" s="45">
        <v>18</v>
      </c>
      <c r="G102" s="34">
        <f t="shared" si="0"/>
        <v>528</v>
      </c>
    </row>
    <row r="103" spans="2:7" ht="17.25">
      <c r="B103" s="44">
        <v>45988</v>
      </c>
      <c r="C103" s="45" t="s">
        <v>213</v>
      </c>
      <c r="D103" s="45" t="s">
        <v>205</v>
      </c>
      <c r="E103" s="45" t="s">
        <v>214</v>
      </c>
      <c r="F103" s="45">
        <v>5</v>
      </c>
      <c r="G103" s="34">
        <f t="shared" si="0"/>
        <v>510</v>
      </c>
    </row>
    <row r="104" spans="2:7" ht="17.25">
      <c r="B104" s="44">
        <v>45987</v>
      </c>
      <c r="C104" s="45" t="s">
        <v>213</v>
      </c>
      <c r="D104" s="45" t="s">
        <v>205</v>
      </c>
      <c r="E104" s="45" t="s">
        <v>214</v>
      </c>
      <c r="F104" s="45">
        <v>5</v>
      </c>
      <c r="G104" s="34">
        <f>G105+F104</f>
        <v>505</v>
      </c>
    </row>
    <row r="105" spans="2:7" ht="17.25">
      <c r="B105" s="44">
        <v>45985</v>
      </c>
      <c r="C105" s="45" t="s">
        <v>213</v>
      </c>
      <c r="D105" s="45" t="s">
        <v>205</v>
      </c>
      <c r="E105" s="45" t="s">
        <v>214</v>
      </c>
      <c r="F105" s="45">
        <v>5</v>
      </c>
      <c r="G105" s="34">
        <f t="shared" si="0"/>
        <v>500</v>
      </c>
    </row>
    <row r="106" spans="2:7" ht="17.25">
      <c r="B106" s="44">
        <v>45983</v>
      </c>
      <c r="C106" s="45" t="s">
        <v>213</v>
      </c>
      <c r="D106" s="45" t="s">
        <v>205</v>
      </c>
      <c r="E106" s="45" t="s">
        <v>214</v>
      </c>
      <c r="F106" s="45">
        <v>5</v>
      </c>
      <c r="G106" s="34">
        <f t="shared" si="0"/>
        <v>495</v>
      </c>
    </row>
    <row r="107" spans="2:7" ht="17.25">
      <c r="B107" s="44">
        <v>45982</v>
      </c>
      <c r="C107" s="45" t="s">
        <v>215</v>
      </c>
      <c r="D107" s="45" t="s">
        <v>210</v>
      </c>
      <c r="E107" s="45" t="s">
        <v>216</v>
      </c>
      <c r="F107" s="45">
        <v>1</v>
      </c>
      <c r="G107" s="34">
        <f t="shared" si="0"/>
        <v>490</v>
      </c>
    </row>
    <row r="108" spans="2:7" ht="17.25">
      <c r="B108" s="44">
        <v>45978</v>
      </c>
      <c r="C108" s="45" t="s">
        <v>215</v>
      </c>
      <c r="D108" s="45" t="s">
        <v>208</v>
      </c>
      <c r="E108" s="45" t="s">
        <v>208</v>
      </c>
      <c r="F108" s="45">
        <v>1</v>
      </c>
      <c r="G108" s="34">
        <f t="shared" si="0"/>
        <v>489</v>
      </c>
    </row>
    <row r="109" spans="2:7" ht="17.25">
      <c r="B109" s="44">
        <v>45976</v>
      </c>
      <c r="C109" s="45" t="s">
        <v>215</v>
      </c>
      <c r="D109" s="45" t="s">
        <v>209</v>
      </c>
      <c r="E109" s="45" t="s">
        <v>217</v>
      </c>
      <c r="F109" s="45">
        <v>1</v>
      </c>
      <c r="G109" s="34">
        <f>G110+F109</f>
        <v>488</v>
      </c>
    </row>
    <row r="110" spans="2:7" ht="17.25">
      <c r="B110" s="44">
        <v>45972</v>
      </c>
      <c r="C110" s="45" t="s">
        <v>215</v>
      </c>
      <c r="D110" s="45" t="s">
        <v>207</v>
      </c>
      <c r="E110" s="45" t="s">
        <v>218</v>
      </c>
      <c r="F110" s="45">
        <v>20</v>
      </c>
      <c r="G110" s="34">
        <f t="shared" si="0"/>
        <v>487</v>
      </c>
    </row>
    <row r="111" spans="2:7" ht="17.25">
      <c r="B111" s="44">
        <v>45960</v>
      </c>
      <c r="C111" s="45" t="s">
        <v>211</v>
      </c>
      <c r="D111" s="45" t="s">
        <v>211</v>
      </c>
      <c r="E111" s="45" t="s">
        <v>221</v>
      </c>
      <c r="F111" s="45">
        <v>10</v>
      </c>
      <c r="G111" s="34">
        <f t="shared" si="0"/>
        <v>467</v>
      </c>
    </row>
    <row r="112" spans="2:7" ht="17.25">
      <c r="B112" s="44">
        <v>45956</v>
      </c>
      <c r="C112" s="45" t="s">
        <v>213</v>
      </c>
      <c r="D112" s="45" t="s">
        <v>205</v>
      </c>
      <c r="E112" s="45" t="s">
        <v>214</v>
      </c>
      <c r="F112" s="45">
        <v>5</v>
      </c>
      <c r="G112" s="34">
        <f t="shared" si="0"/>
        <v>457</v>
      </c>
    </row>
    <row r="113" spans="2:7" ht="17.25">
      <c r="B113" s="44">
        <v>45955</v>
      </c>
      <c r="C113" s="45" t="s">
        <v>213</v>
      </c>
      <c r="D113" s="45" t="s">
        <v>205</v>
      </c>
      <c r="E113" s="45" t="s">
        <v>214</v>
      </c>
      <c r="F113" s="45">
        <v>5</v>
      </c>
      <c r="G113" s="34">
        <f t="shared" si="0"/>
        <v>452</v>
      </c>
    </row>
    <row r="114" spans="2:7" ht="17.25">
      <c r="B114" s="44">
        <v>45953</v>
      </c>
      <c r="C114" s="45" t="s">
        <v>213</v>
      </c>
      <c r="D114" s="45" t="s">
        <v>205</v>
      </c>
      <c r="E114" s="45" t="s">
        <v>214</v>
      </c>
      <c r="F114" s="45">
        <v>5</v>
      </c>
      <c r="G114" s="34">
        <f t="shared" si="0"/>
        <v>447</v>
      </c>
    </row>
    <row r="115" spans="2:7" ht="17.25">
      <c r="B115" s="44">
        <v>45952</v>
      </c>
      <c r="C115" s="45" t="s">
        <v>215</v>
      </c>
      <c r="D115" s="45" t="s">
        <v>210</v>
      </c>
      <c r="E115" s="45" t="s">
        <v>216</v>
      </c>
      <c r="F115" s="45">
        <v>1</v>
      </c>
      <c r="G115" s="34">
        <f t="shared" si="0"/>
        <v>442</v>
      </c>
    </row>
    <row r="116" spans="2:7" ht="17.25">
      <c r="B116" s="44">
        <v>45951</v>
      </c>
      <c r="C116" s="45" t="s">
        <v>213</v>
      </c>
      <c r="D116" s="45" t="s">
        <v>205</v>
      </c>
      <c r="E116" s="45" t="s">
        <v>214</v>
      </c>
      <c r="F116" s="45">
        <v>10</v>
      </c>
      <c r="G116" s="34">
        <f t="shared" si="0"/>
        <v>441</v>
      </c>
    </row>
    <row r="117" spans="2:7" ht="17.25">
      <c r="B117" s="44">
        <v>45947</v>
      </c>
      <c r="C117" s="45" t="s">
        <v>215</v>
      </c>
      <c r="D117" s="45" t="s">
        <v>208</v>
      </c>
      <c r="E117" s="45" t="s">
        <v>208</v>
      </c>
      <c r="F117" s="45">
        <v>1</v>
      </c>
      <c r="G117" s="34">
        <f t="shared" si="0"/>
        <v>431</v>
      </c>
    </row>
    <row r="118" spans="2:7" ht="17.25">
      <c r="B118" s="44">
        <v>45945</v>
      </c>
      <c r="C118" s="45" t="s">
        <v>215</v>
      </c>
      <c r="D118" s="45" t="s">
        <v>209</v>
      </c>
      <c r="E118" s="45" t="s">
        <v>217</v>
      </c>
      <c r="F118" s="45">
        <v>1</v>
      </c>
      <c r="G118" s="34">
        <f t="shared" si="0"/>
        <v>430</v>
      </c>
    </row>
    <row r="119" spans="2:7" ht="17.25">
      <c r="B119" s="44">
        <v>45943</v>
      </c>
      <c r="C119" s="45" t="s">
        <v>213</v>
      </c>
      <c r="D119" s="45" t="s">
        <v>205</v>
      </c>
      <c r="E119" s="45" t="s">
        <v>214</v>
      </c>
      <c r="F119" s="45">
        <v>5</v>
      </c>
      <c r="G119" s="34">
        <f t="shared" si="0"/>
        <v>429</v>
      </c>
    </row>
    <row r="120" spans="2:7" ht="17.25">
      <c r="B120" s="44">
        <v>45941</v>
      </c>
      <c r="C120" s="45" t="s">
        <v>215</v>
      </c>
      <c r="D120" s="45" t="s">
        <v>207</v>
      </c>
      <c r="E120" s="45" t="s">
        <v>218</v>
      </c>
      <c r="F120" s="45">
        <v>15</v>
      </c>
      <c r="G120" s="34">
        <f t="shared" si="0"/>
        <v>424</v>
      </c>
    </row>
    <row r="121" spans="2:7" ht="17.25">
      <c r="B121" s="44">
        <v>45941</v>
      </c>
      <c r="C121" s="45" t="s">
        <v>213</v>
      </c>
      <c r="D121" s="45" t="s">
        <v>205</v>
      </c>
      <c r="E121" s="45" t="s">
        <v>214</v>
      </c>
      <c r="F121" s="45">
        <v>5</v>
      </c>
      <c r="G121" s="34">
        <f t="shared" si="0"/>
        <v>409</v>
      </c>
    </row>
    <row r="122" spans="2:7" ht="17.25">
      <c r="B122" s="44">
        <v>45937</v>
      </c>
      <c r="C122" s="45" t="s">
        <v>213</v>
      </c>
      <c r="D122" s="45" t="s">
        <v>205</v>
      </c>
      <c r="E122" s="45" t="s">
        <v>214</v>
      </c>
      <c r="F122" s="45">
        <v>35</v>
      </c>
      <c r="G122" s="34">
        <f t="shared" si="0"/>
        <v>404</v>
      </c>
    </row>
    <row r="123" spans="2:7" ht="17.25">
      <c r="B123" s="44">
        <v>45936</v>
      </c>
      <c r="C123" s="45" t="s">
        <v>213</v>
      </c>
      <c r="D123" s="45" t="s">
        <v>205</v>
      </c>
      <c r="E123" s="45" t="s">
        <v>214</v>
      </c>
      <c r="F123" s="45">
        <v>5</v>
      </c>
      <c r="G123" s="34">
        <f t="shared" si="0"/>
        <v>369</v>
      </c>
    </row>
    <row r="124" spans="2:7" ht="17.25">
      <c r="B124" s="44">
        <v>45934</v>
      </c>
      <c r="C124" s="45" t="s">
        <v>213</v>
      </c>
      <c r="D124" s="45" t="s">
        <v>205</v>
      </c>
      <c r="E124" s="45" t="s">
        <v>214</v>
      </c>
      <c r="F124" s="45">
        <v>5</v>
      </c>
      <c r="G124" s="34">
        <f t="shared" si="0"/>
        <v>364</v>
      </c>
    </row>
    <row r="125" spans="2:7" ht="17.25">
      <c r="B125" s="44">
        <v>45930</v>
      </c>
      <c r="C125" s="45" t="s">
        <v>213</v>
      </c>
      <c r="D125" s="45" t="s">
        <v>205</v>
      </c>
      <c r="E125" s="45" t="s">
        <v>214</v>
      </c>
      <c r="F125" s="45">
        <v>45</v>
      </c>
      <c r="G125" s="34">
        <f t="shared" si="0"/>
        <v>359</v>
      </c>
    </row>
    <row r="126" spans="2:7" ht="17.25">
      <c r="B126" s="44">
        <v>45929</v>
      </c>
      <c r="C126" s="45" t="s">
        <v>213</v>
      </c>
      <c r="D126" s="45" t="s">
        <v>205</v>
      </c>
      <c r="E126" s="45" t="s">
        <v>214</v>
      </c>
      <c r="F126" s="45">
        <v>45</v>
      </c>
      <c r="G126" s="34">
        <f t="shared" si="0"/>
        <v>314</v>
      </c>
    </row>
    <row r="127" spans="2:7" ht="17.25">
      <c r="B127" s="44">
        <v>45928</v>
      </c>
      <c r="C127" s="45" t="s">
        <v>213</v>
      </c>
      <c r="D127" s="45" t="s">
        <v>205</v>
      </c>
      <c r="E127" s="45" t="s">
        <v>214</v>
      </c>
      <c r="F127" s="45">
        <v>35</v>
      </c>
      <c r="G127" s="34">
        <f t="shared" si="0"/>
        <v>269</v>
      </c>
    </row>
    <row r="128" spans="2:7" ht="17.25">
      <c r="B128" s="44">
        <v>45919</v>
      </c>
      <c r="C128" s="45" t="s">
        <v>213</v>
      </c>
      <c r="D128" s="45" t="s">
        <v>205</v>
      </c>
      <c r="E128" s="45" t="s">
        <v>214</v>
      </c>
      <c r="F128" s="45">
        <v>5</v>
      </c>
      <c r="G128" s="34">
        <f t="shared" si="0"/>
        <v>234</v>
      </c>
    </row>
    <row r="129" spans="2:7" ht="17.25">
      <c r="B129" s="44">
        <v>45917</v>
      </c>
      <c r="C129" s="45" t="s">
        <v>213</v>
      </c>
      <c r="D129" s="45" t="s">
        <v>205</v>
      </c>
      <c r="E129" s="45" t="s">
        <v>214</v>
      </c>
      <c r="F129" s="45">
        <v>5</v>
      </c>
      <c r="G129" s="34">
        <f t="shared" si="0"/>
        <v>229</v>
      </c>
    </row>
    <row r="130" spans="2:7" ht="17.25">
      <c r="B130" s="44">
        <v>45916</v>
      </c>
      <c r="C130" s="45" t="s">
        <v>215</v>
      </c>
      <c r="D130" s="45" t="s">
        <v>208</v>
      </c>
      <c r="E130" s="45" t="s">
        <v>208</v>
      </c>
      <c r="F130" s="45">
        <v>1</v>
      </c>
      <c r="G130" s="34">
        <f t="shared" si="0"/>
        <v>224</v>
      </c>
    </row>
    <row r="131" spans="2:7" ht="17.25">
      <c r="B131" s="44">
        <v>45915</v>
      </c>
      <c r="C131" s="45" t="s">
        <v>215</v>
      </c>
      <c r="D131" s="45" t="s">
        <v>209</v>
      </c>
      <c r="E131" s="45" t="s">
        <v>217</v>
      </c>
      <c r="F131" s="45">
        <v>1</v>
      </c>
      <c r="G131" s="34">
        <f t="shared" si="0"/>
        <v>223</v>
      </c>
    </row>
    <row r="132" spans="2:7" ht="17.25">
      <c r="B132" s="44">
        <v>45911</v>
      </c>
      <c r="C132" s="45" t="s">
        <v>215</v>
      </c>
      <c r="D132" s="45" t="s">
        <v>207</v>
      </c>
      <c r="E132" s="45" t="s">
        <v>218</v>
      </c>
      <c r="F132" s="45">
        <v>5</v>
      </c>
      <c r="G132" s="34">
        <f t="shared" si="0"/>
        <v>222</v>
      </c>
    </row>
    <row r="133" spans="2:7" ht="17.25">
      <c r="B133" s="44">
        <v>45905</v>
      </c>
      <c r="C133" s="45" t="s">
        <v>213</v>
      </c>
      <c r="D133" s="45" t="s">
        <v>205</v>
      </c>
      <c r="E133" s="45" t="s">
        <v>214</v>
      </c>
      <c r="F133" s="45">
        <v>5</v>
      </c>
      <c r="G133" s="34">
        <f t="shared" si="0"/>
        <v>217</v>
      </c>
    </row>
    <row r="134" spans="2:7" ht="17.25">
      <c r="B134" s="44">
        <v>45903</v>
      </c>
      <c r="C134" s="45" t="s">
        <v>213</v>
      </c>
      <c r="D134" s="45" t="s">
        <v>205</v>
      </c>
      <c r="E134" s="45" t="s">
        <v>214</v>
      </c>
      <c r="F134" s="45">
        <v>5</v>
      </c>
      <c r="G134" s="34">
        <f t="shared" si="0"/>
        <v>212</v>
      </c>
    </row>
    <row r="135" spans="2:7" ht="17.25">
      <c r="B135" s="44">
        <v>45893</v>
      </c>
      <c r="C135" s="45" t="s">
        <v>213</v>
      </c>
      <c r="D135" s="45" t="s">
        <v>205</v>
      </c>
      <c r="E135" s="45" t="s">
        <v>214</v>
      </c>
      <c r="F135" s="45">
        <v>5</v>
      </c>
      <c r="G135" s="34">
        <f t="shared" si="0"/>
        <v>207</v>
      </c>
    </row>
    <row r="136" spans="2:7" ht="17.25">
      <c r="B136" s="44">
        <v>45892</v>
      </c>
      <c r="C136" s="45" t="s">
        <v>213</v>
      </c>
      <c r="D136" s="45" t="s">
        <v>205</v>
      </c>
      <c r="E136" s="45" t="s">
        <v>214</v>
      </c>
      <c r="F136" s="45">
        <v>5</v>
      </c>
      <c r="G136" s="34">
        <f t="shared" si="0"/>
        <v>202</v>
      </c>
    </row>
    <row r="137" spans="2:7" ht="17.25">
      <c r="B137" s="44">
        <v>45888</v>
      </c>
      <c r="C137" s="45" t="s">
        <v>215</v>
      </c>
      <c r="D137" s="45" t="s">
        <v>208</v>
      </c>
      <c r="E137" s="45" t="s">
        <v>208</v>
      </c>
      <c r="F137" s="45">
        <v>1</v>
      </c>
      <c r="G137" s="34">
        <f t="shared" si="0"/>
        <v>197</v>
      </c>
    </row>
    <row r="138" spans="2:7" ht="17.25">
      <c r="B138" s="44">
        <v>45884</v>
      </c>
      <c r="C138" s="45" t="s">
        <v>215</v>
      </c>
      <c r="D138" s="45" t="s">
        <v>209</v>
      </c>
      <c r="E138" s="45" t="s">
        <v>217</v>
      </c>
      <c r="F138" s="45">
        <v>1</v>
      </c>
      <c r="G138" s="34">
        <f t="shared" si="0"/>
        <v>196</v>
      </c>
    </row>
    <row r="139" spans="2:7" ht="17.25">
      <c r="B139" s="44">
        <v>45877</v>
      </c>
      <c r="C139" s="45" t="s">
        <v>213</v>
      </c>
      <c r="D139" s="45" t="s">
        <v>205</v>
      </c>
      <c r="E139" s="45" t="s">
        <v>214</v>
      </c>
      <c r="F139" s="45">
        <v>10</v>
      </c>
      <c r="G139" s="34">
        <f t="shared" si="0"/>
        <v>195</v>
      </c>
    </row>
    <row r="140" spans="2:7" ht="16.5">
      <c r="B140" s="46">
        <v>45874</v>
      </c>
      <c r="C140" s="33" t="s">
        <v>213</v>
      </c>
      <c r="D140" s="33" t="s">
        <v>205</v>
      </c>
      <c r="E140" s="33" t="s">
        <v>214</v>
      </c>
      <c r="F140" s="33">
        <v>5</v>
      </c>
      <c r="G140" s="34">
        <f t="shared" si="0"/>
        <v>185</v>
      </c>
    </row>
    <row r="141" spans="2:7" ht="16.5">
      <c r="B141" s="46">
        <v>45873</v>
      </c>
      <c r="C141" s="33" t="s">
        <v>213</v>
      </c>
      <c r="D141" s="33" t="s">
        <v>205</v>
      </c>
      <c r="E141" s="33" t="s">
        <v>214</v>
      </c>
      <c r="F141" s="33">
        <v>5</v>
      </c>
      <c r="G141" s="34">
        <f t="shared" si="0"/>
        <v>180</v>
      </c>
    </row>
    <row r="142" spans="2:7" ht="16.5">
      <c r="B142" s="46">
        <v>45867</v>
      </c>
      <c r="C142" s="33" t="s">
        <v>213</v>
      </c>
      <c r="D142" s="33" t="s">
        <v>205</v>
      </c>
      <c r="E142" s="33" t="s">
        <v>214</v>
      </c>
      <c r="F142" s="33">
        <v>5</v>
      </c>
      <c r="G142" s="34">
        <f t="shared" si="0"/>
        <v>175</v>
      </c>
    </row>
    <row r="143" spans="2:7" ht="16.5">
      <c r="B143" s="46">
        <v>45862</v>
      </c>
      <c r="C143" s="33" t="s">
        <v>213</v>
      </c>
      <c r="D143" s="33" t="s">
        <v>205</v>
      </c>
      <c r="E143" s="33" t="s">
        <v>214</v>
      </c>
      <c r="F143" s="33">
        <v>5</v>
      </c>
      <c r="G143" s="34">
        <f t="shared" si="0"/>
        <v>170</v>
      </c>
    </row>
    <row r="144" spans="2:7" ht="16.5">
      <c r="B144" s="46">
        <v>45838</v>
      </c>
      <c r="C144" s="33" t="s">
        <v>213</v>
      </c>
      <c r="D144" s="33" t="s">
        <v>205</v>
      </c>
      <c r="E144" s="33" t="s">
        <v>214</v>
      </c>
      <c r="F144" s="33">
        <v>5</v>
      </c>
      <c r="G144" s="34">
        <f t="shared" si="0"/>
        <v>165</v>
      </c>
    </row>
    <row r="145" spans="2:7" ht="16.5">
      <c r="B145" s="46">
        <v>45836</v>
      </c>
      <c r="C145" s="33" t="s">
        <v>213</v>
      </c>
      <c r="D145" s="33" t="s">
        <v>205</v>
      </c>
      <c r="E145" s="33" t="s">
        <v>214</v>
      </c>
      <c r="F145" s="33">
        <v>5</v>
      </c>
      <c r="G145" s="34">
        <f t="shared" si="0"/>
        <v>160</v>
      </c>
    </row>
    <row r="146" spans="2:7" ht="16.5">
      <c r="B146" s="46">
        <v>45789</v>
      </c>
      <c r="C146" s="33" t="s">
        <v>213</v>
      </c>
      <c r="D146" s="33" t="s">
        <v>205</v>
      </c>
      <c r="E146" s="33" t="s">
        <v>214</v>
      </c>
      <c r="F146" s="33">
        <v>5</v>
      </c>
      <c r="G146" s="34">
        <f t="shared" si="0"/>
        <v>155</v>
      </c>
    </row>
    <row r="147" spans="2:7" ht="16.5">
      <c r="B147" s="46">
        <v>45786</v>
      </c>
      <c r="C147" s="33" t="s">
        <v>213</v>
      </c>
      <c r="D147" s="33" t="s">
        <v>205</v>
      </c>
      <c r="E147" s="33" t="s">
        <v>214</v>
      </c>
      <c r="F147" s="33">
        <v>5</v>
      </c>
      <c r="G147" s="34">
        <f t="shared" si="0"/>
        <v>150</v>
      </c>
    </row>
    <row r="148" spans="2:7" ht="16.5">
      <c r="B148" s="46">
        <v>45729</v>
      </c>
      <c r="C148" s="33" t="s">
        <v>213</v>
      </c>
      <c r="D148" s="33" t="s">
        <v>205</v>
      </c>
      <c r="E148" s="33" t="s">
        <v>214</v>
      </c>
      <c r="F148" s="33">
        <v>10</v>
      </c>
      <c r="G148" s="34">
        <f t="shared" si="0"/>
        <v>145</v>
      </c>
    </row>
    <row r="149" spans="2:7" ht="16.5">
      <c r="B149" s="46">
        <v>45684</v>
      </c>
      <c r="C149" s="33" t="s">
        <v>213</v>
      </c>
      <c r="D149" s="33" t="s">
        <v>205</v>
      </c>
      <c r="E149" s="33" t="s">
        <v>214</v>
      </c>
      <c r="F149" s="33">
        <v>5</v>
      </c>
      <c r="G149" s="34">
        <f t="shared" si="0"/>
        <v>135</v>
      </c>
    </row>
    <row r="150" spans="2:7" ht="16.5">
      <c r="B150" s="46">
        <v>45682</v>
      </c>
      <c r="C150" s="33" t="s">
        <v>213</v>
      </c>
      <c r="D150" s="33" t="s">
        <v>205</v>
      </c>
      <c r="E150" s="33" t="s">
        <v>214</v>
      </c>
      <c r="F150" s="33">
        <v>5</v>
      </c>
      <c r="G150" s="34">
        <f>G151+F150</f>
        <v>130</v>
      </c>
    </row>
    <row r="151" spans="2:7" ht="16.5">
      <c r="B151" s="46">
        <v>45652</v>
      </c>
      <c r="C151" s="33" t="s">
        <v>213</v>
      </c>
      <c r="D151" s="33" t="s">
        <v>205</v>
      </c>
      <c r="E151" s="33" t="s">
        <v>214</v>
      </c>
      <c r="F151" s="33">
        <v>5</v>
      </c>
      <c r="G151" s="34">
        <f t="shared" si="0"/>
        <v>125</v>
      </c>
    </row>
    <row r="152" spans="2:7" ht="16.5">
      <c r="B152" s="46">
        <v>45649</v>
      </c>
      <c r="C152" s="33" t="s">
        <v>213</v>
      </c>
      <c r="D152" s="33" t="s">
        <v>205</v>
      </c>
      <c r="E152" s="33" t="s">
        <v>214</v>
      </c>
      <c r="F152" s="33">
        <v>5</v>
      </c>
      <c r="G152" s="34">
        <f t="shared" si="0"/>
        <v>120</v>
      </c>
    </row>
    <row r="153" spans="2:7" ht="16.5">
      <c r="B153" s="46">
        <v>45648</v>
      </c>
      <c r="C153" s="33" t="s">
        <v>213</v>
      </c>
      <c r="D153" s="33" t="s">
        <v>205</v>
      </c>
      <c r="E153" s="33" t="s">
        <v>214</v>
      </c>
      <c r="F153" s="33">
        <v>5</v>
      </c>
      <c r="G153" s="34">
        <f t="shared" si="0"/>
        <v>115</v>
      </c>
    </row>
    <row r="154" spans="2:7" ht="16.5">
      <c r="B154" s="46">
        <v>45614</v>
      </c>
      <c r="C154" s="33" t="s">
        <v>213</v>
      </c>
      <c r="D154" s="33" t="s">
        <v>205</v>
      </c>
      <c r="E154" s="33" t="s">
        <v>214</v>
      </c>
      <c r="F154" s="33">
        <v>5</v>
      </c>
      <c r="G154" s="34">
        <f t="shared" si="0"/>
        <v>110</v>
      </c>
    </row>
    <row r="155" spans="2:7" ht="16.5">
      <c r="B155" s="46">
        <v>45613</v>
      </c>
      <c r="C155" s="33" t="s">
        <v>213</v>
      </c>
      <c r="D155" s="33" t="s">
        <v>205</v>
      </c>
      <c r="E155" s="33" t="s">
        <v>214</v>
      </c>
      <c r="F155" s="33">
        <v>5</v>
      </c>
      <c r="G155" s="34">
        <f t="shared" si="0"/>
        <v>105</v>
      </c>
    </row>
    <row r="156" spans="2:7" ht="16.5">
      <c r="B156" s="46">
        <v>45592</v>
      </c>
      <c r="C156" s="33" t="s">
        <v>213</v>
      </c>
      <c r="D156" s="33" t="s">
        <v>205</v>
      </c>
      <c r="E156" s="33" t="s">
        <v>214</v>
      </c>
      <c r="F156" s="33">
        <v>5</v>
      </c>
      <c r="G156" s="34">
        <f t="shared" si="0"/>
        <v>100</v>
      </c>
    </row>
    <row r="157" spans="2:7" ht="16.5">
      <c r="B157" s="46">
        <v>45591</v>
      </c>
      <c r="C157" s="33" t="s">
        <v>213</v>
      </c>
      <c r="D157" s="33" t="s">
        <v>205</v>
      </c>
      <c r="E157" s="33" t="s">
        <v>214</v>
      </c>
      <c r="F157" s="33">
        <v>5</v>
      </c>
      <c r="G157" s="34">
        <f t="shared" si="0"/>
        <v>95</v>
      </c>
    </row>
    <row r="158" spans="2:7" ht="16.5">
      <c r="B158" s="46">
        <v>45514</v>
      </c>
      <c r="C158" s="33" t="s">
        <v>213</v>
      </c>
      <c r="D158" s="33" t="s">
        <v>205</v>
      </c>
      <c r="E158" s="33" t="s">
        <v>214</v>
      </c>
      <c r="F158" s="33">
        <v>5</v>
      </c>
      <c r="G158" s="34">
        <f t="shared" si="0"/>
        <v>90</v>
      </c>
    </row>
    <row r="159" spans="2:7" ht="16.5">
      <c r="B159" s="46">
        <v>45513</v>
      </c>
      <c r="C159" s="33" t="s">
        <v>213</v>
      </c>
      <c r="D159" s="33" t="s">
        <v>205</v>
      </c>
      <c r="E159" s="33" t="s">
        <v>214</v>
      </c>
      <c r="F159" s="33">
        <v>5</v>
      </c>
      <c r="G159" s="34">
        <f t="shared" si="0"/>
        <v>85</v>
      </c>
    </row>
    <row r="160" spans="2:7" ht="16.5">
      <c r="B160" s="46">
        <v>45335</v>
      </c>
      <c r="C160" s="33" t="s">
        <v>213</v>
      </c>
      <c r="D160" s="33" t="s">
        <v>222</v>
      </c>
      <c r="E160" s="33" t="s">
        <v>223</v>
      </c>
      <c r="F160" s="33">
        <v>20</v>
      </c>
      <c r="G160" s="34">
        <f t="shared" si="0"/>
        <v>80</v>
      </c>
    </row>
    <row r="161" spans="2:7" ht="16.5">
      <c r="B161" s="46">
        <v>45334</v>
      </c>
      <c r="C161" s="33" t="s">
        <v>213</v>
      </c>
      <c r="D161" s="33" t="s">
        <v>222</v>
      </c>
      <c r="E161" s="33" t="s">
        <v>223</v>
      </c>
      <c r="F161" s="33">
        <v>20</v>
      </c>
      <c r="G161" s="34">
        <f t="shared" si="0"/>
        <v>60</v>
      </c>
    </row>
    <row r="162" spans="2:7" ht="16.5">
      <c r="B162" s="46">
        <v>45291</v>
      </c>
      <c r="C162" s="33" t="s">
        <v>213</v>
      </c>
      <c r="D162" s="33" t="s">
        <v>222</v>
      </c>
      <c r="E162" s="33" t="s">
        <v>223</v>
      </c>
      <c r="F162" s="33">
        <v>30</v>
      </c>
      <c r="G162" s="34">
        <f>G163+F162</f>
        <v>40</v>
      </c>
    </row>
    <row r="163" spans="2:7" ht="16.5">
      <c r="B163" s="67">
        <v>45291</v>
      </c>
      <c r="C163" s="68" t="s">
        <v>213</v>
      </c>
      <c r="D163" s="68" t="s">
        <v>205</v>
      </c>
      <c r="E163" s="68" t="s">
        <v>214</v>
      </c>
      <c r="F163" s="68">
        <v>10</v>
      </c>
      <c r="G163" s="69">
        <f>F163</f>
        <v>10</v>
      </c>
    </row>
    <row r="164" spans="2:7" ht="15.75">
      <c r="B164" s="35"/>
      <c r="C164" s="32"/>
      <c r="D164" s="32"/>
      <c r="E164" s="32"/>
      <c r="F164" s="45"/>
      <c r="G164" s="34"/>
    </row>
    <row r="165" spans="2:7" ht="15.75">
      <c r="B165" s="35"/>
      <c r="C165" s="32"/>
      <c r="D165" s="32"/>
      <c r="E165" s="32"/>
      <c r="F165" s="32"/>
      <c r="G165" s="34"/>
    </row>
    <row r="166" spans="2:7">
      <c r="B166" s="34"/>
      <c r="C166" s="34"/>
      <c r="D166" s="34"/>
      <c r="E166" s="34"/>
      <c r="F166" s="34"/>
      <c r="G166" s="34"/>
    </row>
    <row r="167" spans="2:7">
      <c r="B167" s="34"/>
      <c r="C167" s="34"/>
      <c r="D167" s="34"/>
      <c r="E167" s="34"/>
      <c r="F167" s="34"/>
      <c r="G167" s="34"/>
    </row>
    <row r="168" spans="2:7">
      <c r="B168" s="34"/>
      <c r="C168" s="34"/>
      <c r="D168" s="34"/>
      <c r="E168" s="34"/>
      <c r="F168" s="34"/>
      <c r="G168" s="34"/>
    </row>
    <row r="169" spans="2:7">
      <c r="B169" s="34"/>
      <c r="C169" s="34"/>
      <c r="D169" s="34"/>
      <c r="E169" s="34"/>
      <c r="F169" s="34"/>
      <c r="G169" s="34"/>
    </row>
    <row r="170" spans="2:7">
      <c r="B170" s="34"/>
      <c r="C170" s="34"/>
      <c r="D170" s="34"/>
      <c r="E170" s="34"/>
      <c r="F170" s="34"/>
      <c r="G170" s="34"/>
    </row>
    <row r="171" spans="2:7">
      <c r="B171" s="34"/>
      <c r="C171" s="34"/>
      <c r="D171" s="34"/>
      <c r="E171" s="34"/>
      <c r="F171" s="34"/>
      <c r="G171" s="34"/>
    </row>
    <row r="172" spans="2:7">
      <c r="B172" s="34"/>
      <c r="C172" s="34"/>
      <c r="D172" s="34"/>
      <c r="E172" s="34"/>
      <c r="F172" s="34"/>
      <c r="G172" s="34"/>
    </row>
    <row r="173" spans="2:7">
      <c r="B173" s="34"/>
      <c r="C173" s="34"/>
      <c r="D173" s="34"/>
      <c r="E173" s="34"/>
      <c r="F173" s="34"/>
      <c r="G173" s="34"/>
    </row>
    <row r="174" spans="2:7">
      <c r="B174" s="34"/>
      <c r="C174" s="34"/>
      <c r="D174" s="34"/>
      <c r="E174" s="34"/>
      <c r="F174" s="34"/>
      <c r="G174" s="34"/>
    </row>
    <row r="175" spans="2:7">
      <c r="B175" s="34"/>
      <c r="C175" s="34"/>
      <c r="D175" s="34"/>
      <c r="E175" s="34"/>
      <c r="F175" s="34"/>
      <c r="G175" s="34"/>
    </row>
    <row r="176" spans="2:7">
      <c r="B176" s="34"/>
      <c r="C176" s="34"/>
      <c r="D176" s="34"/>
      <c r="E176" s="34"/>
      <c r="F176" s="34"/>
      <c r="G176" s="34"/>
    </row>
    <row r="177" spans="2:7">
      <c r="B177" s="34"/>
      <c r="C177" s="34"/>
      <c r="D177" s="34"/>
      <c r="E177" s="34"/>
      <c r="F177" s="34"/>
      <c r="G177" s="34"/>
    </row>
    <row r="178" spans="2:7">
      <c r="B178" s="34"/>
      <c r="C178" s="34"/>
      <c r="D178" s="34"/>
      <c r="E178" s="34"/>
      <c r="F178" s="34"/>
      <c r="G178" s="34"/>
    </row>
    <row r="179" spans="2:7">
      <c r="B179" s="34"/>
      <c r="C179" s="34"/>
      <c r="D179" s="34"/>
      <c r="E179" s="34"/>
      <c r="F179" s="34"/>
      <c r="G179" s="34"/>
    </row>
    <row r="180" spans="2:7">
      <c r="B180" s="34"/>
      <c r="C180" s="34"/>
      <c r="D180" s="34"/>
      <c r="E180" s="34"/>
      <c r="F180" s="34"/>
      <c r="G180" s="34"/>
    </row>
    <row r="181" spans="2:7">
      <c r="B181" s="34"/>
      <c r="C181" s="34"/>
      <c r="D181" s="34"/>
      <c r="E181" s="34"/>
      <c r="F181" s="34"/>
      <c r="G181" s="34"/>
    </row>
    <row r="182" spans="2:7">
      <c r="B182" s="34"/>
      <c r="C182" s="34"/>
      <c r="D182" s="34"/>
      <c r="E182" s="34"/>
      <c r="F182" s="34"/>
      <c r="G182" s="34"/>
    </row>
    <row r="183" spans="2:7">
      <c r="B183" s="34"/>
      <c r="C183" s="34"/>
      <c r="D183" s="34"/>
      <c r="E183" s="34"/>
      <c r="F183" s="34"/>
      <c r="G183" s="34"/>
    </row>
  </sheetData>
  <autoFilter ref="B2:G165" xr:uid="{FF582C36-6AED-433D-BA75-169649376AF6}">
    <sortState xmlns:xlrd2="http://schemas.microsoft.com/office/spreadsheetml/2017/richdata2" ref="B3:G165">
      <sortCondition ref="G2:G165"/>
    </sortState>
  </autoFilter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EF3C4E-F452-4BBC-81DB-9BE6F59D48AA}">
  <dimension ref="A1:M324"/>
  <sheetViews>
    <sheetView tabSelected="1" workbookViewId="0">
      <selection activeCell="E19" sqref="E19"/>
    </sheetView>
  </sheetViews>
  <sheetFormatPr defaultRowHeight="13.5"/>
  <cols>
    <col min="1" max="1" width="4.28515625" bestFit="1" customWidth="1"/>
    <col min="2" max="13" width="17.5703125" customWidth="1"/>
  </cols>
  <sheetData>
    <row r="1" spans="1:13">
      <c r="A1" s="16" t="s">
        <v>224</v>
      </c>
      <c r="B1" s="17" t="s">
        <v>0</v>
      </c>
      <c r="C1" s="17" t="s">
        <v>225</v>
      </c>
      <c r="D1" s="17" t="s">
        <v>226</v>
      </c>
      <c r="E1" s="17" t="s">
        <v>227</v>
      </c>
      <c r="F1" s="17" t="s">
        <v>228</v>
      </c>
      <c r="G1" s="17" t="s">
        <v>229</v>
      </c>
      <c r="H1" s="17" t="s">
        <v>230</v>
      </c>
      <c r="I1" s="18" t="s">
        <v>231</v>
      </c>
      <c r="J1" s="18" t="s">
        <v>232</v>
      </c>
      <c r="K1" s="18" t="s">
        <v>233</v>
      </c>
      <c r="L1" s="18" t="s">
        <v>234</v>
      </c>
      <c r="M1" s="17" t="s">
        <v>235</v>
      </c>
    </row>
    <row r="2" spans="1:13" hidden="1">
      <c r="A2" s="14">
        <v>1</v>
      </c>
      <c r="B2" s="43">
        <v>45926</v>
      </c>
      <c r="C2" s="12" t="s">
        <v>236</v>
      </c>
      <c r="D2" s="12">
        <v>305</v>
      </c>
      <c r="E2" s="12" t="s">
        <v>237</v>
      </c>
      <c r="F2" s="13">
        <v>0.30208333333333331</v>
      </c>
      <c r="G2" s="12" t="s">
        <v>238</v>
      </c>
      <c r="H2" s="13">
        <v>0.375</v>
      </c>
      <c r="I2" s="15" t="s">
        <v>239</v>
      </c>
      <c r="J2" s="15"/>
      <c r="K2" s="22">
        <v>13320</v>
      </c>
      <c r="L2" s="15" t="s">
        <v>240</v>
      </c>
      <c r="M2" s="63"/>
    </row>
    <row r="3" spans="1:13" hidden="1">
      <c r="A3" s="14">
        <v>2</v>
      </c>
      <c r="B3" s="42">
        <v>45926</v>
      </c>
      <c r="C3" s="12" t="s">
        <v>241</v>
      </c>
      <c r="D3" s="12">
        <v>3563</v>
      </c>
      <c r="E3" s="12" t="s">
        <v>238</v>
      </c>
      <c r="F3" s="13">
        <v>0.41319444444444442</v>
      </c>
      <c r="G3" s="12" t="s">
        <v>242</v>
      </c>
      <c r="H3" s="13">
        <v>0.4548611111111111</v>
      </c>
      <c r="I3" s="15" t="s">
        <v>243</v>
      </c>
      <c r="J3" s="15"/>
      <c r="K3" s="22">
        <v>12963</v>
      </c>
      <c r="L3" s="15" t="s">
        <v>240</v>
      </c>
      <c r="M3" s="15"/>
    </row>
    <row r="4" spans="1:13" hidden="1">
      <c r="A4" s="14">
        <v>3</v>
      </c>
      <c r="B4" s="42">
        <v>45926</v>
      </c>
      <c r="C4" s="12" t="s">
        <v>241</v>
      </c>
      <c r="D4" s="12">
        <v>3564</v>
      </c>
      <c r="E4" s="12" t="s">
        <v>242</v>
      </c>
      <c r="F4" s="13">
        <v>0.47916666666666669</v>
      </c>
      <c r="G4" s="12" t="s">
        <v>238</v>
      </c>
      <c r="H4" s="13">
        <v>0.52430555555555558</v>
      </c>
      <c r="I4" s="15" t="s">
        <v>244</v>
      </c>
      <c r="J4" s="15"/>
      <c r="K4" s="22">
        <v>12963</v>
      </c>
      <c r="L4" s="15" t="s">
        <v>240</v>
      </c>
      <c r="M4" s="15"/>
    </row>
    <row r="5" spans="1:13" hidden="1">
      <c r="A5" s="14">
        <v>4</v>
      </c>
      <c r="B5" s="42">
        <v>45926</v>
      </c>
      <c r="C5" s="12" t="s">
        <v>241</v>
      </c>
      <c r="D5" s="12">
        <v>3629</v>
      </c>
      <c r="E5" s="12" t="s">
        <v>238</v>
      </c>
      <c r="F5" s="13">
        <v>0.54861111111111116</v>
      </c>
      <c r="G5" s="12" t="s">
        <v>245</v>
      </c>
      <c r="H5" s="13">
        <v>0.57986111111111116</v>
      </c>
      <c r="I5" s="15" t="s">
        <v>244</v>
      </c>
      <c r="J5" s="15"/>
      <c r="K5" s="22">
        <v>6171</v>
      </c>
      <c r="L5" s="15" t="s">
        <v>240</v>
      </c>
      <c r="M5" s="15"/>
    </row>
    <row r="6" spans="1:13" hidden="1">
      <c r="A6" s="14">
        <v>5</v>
      </c>
      <c r="B6" s="42">
        <v>45926</v>
      </c>
      <c r="C6" s="12" t="s">
        <v>241</v>
      </c>
      <c r="D6" s="12">
        <v>3630</v>
      </c>
      <c r="E6" s="12" t="s">
        <v>245</v>
      </c>
      <c r="F6" s="13">
        <v>0.60069444444444442</v>
      </c>
      <c r="G6" s="12" t="s">
        <v>238</v>
      </c>
      <c r="H6" s="13">
        <v>0.63541666666666663</v>
      </c>
      <c r="I6" s="15" t="s">
        <v>246</v>
      </c>
      <c r="J6" s="15"/>
      <c r="K6" s="22">
        <v>9410</v>
      </c>
      <c r="L6" s="15" t="s">
        <v>240</v>
      </c>
      <c r="M6" s="15"/>
    </row>
    <row r="7" spans="1:13" hidden="1">
      <c r="A7" s="14">
        <v>6</v>
      </c>
      <c r="B7" s="42">
        <v>45926</v>
      </c>
      <c r="C7" s="12" t="s">
        <v>247</v>
      </c>
      <c r="D7" s="23">
        <v>61</v>
      </c>
      <c r="E7" s="12" t="s">
        <v>238</v>
      </c>
      <c r="F7" s="13">
        <v>0.66319444444444442</v>
      </c>
      <c r="G7" s="12" t="s">
        <v>248</v>
      </c>
      <c r="H7" s="13">
        <v>0.73263888888888884</v>
      </c>
      <c r="I7" s="15" t="s">
        <v>249</v>
      </c>
      <c r="J7" s="15"/>
      <c r="K7" s="22">
        <v>10591</v>
      </c>
      <c r="L7" s="15" t="s">
        <v>240</v>
      </c>
      <c r="M7" s="15"/>
    </row>
    <row r="8" spans="1:13" hidden="1">
      <c r="A8" s="14">
        <v>7</v>
      </c>
      <c r="B8" s="42">
        <v>45926</v>
      </c>
      <c r="C8" s="12" t="s">
        <v>247</v>
      </c>
      <c r="D8" s="23">
        <v>60</v>
      </c>
      <c r="E8" s="12" t="s">
        <v>248</v>
      </c>
      <c r="F8" s="13">
        <v>0.76736111111111116</v>
      </c>
      <c r="G8" s="12" t="s">
        <v>238</v>
      </c>
      <c r="H8" s="13">
        <v>0.84027777777777779</v>
      </c>
      <c r="I8" s="15" t="s">
        <v>250</v>
      </c>
      <c r="J8" s="15"/>
      <c r="K8" s="22">
        <v>16965</v>
      </c>
      <c r="L8" s="15" t="s">
        <v>240</v>
      </c>
      <c r="M8" s="15"/>
    </row>
    <row r="9" spans="1:13" hidden="1">
      <c r="A9" s="14">
        <v>8</v>
      </c>
      <c r="B9" s="42">
        <v>45927</v>
      </c>
      <c r="C9" s="12" t="s">
        <v>247</v>
      </c>
      <c r="D9" s="12">
        <v>51</v>
      </c>
      <c r="E9" s="12" t="s">
        <v>238</v>
      </c>
      <c r="F9" s="13">
        <v>0.30208333333333331</v>
      </c>
      <c r="G9" s="12" t="s">
        <v>248</v>
      </c>
      <c r="H9" s="13">
        <v>0.36805555555555558</v>
      </c>
      <c r="I9" s="15" t="s">
        <v>239</v>
      </c>
      <c r="J9" s="15"/>
      <c r="K9" s="22">
        <v>16965</v>
      </c>
      <c r="L9" s="15" t="s">
        <v>240</v>
      </c>
      <c r="M9" s="15"/>
    </row>
    <row r="10" spans="1:13" hidden="1">
      <c r="A10" s="14">
        <v>9</v>
      </c>
      <c r="B10" s="42">
        <v>45927</v>
      </c>
      <c r="C10" s="12" t="s">
        <v>247</v>
      </c>
      <c r="D10" s="12">
        <v>605</v>
      </c>
      <c r="E10" s="12" t="s">
        <v>248</v>
      </c>
      <c r="F10" s="13">
        <v>0.39930555555555558</v>
      </c>
      <c r="G10" s="12" t="s">
        <v>251</v>
      </c>
      <c r="H10" s="13">
        <v>0.44097222222222221</v>
      </c>
      <c r="I10" s="15" t="s">
        <v>249</v>
      </c>
      <c r="J10" s="15"/>
      <c r="K10" s="22">
        <v>6180</v>
      </c>
      <c r="L10" s="15" t="s">
        <v>240</v>
      </c>
      <c r="M10" s="15"/>
    </row>
    <row r="11" spans="1:13" hidden="1">
      <c r="A11" s="14">
        <v>10</v>
      </c>
      <c r="B11" s="42">
        <v>45927</v>
      </c>
      <c r="C11" s="12" t="s">
        <v>252</v>
      </c>
      <c r="D11" s="12">
        <v>743</v>
      </c>
      <c r="E11" s="12" t="s">
        <v>251</v>
      </c>
      <c r="F11" s="13">
        <v>0.52430555555555558</v>
      </c>
      <c r="G11" s="12" t="s">
        <v>253</v>
      </c>
      <c r="H11" s="13">
        <v>0.54513888888888884</v>
      </c>
      <c r="I11" s="15" t="s">
        <v>254</v>
      </c>
      <c r="J11" s="15"/>
      <c r="K11" s="22">
        <v>6583</v>
      </c>
      <c r="L11" s="15" t="s">
        <v>240</v>
      </c>
      <c r="M11" s="15"/>
    </row>
    <row r="12" spans="1:13" hidden="1">
      <c r="A12" s="14">
        <v>11</v>
      </c>
      <c r="B12" s="42">
        <v>45927</v>
      </c>
      <c r="C12" s="12" t="s">
        <v>252</v>
      </c>
      <c r="D12" s="12">
        <v>744</v>
      </c>
      <c r="E12" s="12" t="s">
        <v>253</v>
      </c>
      <c r="F12" s="13">
        <v>0.56597222222222221</v>
      </c>
      <c r="G12" s="12" t="s">
        <v>251</v>
      </c>
      <c r="H12" s="13">
        <v>0.58680555555555558</v>
      </c>
      <c r="I12" s="15" t="s">
        <v>246</v>
      </c>
      <c r="J12" s="15"/>
      <c r="K12" s="22">
        <v>6583</v>
      </c>
      <c r="L12" s="15" t="s">
        <v>240</v>
      </c>
      <c r="M12" s="15"/>
    </row>
    <row r="13" spans="1:13" hidden="1">
      <c r="A13" s="14">
        <v>12</v>
      </c>
      <c r="B13" s="42">
        <v>45927</v>
      </c>
      <c r="C13" s="12" t="s">
        <v>252</v>
      </c>
      <c r="D13" s="12">
        <v>834</v>
      </c>
      <c r="E13" s="12" t="s">
        <v>251</v>
      </c>
      <c r="F13" s="13">
        <v>0.61111111111111116</v>
      </c>
      <c r="G13" s="12" t="s">
        <v>255</v>
      </c>
      <c r="H13" s="13">
        <v>0.63194444444444442</v>
      </c>
      <c r="I13" s="15" t="s">
        <v>244</v>
      </c>
      <c r="J13" s="15"/>
      <c r="K13" s="22">
        <v>9020</v>
      </c>
      <c r="L13" s="15" t="s">
        <v>240</v>
      </c>
      <c r="M13" s="15"/>
    </row>
    <row r="14" spans="1:13" hidden="1">
      <c r="A14" s="14">
        <v>13</v>
      </c>
      <c r="B14" s="42">
        <v>45927</v>
      </c>
      <c r="C14" s="12" t="s">
        <v>252</v>
      </c>
      <c r="D14" s="12">
        <v>897</v>
      </c>
      <c r="E14" s="12" t="s">
        <v>255</v>
      </c>
      <c r="F14" s="13">
        <v>0.65277777777777779</v>
      </c>
      <c r="G14" s="12" t="s">
        <v>256</v>
      </c>
      <c r="H14" s="13">
        <v>0.67013888888888884</v>
      </c>
      <c r="I14" s="15" t="s">
        <v>246</v>
      </c>
      <c r="J14" s="15"/>
      <c r="K14" s="22">
        <v>5434</v>
      </c>
      <c r="L14" s="15" t="s">
        <v>240</v>
      </c>
      <c r="M14" s="15"/>
    </row>
    <row r="15" spans="1:13" hidden="1">
      <c r="A15" s="14">
        <v>14</v>
      </c>
      <c r="B15" s="42">
        <v>45927</v>
      </c>
      <c r="C15" s="12" t="s">
        <v>252</v>
      </c>
      <c r="D15" s="12">
        <v>898</v>
      </c>
      <c r="E15" s="12" t="s">
        <v>256</v>
      </c>
      <c r="F15" s="13">
        <v>0.69444444444444442</v>
      </c>
      <c r="G15" s="12" t="s">
        <v>255</v>
      </c>
      <c r="H15" s="13">
        <v>0.71180555555555558</v>
      </c>
      <c r="I15" s="15" t="s">
        <v>244</v>
      </c>
      <c r="J15" s="15"/>
      <c r="K15" s="22">
        <v>5434</v>
      </c>
      <c r="L15" s="15" t="s">
        <v>240</v>
      </c>
      <c r="M15" s="15"/>
    </row>
    <row r="16" spans="1:13" hidden="1">
      <c r="A16" s="14">
        <v>15</v>
      </c>
      <c r="B16" s="42">
        <v>45927</v>
      </c>
      <c r="C16" s="12" t="s">
        <v>247</v>
      </c>
      <c r="D16" s="12">
        <v>566</v>
      </c>
      <c r="E16" s="12" t="s">
        <v>255</v>
      </c>
      <c r="F16" s="13">
        <v>0.74652777777777779</v>
      </c>
      <c r="G16" s="12" t="s">
        <v>248</v>
      </c>
      <c r="H16" s="13">
        <v>0.78472222222222221</v>
      </c>
      <c r="I16" s="15" t="s">
        <v>244</v>
      </c>
      <c r="J16" s="15"/>
      <c r="K16" s="22">
        <v>6290</v>
      </c>
      <c r="L16" s="15" t="s">
        <v>240</v>
      </c>
      <c r="M16" s="15"/>
    </row>
    <row r="17" spans="1:13" hidden="1">
      <c r="A17" s="14">
        <v>16</v>
      </c>
      <c r="B17" s="42">
        <v>45927</v>
      </c>
      <c r="C17" s="12" t="s">
        <v>247</v>
      </c>
      <c r="D17" s="12">
        <v>62</v>
      </c>
      <c r="E17" s="12" t="s">
        <v>248</v>
      </c>
      <c r="F17" s="13">
        <v>0.81597222222222221</v>
      </c>
      <c r="G17" s="12" t="s">
        <v>238</v>
      </c>
      <c r="H17" s="13">
        <v>0.89236111111111116</v>
      </c>
      <c r="I17" s="15" t="s">
        <v>257</v>
      </c>
      <c r="J17" s="15"/>
      <c r="K17" s="22">
        <v>10591</v>
      </c>
      <c r="L17" s="15" t="s">
        <v>240</v>
      </c>
      <c r="M17" s="15"/>
    </row>
    <row r="18" spans="1:13" hidden="1">
      <c r="A18" s="14">
        <v>17</v>
      </c>
      <c r="B18" s="43">
        <v>45928</v>
      </c>
      <c r="C18" s="12" t="s">
        <v>241</v>
      </c>
      <c r="D18" s="12">
        <v>3681</v>
      </c>
      <c r="E18" s="12" t="s">
        <v>238</v>
      </c>
      <c r="F18" s="13">
        <v>0.2951388888888889</v>
      </c>
      <c r="G18" s="12" t="s">
        <v>258</v>
      </c>
      <c r="H18" s="13">
        <v>0.34375</v>
      </c>
      <c r="I18" s="15" t="s">
        <v>239</v>
      </c>
      <c r="J18" s="15"/>
      <c r="K18" s="22">
        <v>13860</v>
      </c>
      <c r="L18" s="15" t="s">
        <v>240</v>
      </c>
      <c r="M18" s="15"/>
    </row>
    <row r="19" spans="1:13" hidden="1">
      <c r="A19" s="14">
        <v>18</v>
      </c>
      <c r="B19" s="42">
        <v>45928</v>
      </c>
      <c r="C19" s="12" t="s">
        <v>259</v>
      </c>
      <c r="D19" s="12">
        <v>3831</v>
      </c>
      <c r="E19" s="12" t="s">
        <v>258</v>
      </c>
      <c r="F19" s="13">
        <v>0.3923611111111111</v>
      </c>
      <c r="G19" s="12" t="s">
        <v>260</v>
      </c>
      <c r="H19" s="13">
        <v>0.40625</v>
      </c>
      <c r="I19" s="15" t="s">
        <v>261</v>
      </c>
      <c r="J19" s="15"/>
      <c r="K19" s="22">
        <v>5989</v>
      </c>
      <c r="L19" s="15" t="s">
        <v>240</v>
      </c>
      <c r="M19" s="15"/>
    </row>
    <row r="20" spans="1:13" hidden="1">
      <c r="A20" s="14">
        <v>19</v>
      </c>
      <c r="B20" s="42">
        <v>45928</v>
      </c>
      <c r="C20" s="12" t="s">
        <v>259</v>
      </c>
      <c r="D20" s="12">
        <v>3830</v>
      </c>
      <c r="E20" s="12" t="s">
        <v>260</v>
      </c>
      <c r="F20" s="13">
        <v>0.42708333333333331</v>
      </c>
      <c r="G20" s="12" t="s">
        <v>258</v>
      </c>
      <c r="H20" s="13">
        <v>0.44097222222222221</v>
      </c>
      <c r="I20" s="15" t="s">
        <v>246</v>
      </c>
      <c r="J20" s="15"/>
      <c r="K20" s="22">
        <v>5989</v>
      </c>
      <c r="L20" s="15" t="s">
        <v>240</v>
      </c>
      <c r="M20" s="15"/>
    </row>
    <row r="21" spans="1:13" hidden="1">
      <c r="A21" s="14">
        <v>20</v>
      </c>
      <c r="B21" s="42">
        <v>45928</v>
      </c>
      <c r="C21" s="12" t="s">
        <v>259</v>
      </c>
      <c r="D21" s="12">
        <v>3841</v>
      </c>
      <c r="E21" s="12" t="s">
        <v>258</v>
      </c>
      <c r="F21" s="13">
        <v>0.4548611111111111</v>
      </c>
      <c r="G21" s="12" t="s">
        <v>262</v>
      </c>
      <c r="H21" s="13">
        <v>0.47916666666666669</v>
      </c>
      <c r="I21" s="15" t="s">
        <v>263</v>
      </c>
      <c r="J21" s="15"/>
      <c r="K21" s="22">
        <v>10450</v>
      </c>
      <c r="L21" s="15" t="s">
        <v>240</v>
      </c>
      <c r="M21" s="15"/>
    </row>
    <row r="22" spans="1:13" hidden="1">
      <c r="A22" s="14">
        <v>21</v>
      </c>
      <c r="B22" s="42">
        <v>45928</v>
      </c>
      <c r="C22" s="12" t="s">
        <v>259</v>
      </c>
      <c r="D22" s="12">
        <v>3711</v>
      </c>
      <c r="E22" s="12" t="s">
        <v>262</v>
      </c>
      <c r="F22" s="13">
        <v>0.5</v>
      </c>
      <c r="G22" s="12" t="s">
        <v>264</v>
      </c>
      <c r="H22" s="13">
        <v>0.51736111111111116</v>
      </c>
      <c r="I22" s="15" t="s">
        <v>244</v>
      </c>
      <c r="J22" s="15"/>
      <c r="K22" s="22">
        <v>8580</v>
      </c>
      <c r="L22" s="15" t="s">
        <v>240</v>
      </c>
      <c r="M22" s="15"/>
    </row>
    <row r="23" spans="1:13" hidden="1">
      <c r="A23" s="14">
        <v>22</v>
      </c>
      <c r="B23" s="42">
        <v>45928</v>
      </c>
      <c r="C23" s="12" t="s">
        <v>259</v>
      </c>
      <c r="D23" s="12">
        <v>3716</v>
      </c>
      <c r="E23" s="12" t="s">
        <v>264</v>
      </c>
      <c r="F23" s="13">
        <v>0.53819444444444442</v>
      </c>
      <c r="G23" s="12" t="s">
        <v>248</v>
      </c>
      <c r="H23" s="13">
        <v>0.57291666666666663</v>
      </c>
      <c r="I23" s="15" t="s">
        <v>244</v>
      </c>
      <c r="J23" s="15"/>
      <c r="K23" s="22">
        <v>15310</v>
      </c>
      <c r="L23" s="15" t="s">
        <v>240</v>
      </c>
      <c r="M23" s="15"/>
    </row>
    <row r="24" spans="1:13" hidden="1">
      <c r="A24" s="14">
        <v>23</v>
      </c>
      <c r="B24" s="42">
        <v>45928</v>
      </c>
      <c r="C24" s="12" t="s">
        <v>247</v>
      </c>
      <c r="D24" s="12">
        <v>617</v>
      </c>
      <c r="E24" s="12" t="s">
        <v>248</v>
      </c>
      <c r="F24" s="13">
        <v>0.61458333333333337</v>
      </c>
      <c r="G24" s="12" t="s">
        <v>251</v>
      </c>
      <c r="H24" s="13">
        <v>0.65972222222222221</v>
      </c>
      <c r="I24" s="15" t="s">
        <v>250</v>
      </c>
      <c r="J24" s="15"/>
      <c r="K24" s="22">
        <v>5883</v>
      </c>
      <c r="L24" s="15" t="s">
        <v>240</v>
      </c>
      <c r="M24" s="15"/>
    </row>
    <row r="25" spans="1:13" hidden="1">
      <c r="A25" s="14">
        <v>24</v>
      </c>
      <c r="B25" s="42">
        <v>45928</v>
      </c>
      <c r="C25" s="12" t="s">
        <v>247</v>
      </c>
      <c r="D25" s="12">
        <v>622</v>
      </c>
      <c r="E25" s="12" t="s">
        <v>251</v>
      </c>
      <c r="F25" s="13">
        <v>0.68402777777777779</v>
      </c>
      <c r="G25" s="12" t="s">
        <v>248</v>
      </c>
      <c r="H25" s="13">
        <v>0.72569444444444442</v>
      </c>
      <c r="I25" s="15" t="s">
        <v>249</v>
      </c>
      <c r="J25" s="15"/>
      <c r="K25" s="22">
        <v>5883</v>
      </c>
      <c r="L25" s="15" t="s">
        <v>240</v>
      </c>
      <c r="M25" s="15"/>
    </row>
    <row r="26" spans="1:13" hidden="1">
      <c r="A26" s="14">
        <v>25</v>
      </c>
      <c r="B26" s="42">
        <v>45928</v>
      </c>
      <c r="C26" s="12" t="s">
        <v>236</v>
      </c>
      <c r="D26" s="12">
        <v>918</v>
      </c>
      <c r="E26" s="12" t="s">
        <v>248</v>
      </c>
      <c r="F26" s="13">
        <v>0.78472222222222221</v>
      </c>
      <c r="G26" s="12" t="s">
        <v>237</v>
      </c>
      <c r="H26" s="13">
        <v>0.88888888888888884</v>
      </c>
      <c r="I26" s="15" t="s">
        <v>265</v>
      </c>
      <c r="J26" s="15"/>
      <c r="K26" s="22">
        <v>22580</v>
      </c>
      <c r="L26" s="15" t="s">
        <v>240</v>
      </c>
      <c r="M26" s="15"/>
    </row>
    <row r="27" spans="1:13" hidden="1">
      <c r="A27" s="14">
        <v>26</v>
      </c>
      <c r="B27" s="42">
        <v>45934</v>
      </c>
      <c r="C27" s="12" t="s">
        <v>236</v>
      </c>
      <c r="D27" s="12">
        <v>333</v>
      </c>
      <c r="E27" s="12" t="s">
        <v>237</v>
      </c>
      <c r="F27" s="13">
        <v>0.80208333333333337</v>
      </c>
      <c r="G27" s="12" t="s">
        <v>238</v>
      </c>
      <c r="H27" s="13">
        <v>0.88194444444444442</v>
      </c>
      <c r="I27" s="15"/>
      <c r="J27" s="15"/>
      <c r="K27" s="22">
        <v>13320</v>
      </c>
      <c r="L27" s="15" t="s">
        <v>240</v>
      </c>
      <c r="M27" s="15"/>
    </row>
    <row r="28" spans="1:13" hidden="1">
      <c r="A28" s="14">
        <v>27</v>
      </c>
      <c r="B28" s="42">
        <v>45935</v>
      </c>
      <c r="C28" s="12" t="s">
        <v>247</v>
      </c>
      <c r="D28" s="12">
        <v>51</v>
      </c>
      <c r="E28" s="12" t="s">
        <v>238</v>
      </c>
      <c r="F28" s="13">
        <v>0.30208333333333331</v>
      </c>
      <c r="G28" s="12" t="s">
        <v>248</v>
      </c>
      <c r="H28" s="13">
        <v>0.37152777777777779</v>
      </c>
      <c r="I28" s="26" t="s">
        <v>239</v>
      </c>
      <c r="J28" s="15"/>
      <c r="K28" s="22">
        <v>11130</v>
      </c>
      <c r="L28" s="15" t="s">
        <v>240</v>
      </c>
      <c r="M28" s="15"/>
    </row>
    <row r="29" spans="1:13" hidden="1">
      <c r="A29" s="14">
        <v>28</v>
      </c>
      <c r="B29" s="42">
        <v>45935</v>
      </c>
      <c r="C29" s="12" t="s">
        <v>247</v>
      </c>
      <c r="D29" s="12">
        <v>605</v>
      </c>
      <c r="E29" s="12" t="s">
        <v>248</v>
      </c>
      <c r="F29" s="13">
        <v>0.40277777777777779</v>
      </c>
      <c r="G29" s="12" t="s">
        <v>251</v>
      </c>
      <c r="H29" s="13">
        <v>0.44444444444444442</v>
      </c>
      <c r="I29" s="26" t="s">
        <v>249</v>
      </c>
      <c r="J29" s="15"/>
      <c r="K29" s="22">
        <v>6180</v>
      </c>
      <c r="L29" s="15" t="s">
        <v>240</v>
      </c>
      <c r="M29" s="15"/>
    </row>
    <row r="30" spans="1:13" hidden="1">
      <c r="A30" s="14">
        <v>29</v>
      </c>
      <c r="B30" s="42">
        <v>45935</v>
      </c>
      <c r="C30" s="12" t="s">
        <v>252</v>
      </c>
      <c r="D30" s="12">
        <v>743</v>
      </c>
      <c r="E30" s="12" t="s">
        <v>251</v>
      </c>
      <c r="F30" s="13">
        <v>0.52430555555555558</v>
      </c>
      <c r="G30" s="12" t="s">
        <v>253</v>
      </c>
      <c r="H30" s="13">
        <v>0.54513888888888884</v>
      </c>
      <c r="I30" s="26" t="s">
        <v>254</v>
      </c>
      <c r="J30" s="15"/>
      <c r="K30" s="22">
        <v>6583</v>
      </c>
      <c r="L30" s="15" t="s">
        <v>240</v>
      </c>
      <c r="M30" s="15"/>
    </row>
    <row r="31" spans="1:13" hidden="1">
      <c r="A31" s="14">
        <v>30</v>
      </c>
      <c r="B31" s="42">
        <v>45935</v>
      </c>
      <c r="C31" s="12" t="s">
        <v>252</v>
      </c>
      <c r="D31" s="12">
        <v>744</v>
      </c>
      <c r="E31" s="12" t="s">
        <v>253</v>
      </c>
      <c r="F31" s="13">
        <v>0.56944444444444442</v>
      </c>
      <c r="G31" s="12" t="s">
        <v>251</v>
      </c>
      <c r="H31" s="13">
        <v>0.59027777777777779</v>
      </c>
      <c r="I31" s="26" t="s">
        <v>246</v>
      </c>
      <c r="J31" s="15"/>
      <c r="K31" s="22">
        <v>5883</v>
      </c>
      <c r="L31" s="15" t="s">
        <v>240</v>
      </c>
      <c r="M31" s="15"/>
    </row>
    <row r="32" spans="1:13" hidden="1">
      <c r="A32" s="14">
        <v>31</v>
      </c>
      <c r="B32" s="42">
        <v>45935</v>
      </c>
      <c r="C32" s="12" t="s">
        <v>252</v>
      </c>
      <c r="D32" s="12">
        <v>834</v>
      </c>
      <c r="E32" s="12" t="s">
        <v>251</v>
      </c>
      <c r="F32" s="13">
        <v>0.61805555555555558</v>
      </c>
      <c r="G32" s="12" t="s">
        <v>255</v>
      </c>
      <c r="H32" s="13">
        <v>0.63888888888888884</v>
      </c>
      <c r="I32" s="26" t="s">
        <v>244</v>
      </c>
      <c r="J32" s="15"/>
      <c r="K32" s="22">
        <v>9570</v>
      </c>
      <c r="L32" s="15" t="s">
        <v>240</v>
      </c>
      <c r="M32" s="15"/>
    </row>
    <row r="33" spans="1:13" hidden="1">
      <c r="A33" s="14">
        <v>32</v>
      </c>
      <c r="B33" s="42">
        <v>45935</v>
      </c>
      <c r="C33" s="12" t="s">
        <v>247</v>
      </c>
      <c r="D33" s="12">
        <v>564</v>
      </c>
      <c r="E33" s="12" t="s">
        <v>255</v>
      </c>
      <c r="F33" s="13">
        <v>0.70486111111111116</v>
      </c>
      <c r="G33" s="12" t="s">
        <v>248</v>
      </c>
      <c r="H33" s="13">
        <v>0.73958333333333337</v>
      </c>
      <c r="I33" s="26" t="s">
        <v>266</v>
      </c>
      <c r="J33" s="15"/>
      <c r="K33" s="22">
        <v>6290</v>
      </c>
      <c r="L33" s="15" t="s">
        <v>240</v>
      </c>
      <c r="M33" s="15"/>
    </row>
    <row r="34" spans="1:13" hidden="1">
      <c r="A34" s="14">
        <v>33</v>
      </c>
      <c r="B34" s="42">
        <v>45935</v>
      </c>
      <c r="C34" s="12" t="s">
        <v>236</v>
      </c>
      <c r="D34" s="12">
        <v>920</v>
      </c>
      <c r="E34" s="12" t="s">
        <v>248</v>
      </c>
      <c r="F34" s="13">
        <v>0.81944444444444442</v>
      </c>
      <c r="G34" s="12" t="s">
        <v>237</v>
      </c>
      <c r="H34" s="13">
        <v>0.91666666666666663</v>
      </c>
      <c r="I34" s="26" t="s">
        <v>267</v>
      </c>
      <c r="J34" s="15"/>
      <c r="K34" s="22">
        <v>22030</v>
      </c>
      <c r="L34" s="15" t="s">
        <v>240</v>
      </c>
      <c r="M34" s="15"/>
    </row>
    <row r="35" spans="1:13" hidden="1">
      <c r="A35" s="14">
        <v>34</v>
      </c>
      <c r="B35" s="42">
        <v>45890</v>
      </c>
      <c r="C35" s="12" t="s">
        <v>236</v>
      </c>
      <c r="D35" s="12">
        <v>487</v>
      </c>
      <c r="E35" s="12" t="s">
        <v>237</v>
      </c>
      <c r="F35" s="13">
        <v>0.84375</v>
      </c>
      <c r="G35" s="12" t="s">
        <v>268</v>
      </c>
      <c r="H35" s="13">
        <v>0.89583333333333337</v>
      </c>
      <c r="I35" s="26"/>
      <c r="J35" s="15"/>
      <c r="K35" s="22">
        <v>0</v>
      </c>
      <c r="L35" s="15" t="s">
        <v>240</v>
      </c>
      <c r="M35" s="15"/>
    </row>
    <row r="36" spans="1:13" hidden="1">
      <c r="A36" s="14">
        <v>35</v>
      </c>
      <c r="B36" s="42">
        <v>45891</v>
      </c>
      <c r="C36" s="12" t="s">
        <v>236</v>
      </c>
      <c r="D36" s="12">
        <v>482</v>
      </c>
      <c r="E36" s="12" t="s">
        <v>268</v>
      </c>
      <c r="F36" s="13">
        <v>0.63541666666666663</v>
      </c>
      <c r="G36" s="12" t="s">
        <v>237</v>
      </c>
      <c r="H36" s="13">
        <v>0.69791666666666663</v>
      </c>
      <c r="I36" s="26"/>
      <c r="J36" s="15"/>
      <c r="K36" s="15">
        <v>0</v>
      </c>
      <c r="L36" s="15" t="s">
        <v>240</v>
      </c>
      <c r="M36" s="15"/>
    </row>
    <row r="37" spans="1:13" hidden="1">
      <c r="A37" s="14">
        <v>36</v>
      </c>
      <c r="B37" s="42">
        <v>45902</v>
      </c>
      <c r="C37" s="12" t="s">
        <v>236</v>
      </c>
      <c r="D37" s="12">
        <v>317</v>
      </c>
      <c r="E37" s="12" t="s">
        <v>237</v>
      </c>
      <c r="F37" s="13">
        <v>0.52083333333333337</v>
      </c>
      <c r="G37" s="12" t="s">
        <v>238</v>
      </c>
      <c r="H37" s="13">
        <v>0.57638888888888884</v>
      </c>
      <c r="I37" s="26"/>
      <c r="J37" s="15"/>
      <c r="K37" s="15">
        <v>0</v>
      </c>
      <c r="L37" s="15" t="s">
        <v>240</v>
      </c>
      <c r="M37" s="15"/>
    </row>
    <row r="38" spans="1:13" hidden="1">
      <c r="A38" s="14">
        <v>37</v>
      </c>
      <c r="B38" s="42">
        <v>45903</v>
      </c>
      <c r="C38" s="12" t="s">
        <v>236</v>
      </c>
      <c r="D38" s="12">
        <v>300</v>
      </c>
      <c r="E38" s="12" t="s">
        <v>238</v>
      </c>
      <c r="F38" s="13">
        <v>0.29166666666666669</v>
      </c>
      <c r="G38" s="12" t="s">
        <v>237</v>
      </c>
      <c r="H38" s="13">
        <v>0.3611111111111111</v>
      </c>
      <c r="I38" s="26"/>
      <c r="J38" s="15"/>
      <c r="K38" s="15">
        <v>0</v>
      </c>
      <c r="L38" s="15" t="s">
        <v>240</v>
      </c>
      <c r="M38" s="15"/>
    </row>
    <row r="39" spans="1:13" hidden="1">
      <c r="A39" s="14">
        <v>38</v>
      </c>
      <c r="B39" s="42">
        <v>45949</v>
      </c>
      <c r="C39" s="12" t="s">
        <v>236</v>
      </c>
      <c r="D39" s="12">
        <v>491</v>
      </c>
      <c r="E39" s="12" t="s">
        <v>237</v>
      </c>
      <c r="F39" s="13">
        <v>0.3125</v>
      </c>
      <c r="G39" s="12" t="s">
        <v>268</v>
      </c>
      <c r="H39" s="13">
        <v>0.375</v>
      </c>
      <c r="I39" s="26"/>
      <c r="J39" s="15"/>
      <c r="K39" s="15">
        <v>20700</v>
      </c>
      <c r="L39" s="15" t="s">
        <v>240</v>
      </c>
      <c r="M39" s="15"/>
    </row>
    <row r="40" spans="1:13" hidden="1">
      <c r="A40" s="14">
        <v>39</v>
      </c>
      <c r="B40" s="42">
        <v>45949</v>
      </c>
      <c r="C40" s="12" t="s">
        <v>236</v>
      </c>
      <c r="D40" s="12">
        <v>492</v>
      </c>
      <c r="E40" s="12" t="s">
        <v>268</v>
      </c>
      <c r="F40" s="13">
        <v>0.40277777777777779</v>
      </c>
      <c r="G40" s="12" t="s">
        <v>237</v>
      </c>
      <c r="H40" s="13">
        <v>0.45833333333333331</v>
      </c>
      <c r="I40" s="26"/>
      <c r="J40" s="15"/>
      <c r="K40" s="15">
        <v>0</v>
      </c>
      <c r="L40" s="15" t="s">
        <v>240</v>
      </c>
      <c r="M40" s="15"/>
    </row>
    <row r="41" spans="1:13" hidden="1">
      <c r="A41" s="14">
        <v>40</v>
      </c>
      <c r="B41" s="42">
        <v>45589</v>
      </c>
      <c r="C41" s="12" t="s">
        <v>236</v>
      </c>
      <c r="D41" s="12">
        <v>319</v>
      </c>
      <c r="E41" s="12" t="s">
        <v>237</v>
      </c>
      <c r="F41" s="13"/>
      <c r="G41" s="12" t="s">
        <v>238</v>
      </c>
      <c r="H41" s="13"/>
      <c r="I41" s="26"/>
      <c r="J41" s="15"/>
      <c r="K41" s="15">
        <v>0</v>
      </c>
      <c r="L41" s="15" t="s">
        <v>240</v>
      </c>
      <c r="M41" s="15"/>
    </row>
    <row r="42" spans="1:13" hidden="1">
      <c r="A42" s="14">
        <v>41</v>
      </c>
      <c r="B42" s="42">
        <v>45590</v>
      </c>
      <c r="C42" s="12" t="s">
        <v>236</v>
      </c>
      <c r="D42" s="12">
        <v>318</v>
      </c>
      <c r="E42" s="12" t="s">
        <v>238</v>
      </c>
      <c r="F42" s="13"/>
      <c r="G42" s="12" t="s">
        <v>237</v>
      </c>
      <c r="H42" s="13"/>
      <c r="I42" s="26"/>
      <c r="J42" s="15"/>
      <c r="K42" s="15">
        <v>0</v>
      </c>
      <c r="L42" s="15" t="s">
        <v>240</v>
      </c>
      <c r="M42" s="15"/>
    </row>
    <row r="43" spans="1:13" hidden="1">
      <c r="A43" s="14">
        <v>42</v>
      </c>
      <c r="B43" s="42">
        <v>45611</v>
      </c>
      <c r="C43" s="12" t="s">
        <v>236</v>
      </c>
      <c r="D43" s="12">
        <v>434</v>
      </c>
      <c r="E43" s="12" t="s">
        <v>237</v>
      </c>
      <c r="F43" s="13"/>
      <c r="G43" s="12" t="s">
        <v>269</v>
      </c>
      <c r="H43" s="13"/>
      <c r="I43" s="26"/>
      <c r="J43" s="15"/>
      <c r="K43" s="15">
        <v>0</v>
      </c>
      <c r="L43" s="15" t="s">
        <v>240</v>
      </c>
      <c r="M43" s="15"/>
    </row>
    <row r="44" spans="1:13" hidden="1">
      <c r="A44" s="14">
        <v>43</v>
      </c>
      <c r="B44" s="42">
        <v>45612</v>
      </c>
      <c r="C44" s="12" t="s">
        <v>236</v>
      </c>
      <c r="D44" s="12">
        <v>431</v>
      </c>
      <c r="E44" s="12" t="s">
        <v>269</v>
      </c>
      <c r="F44" s="13"/>
      <c r="G44" s="12" t="s">
        <v>237</v>
      </c>
      <c r="H44" s="13"/>
      <c r="I44" s="26"/>
      <c r="J44" s="15"/>
      <c r="K44" s="15">
        <v>0</v>
      </c>
      <c r="L44" s="15" t="s">
        <v>240</v>
      </c>
      <c r="M44" s="15"/>
    </row>
    <row r="45" spans="1:13" hidden="1">
      <c r="A45" s="14">
        <v>44</v>
      </c>
      <c r="B45" s="42">
        <v>45650</v>
      </c>
      <c r="C45" s="12" t="s">
        <v>236</v>
      </c>
      <c r="D45" s="12">
        <v>335</v>
      </c>
      <c r="E45" s="12" t="s">
        <v>237</v>
      </c>
      <c r="F45" s="13"/>
      <c r="G45" s="12" t="s">
        <v>238</v>
      </c>
      <c r="H45" s="13"/>
      <c r="I45" s="26"/>
      <c r="J45" s="15"/>
      <c r="K45" s="22">
        <v>17640</v>
      </c>
      <c r="L45" s="15" t="s">
        <v>240</v>
      </c>
      <c r="M45" s="15"/>
    </row>
    <row r="46" spans="1:13" hidden="1">
      <c r="A46" s="14">
        <v>45</v>
      </c>
      <c r="B46" s="42">
        <v>45646</v>
      </c>
      <c r="C46" s="12" t="s">
        <v>236</v>
      </c>
      <c r="D46" s="12">
        <v>431</v>
      </c>
      <c r="E46" s="12" t="s">
        <v>237</v>
      </c>
      <c r="F46" s="13"/>
      <c r="G46" s="12" t="s">
        <v>269</v>
      </c>
      <c r="H46" s="13"/>
      <c r="I46" s="26"/>
      <c r="J46" s="15"/>
      <c r="K46" s="15">
        <v>0</v>
      </c>
      <c r="L46" s="15" t="s">
        <v>240</v>
      </c>
      <c r="M46" s="15"/>
    </row>
    <row r="47" spans="1:13" hidden="1">
      <c r="A47" s="14">
        <v>46</v>
      </c>
      <c r="B47" s="42">
        <v>45647</v>
      </c>
      <c r="C47" s="12" t="s">
        <v>236</v>
      </c>
      <c r="D47" s="12">
        <v>432</v>
      </c>
      <c r="E47" s="12" t="s">
        <v>269</v>
      </c>
      <c r="F47" s="13"/>
      <c r="G47" s="12" t="s">
        <v>237</v>
      </c>
      <c r="H47" s="13"/>
      <c r="I47" s="26"/>
      <c r="J47" s="15"/>
      <c r="K47" s="15">
        <v>0</v>
      </c>
      <c r="L47" s="15" t="s">
        <v>240</v>
      </c>
      <c r="M47" s="15"/>
    </row>
    <row r="48" spans="1:13" hidden="1">
      <c r="A48" s="14">
        <v>47</v>
      </c>
      <c r="B48" s="42">
        <v>45680</v>
      </c>
      <c r="C48" s="12" t="s">
        <v>236</v>
      </c>
      <c r="D48" s="12">
        <v>307</v>
      </c>
      <c r="E48" s="12" t="s">
        <v>237</v>
      </c>
      <c r="F48" s="13"/>
      <c r="G48" s="12" t="s">
        <v>238</v>
      </c>
      <c r="H48" s="13"/>
      <c r="I48" s="26"/>
      <c r="J48" s="15"/>
      <c r="K48" s="15">
        <v>0</v>
      </c>
      <c r="L48" s="15" t="s">
        <v>240</v>
      </c>
      <c r="M48" s="15"/>
    </row>
    <row r="49" spans="1:13" hidden="1">
      <c r="A49" s="14">
        <v>48</v>
      </c>
      <c r="B49" s="42">
        <v>45682</v>
      </c>
      <c r="C49" s="12" t="s">
        <v>236</v>
      </c>
      <c r="D49" s="12">
        <v>306</v>
      </c>
      <c r="E49" s="12" t="s">
        <v>238</v>
      </c>
      <c r="F49" s="13"/>
      <c r="G49" s="12" t="s">
        <v>237</v>
      </c>
      <c r="H49" s="13"/>
      <c r="I49" s="26"/>
      <c r="J49" s="15"/>
      <c r="K49" s="15">
        <v>0</v>
      </c>
      <c r="L49" s="15" t="s">
        <v>240</v>
      </c>
      <c r="M49" s="15"/>
    </row>
    <row r="50" spans="1:13" hidden="1">
      <c r="A50" s="14">
        <v>49</v>
      </c>
      <c r="B50" s="42">
        <v>45727</v>
      </c>
      <c r="C50" s="12" t="s">
        <v>236</v>
      </c>
      <c r="D50" s="12">
        <v>330</v>
      </c>
      <c r="E50" s="12" t="s">
        <v>237</v>
      </c>
      <c r="F50" s="13"/>
      <c r="G50" s="12" t="s">
        <v>238</v>
      </c>
      <c r="H50" s="13"/>
      <c r="I50" s="26"/>
      <c r="J50" s="15"/>
      <c r="K50" s="15">
        <v>0</v>
      </c>
      <c r="L50" s="15" t="s">
        <v>240</v>
      </c>
      <c r="M50" s="15"/>
    </row>
    <row r="51" spans="1:13" hidden="1">
      <c r="A51" s="14">
        <v>50</v>
      </c>
      <c r="B51" s="42">
        <v>45727</v>
      </c>
      <c r="C51" s="12" t="s">
        <v>236</v>
      </c>
      <c r="D51" s="12">
        <v>305</v>
      </c>
      <c r="E51" s="12" t="s">
        <v>238</v>
      </c>
      <c r="F51" s="13"/>
      <c r="G51" s="12" t="s">
        <v>237</v>
      </c>
      <c r="H51" s="13"/>
      <c r="I51" s="26"/>
      <c r="J51" s="15"/>
      <c r="K51" s="15">
        <v>0</v>
      </c>
      <c r="L51" s="15" t="s">
        <v>240</v>
      </c>
      <c r="M51" s="15"/>
    </row>
    <row r="52" spans="1:13" hidden="1">
      <c r="A52" s="14">
        <v>51</v>
      </c>
      <c r="B52" s="42">
        <v>45860</v>
      </c>
      <c r="C52" s="12" t="s">
        <v>236</v>
      </c>
      <c r="D52" s="12">
        <v>307</v>
      </c>
      <c r="E52" s="12" t="s">
        <v>237</v>
      </c>
      <c r="F52" s="13"/>
      <c r="G52" s="12" t="s">
        <v>238</v>
      </c>
      <c r="H52" s="13"/>
      <c r="I52" s="26"/>
      <c r="J52" s="15"/>
      <c r="K52" s="22">
        <v>13320</v>
      </c>
      <c r="L52" s="15" t="s">
        <v>240</v>
      </c>
      <c r="M52" s="15"/>
    </row>
    <row r="53" spans="1:13" hidden="1">
      <c r="A53" s="14">
        <v>52</v>
      </c>
      <c r="B53" s="42">
        <v>45865</v>
      </c>
      <c r="C53" s="12" t="s">
        <v>236</v>
      </c>
      <c r="D53" s="12">
        <v>300</v>
      </c>
      <c r="E53" s="12" t="s">
        <v>238</v>
      </c>
      <c r="F53" s="13"/>
      <c r="G53" s="12" t="s">
        <v>237</v>
      </c>
      <c r="H53" s="13"/>
      <c r="I53" s="26"/>
      <c r="J53" s="15"/>
      <c r="K53" s="22">
        <v>13320</v>
      </c>
      <c r="L53" s="15" t="s">
        <v>240</v>
      </c>
      <c r="M53" s="15"/>
    </row>
    <row r="54" spans="1:13" hidden="1">
      <c r="A54" s="14">
        <v>53</v>
      </c>
      <c r="B54" s="42">
        <v>45871</v>
      </c>
      <c r="C54" s="12" t="s">
        <v>236</v>
      </c>
      <c r="D54" s="12">
        <v>307</v>
      </c>
      <c r="E54" s="12" t="s">
        <v>237</v>
      </c>
      <c r="F54" s="13"/>
      <c r="G54" s="12" t="s">
        <v>270</v>
      </c>
      <c r="H54" s="13"/>
      <c r="I54" s="26"/>
      <c r="J54" s="15"/>
      <c r="K54" s="22">
        <v>22845</v>
      </c>
      <c r="L54" s="15" t="s">
        <v>240</v>
      </c>
      <c r="M54" s="15"/>
    </row>
    <row r="55" spans="1:13" hidden="1">
      <c r="A55" s="14">
        <v>54</v>
      </c>
      <c r="B55" s="42">
        <v>45872</v>
      </c>
      <c r="C55" s="12" t="s">
        <v>236</v>
      </c>
      <c r="D55" s="12">
        <v>300</v>
      </c>
      <c r="E55" s="12" t="s">
        <v>270</v>
      </c>
      <c r="F55" s="13"/>
      <c r="G55" s="12" t="s">
        <v>237</v>
      </c>
      <c r="H55" s="13"/>
      <c r="I55" s="26"/>
      <c r="J55" s="15"/>
      <c r="K55" s="22">
        <v>0</v>
      </c>
      <c r="L55" s="15" t="s">
        <v>240</v>
      </c>
      <c r="M55" s="15"/>
    </row>
    <row r="56" spans="1:13" hidden="1">
      <c r="A56" s="14">
        <v>55</v>
      </c>
      <c r="B56" s="42">
        <v>45875</v>
      </c>
      <c r="C56" s="12" t="s">
        <v>236</v>
      </c>
      <c r="D56" s="12">
        <v>307</v>
      </c>
      <c r="E56" s="12" t="s">
        <v>237</v>
      </c>
      <c r="F56" s="13"/>
      <c r="G56" s="12" t="s">
        <v>271</v>
      </c>
      <c r="H56" s="13"/>
      <c r="I56" s="26"/>
      <c r="J56" s="15"/>
      <c r="K56" s="22">
        <v>0</v>
      </c>
      <c r="L56" s="15" t="s">
        <v>240</v>
      </c>
      <c r="M56" s="15"/>
    </row>
    <row r="57" spans="1:13" hidden="1">
      <c r="A57" s="14">
        <v>56</v>
      </c>
      <c r="B57" s="42">
        <v>45875</v>
      </c>
      <c r="C57" s="12" t="s">
        <v>236</v>
      </c>
      <c r="D57" s="12">
        <v>300</v>
      </c>
      <c r="E57" s="12" t="s">
        <v>272</v>
      </c>
      <c r="F57" s="13"/>
      <c r="G57" s="12" t="s">
        <v>237</v>
      </c>
      <c r="H57" s="13"/>
      <c r="I57" s="26"/>
      <c r="J57" s="15"/>
      <c r="K57" s="22">
        <v>0</v>
      </c>
      <c r="L57" s="15" t="s">
        <v>240</v>
      </c>
      <c r="M57" s="15"/>
    </row>
    <row r="58" spans="1:13" hidden="1">
      <c r="A58" s="14">
        <v>57</v>
      </c>
      <c r="B58" s="42">
        <v>45916</v>
      </c>
      <c r="C58" s="12" t="s">
        <v>236</v>
      </c>
      <c r="D58" s="12">
        <v>307</v>
      </c>
      <c r="E58" s="12" t="s">
        <v>237</v>
      </c>
      <c r="F58" s="13"/>
      <c r="G58" s="12" t="s">
        <v>238</v>
      </c>
      <c r="H58" s="13"/>
      <c r="I58" s="26"/>
      <c r="J58" s="15"/>
      <c r="K58" s="22">
        <v>0</v>
      </c>
      <c r="L58" s="15" t="s">
        <v>240</v>
      </c>
      <c r="M58" s="15"/>
    </row>
    <row r="59" spans="1:13" hidden="1">
      <c r="A59" s="14">
        <v>58</v>
      </c>
      <c r="B59" s="42">
        <v>45918</v>
      </c>
      <c r="C59" s="12" t="s">
        <v>236</v>
      </c>
      <c r="D59" s="12">
        <v>302</v>
      </c>
      <c r="E59" s="12" t="s">
        <v>238</v>
      </c>
      <c r="F59" s="13"/>
      <c r="G59" s="12" t="s">
        <v>237</v>
      </c>
      <c r="H59" s="13"/>
      <c r="I59" s="26"/>
      <c r="J59" s="15"/>
      <c r="K59" s="22">
        <v>0</v>
      </c>
      <c r="L59" s="15" t="s">
        <v>240</v>
      </c>
      <c r="M59" s="15"/>
    </row>
    <row r="60" spans="1:13" hidden="1">
      <c r="A60" s="14">
        <v>59</v>
      </c>
      <c r="B60" s="42">
        <v>45994</v>
      </c>
      <c r="C60" s="12" t="s">
        <v>236</v>
      </c>
      <c r="D60" s="12">
        <v>901</v>
      </c>
      <c r="E60" s="12" t="s">
        <v>237</v>
      </c>
      <c r="F60" s="13">
        <v>0.2638888888888889</v>
      </c>
      <c r="G60" s="12" t="s">
        <v>248</v>
      </c>
      <c r="H60" s="13">
        <v>0.38541666666666669</v>
      </c>
      <c r="I60" s="26"/>
      <c r="J60" s="15"/>
      <c r="K60" s="22">
        <v>10590</v>
      </c>
      <c r="L60" s="15" t="s">
        <v>240</v>
      </c>
      <c r="M60" s="15"/>
    </row>
    <row r="61" spans="1:13" hidden="1">
      <c r="A61" s="14">
        <v>60</v>
      </c>
      <c r="B61" s="42">
        <v>45994</v>
      </c>
      <c r="C61" s="12" t="s">
        <v>236</v>
      </c>
      <c r="D61" s="12" t="s">
        <v>273</v>
      </c>
      <c r="E61" s="12" t="s">
        <v>248</v>
      </c>
      <c r="F61" s="13">
        <v>0.41319444444444442</v>
      </c>
      <c r="G61" s="12" t="s">
        <v>274</v>
      </c>
      <c r="H61" s="13">
        <v>0.43402777777777779</v>
      </c>
      <c r="I61" s="26"/>
      <c r="J61" s="15"/>
      <c r="K61" s="47">
        <v>4640</v>
      </c>
      <c r="L61" s="15" t="s">
        <v>240</v>
      </c>
      <c r="M61" s="15"/>
    </row>
    <row r="62" spans="1:13" hidden="1">
      <c r="A62" s="14">
        <v>61</v>
      </c>
      <c r="B62" s="42">
        <v>45994</v>
      </c>
      <c r="C62" s="12" t="s">
        <v>236</v>
      </c>
      <c r="D62" s="12" t="s">
        <v>275</v>
      </c>
      <c r="E62" s="12" t="s">
        <v>274</v>
      </c>
      <c r="F62" s="13">
        <v>0.4548611111111111</v>
      </c>
      <c r="G62" s="12" t="s">
        <v>248</v>
      </c>
      <c r="H62" s="13">
        <v>0.47916666666666669</v>
      </c>
      <c r="I62" s="26"/>
      <c r="J62" s="15"/>
      <c r="K62" s="47">
        <v>6400</v>
      </c>
      <c r="L62" s="15" t="s">
        <v>240</v>
      </c>
      <c r="M62" s="15"/>
    </row>
    <row r="63" spans="1:13" hidden="1">
      <c r="A63" s="14">
        <v>62</v>
      </c>
      <c r="B63" s="42">
        <v>45994</v>
      </c>
      <c r="C63" s="12" t="s">
        <v>236</v>
      </c>
      <c r="D63" s="12" t="s">
        <v>276</v>
      </c>
      <c r="E63" s="12" t="s">
        <v>248</v>
      </c>
      <c r="F63" s="13">
        <v>0.52777777777777779</v>
      </c>
      <c r="G63" s="12" t="s">
        <v>251</v>
      </c>
      <c r="H63" s="13">
        <v>0.57291666666666663</v>
      </c>
      <c r="I63" s="26"/>
      <c r="J63" s="15"/>
      <c r="K63" s="22">
        <v>4640</v>
      </c>
      <c r="L63" s="15" t="s">
        <v>240</v>
      </c>
      <c r="M63" s="15"/>
    </row>
    <row r="64" spans="1:13" hidden="1">
      <c r="A64" s="14">
        <v>63</v>
      </c>
      <c r="B64" s="42">
        <v>45994</v>
      </c>
      <c r="C64" s="12" t="s">
        <v>236</v>
      </c>
      <c r="D64" s="12" t="s">
        <v>277</v>
      </c>
      <c r="E64" s="12" t="s">
        <v>251</v>
      </c>
      <c r="F64" s="13">
        <v>0.61805555555555558</v>
      </c>
      <c r="G64" s="12" t="s">
        <v>255</v>
      </c>
      <c r="H64" s="13">
        <v>0.63888888888888884</v>
      </c>
      <c r="I64" s="26"/>
      <c r="J64" s="15"/>
      <c r="K64" s="47">
        <v>4400</v>
      </c>
      <c r="L64" s="15" t="s">
        <v>240</v>
      </c>
      <c r="M64" s="15"/>
    </row>
    <row r="65" spans="1:13" hidden="1">
      <c r="A65" s="14">
        <v>64</v>
      </c>
      <c r="B65" s="42">
        <v>45994</v>
      </c>
      <c r="C65" s="12" t="s">
        <v>236</v>
      </c>
      <c r="D65" s="12" t="s">
        <v>278</v>
      </c>
      <c r="E65" s="12" t="s">
        <v>255</v>
      </c>
      <c r="F65" s="13">
        <v>0.65972222222222221</v>
      </c>
      <c r="G65" s="12" t="s">
        <v>256</v>
      </c>
      <c r="H65" s="13">
        <v>0.67708333333333337</v>
      </c>
      <c r="I65" s="26"/>
      <c r="J65" s="15"/>
      <c r="K65" s="22">
        <v>5500</v>
      </c>
      <c r="L65" s="15" t="s">
        <v>240</v>
      </c>
      <c r="M65" s="15"/>
    </row>
    <row r="66" spans="1:13" hidden="1">
      <c r="A66" s="14">
        <v>65</v>
      </c>
      <c r="B66" s="42">
        <v>45994</v>
      </c>
      <c r="C66" s="12" t="s">
        <v>236</v>
      </c>
      <c r="D66" s="12" t="s">
        <v>279</v>
      </c>
      <c r="E66" s="12" t="s">
        <v>256</v>
      </c>
      <c r="F66" s="13">
        <v>0.70138888888888884</v>
      </c>
      <c r="G66" s="12" t="s">
        <v>255</v>
      </c>
      <c r="H66" s="13">
        <v>0.71875</v>
      </c>
      <c r="I66" s="26"/>
      <c r="J66" s="15"/>
      <c r="K66" s="22">
        <v>5500</v>
      </c>
      <c r="L66" s="15" t="s">
        <v>240</v>
      </c>
      <c r="M66" s="15"/>
    </row>
    <row r="67" spans="1:13" hidden="1">
      <c r="A67" s="14">
        <v>66</v>
      </c>
      <c r="B67" s="42">
        <v>45994</v>
      </c>
      <c r="C67" s="12" t="s">
        <v>236</v>
      </c>
      <c r="D67" s="12" t="s">
        <v>280</v>
      </c>
      <c r="E67" s="12" t="s">
        <v>255</v>
      </c>
      <c r="F67" s="13">
        <v>0.76041666666666663</v>
      </c>
      <c r="G67" s="12" t="s">
        <v>248</v>
      </c>
      <c r="H67" s="13">
        <v>0.79513888888888884</v>
      </c>
      <c r="I67" s="26"/>
      <c r="J67" s="15"/>
      <c r="K67" s="22">
        <v>4640</v>
      </c>
      <c r="L67" s="15" t="s">
        <v>240</v>
      </c>
      <c r="M67" s="15"/>
    </row>
    <row r="68" spans="1:13" hidden="1">
      <c r="A68" s="14">
        <v>67</v>
      </c>
      <c r="B68" s="42">
        <v>45994</v>
      </c>
      <c r="C68" s="12" t="s">
        <v>236</v>
      </c>
      <c r="D68" s="12">
        <v>920</v>
      </c>
      <c r="E68" s="12" t="s">
        <v>248</v>
      </c>
      <c r="F68" s="13">
        <v>0.82986111111111116</v>
      </c>
      <c r="G68" s="12" t="s">
        <v>237</v>
      </c>
      <c r="H68" s="13">
        <v>0.92013888888888884</v>
      </c>
      <c r="I68" s="26"/>
      <c r="J68" s="15"/>
      <c r="K68" s="22">
        <v>10590</v>
      </c>
      <c r="L68" s="15" t="s">
        <v>240</v>
      </c>
      <c r="M68" s="15"/>
    </row>
    <row r="69" spans="1:13" hidden="1">
      <c r="A69" s="14">
        <v>68</v>
      </c>
      <c r="B69" s="42">
        <v>45939</v>
      </c>
      <c r="C69" s="12" t="s">
        <v>236</v>
      </c>
      <c r="D69" s="12">
        <v>325</v>
      </c>
      <c r="E69" s="12" t="s">
        <v>237</v>
      </c>
      <c r="F69" s="13"/>
      <c r="G69" s="12" t="s">
        <v>238</v>
      </c>
      <c r="H69" s="13"/>
      <c r="I69" s="26"/>
      <c r="J69" s="15"/>
      <c r="K69" s="22">
        <v>0</v>
      </c>
      <c r="L69" s="15" t="s">
        <v>240</v>
      </c>
      <c r="M69" s="15"/>
    </row>
    <row r="70" spans="1:13" hidden="1">
      <c r="A70" s="14">
        <v>69</v>
      </c>
      <c r="B70" s="42">
        <v>45941</v>
      </c>
      <c r="C70" s="12" t="s">
        <v>236</v>
      </c>
      <c r="D70" s="12">
        <v>310</v>
      </c>
      <c r="E70" s="12" t="s">
        <v>238</v>
      </c>
      <c r="F70" s="13"/>
      <c r="G70" s="12" t="s">
        <v>237</v>
      </c>
      <c r="H70" s="13"/>
      <c r="I70" s="26"/>
      <c r="J70" s="15"/>
      <c r="K70" s="22">
        <v>0</v>
      </c>
      <c r="L70" s="15" t="s">
        <v>240</v>
      </c>
      <c r="M70" s="15"/>
    </row>
    <row r="71" spans="1:13" hidden="1">
      <c r="A71" s="14">
        <v>70</v>
      </c>
      <c r="B71" s="42">
        <v>46052</v>
      </c>
      <c r="C71" s="12" t="s">
        <v>236</v>
      </c>
      <c r="D71" s="12">
        <v>325</v>
      </c>
      <c r="E71" s="12" t="s">
        <v>237</v>
      </c>
      <c r="F71" s="13">
        <v>0.2638888888888889</v>
      </c>
      <c r="G71" s="12" t="s">
        <v>248</v>
      </c>
      <c r="H71" s="13">
        <v>0.38541666666666669</v>
      </c>
      <c r="I71" s="26"/>
      <c r="J71" s="15"/>
      <c r="K71" s="22">
        <f>132568/4</f>
        <v>33142</v>
      </c>
      <c r="L71" s="15" t="s">
        <v>240</v>
      </c>
      <c r="M71" s="15"/>
    </row>
    <row r="72" spans="1:13" hidden="1">
      <c r="A72" s="14">
        <v>71</v>
      </c>
      <c r="B72" s="42">
        <v>46054</v>
      </c>
      <c r="C72" s="12" t="s">
        <v>236</v>
      </c>
      <c r="D72" s="12">
        <v>310</v>
      </c>
      <c r="E72" s="12" t="s">
        <v>248</v>
      </c>
      <c r="F72" s="13">
        <v>0.51736111111111116</v>
      </c>
      <c r="G72" s="12" t="s">
        <v>237</v>
      </c>
      <c r="H72" s="13">
        <v>0.60763888888888884</v>
      </c>
      <c r="I72" s="26"/>
      <c r="J72" s="15"/>
      <c r="K72" s="22">
        <v>0</v>
      </c>
      <c r="L72" s="15" t="s">
        <v>240</v>
      </c>
      <c r="M72" s="15"/>
    </row>
    <row r="73" spans="1:13" hidden="1">
      <c r="A73" s="14">
        <v>72</v>
      </c>
      <c r="B73" s="42">
        <v>45932</v>
      </c>
      <c r="C73" s="12" t="s">
        <v>236</v>
      </c>
      <c r="D73" s="12"/>
      <c r="E73" s="12" t="s">
        <v>237</v>
      </c>
      <c r="F73" s="13"/>
      <c r="G73" s="12" t="s">
        <v>281</v>
      </c>
      <c r="H73" s="13"/>
      <c r="I73" s="26"/>
      <c r="J73" s="15"/>
      <c r="K73" s="22">
        <v>0</v>
      </c>
      <c r="L73" s="15" t="s">
        <v>240</v>
      </c>
      <c r="M73" s="15"/>
    </row>
    <row r="74" spans="1:13" hidden="1">
      <c r="A74" s="14">
        <v>73</v>
      </c>
      <c r="B74" s="42">
        <v>45951</v>
      </c>
      <c r="C74" s="12" t="s">
        <v>236</v>
      </c>
      <c r="D74" s="12"/>
      <c r="E74" s="12" t="s">
        <v>237</v>
      </c>
      <c r="F74" s="13"/>
      <c r="G74" s="12" t="s">
        <v>282</v>
      </c>
      <c r="H74" s="13"/>
      <c r="I74" s="26"/>
      <c r="J74" s="15"/>
      <c r="K74" s="22">
        <v>0</v>
      </c>
      <c r="L74" s="15" t="s">
        <v>240</v>
      </c>
      <c r="M74" s="15"/>
    </row>
    <row r="75" spans="1:13" hidden="1">
      <c r="A75" s="14">
        <v>74</v>
      </c>
      <c r="B75" s="42">
        <v>45953</v>
      </c>
      <c r="C75" s="12" t="s">
        <v>236</v>
      </c>
      <c r="D75" s="12"/>
      <c r="E75" s="12" t="s">
        <v>269</v>
      </c>
      <c r="F75" s="13"/>
      <c r="G75" s="12" t="s">
        <v>238</v>
      </c>
      <c r="H75" s="13"/>
      <c r="I75" s="26"/>
      <c r="J75" s="15"/>
      <c r="K75" s="22">
        <v>0</v>
      </c>
      <c r="L75" s="15" t="s">
        <v>240</v>
      </c>
      <c r="M75" s="15"/>
    </row>
    <row r="76" spans="1:13" hidden="1">
      <c r="A76" s="14">
        <v>75</v>
      </c>
      <c r="B76" s="42">
        <v>45953</v>
      </c>
      <c r="C76" s="12" t="s">
        <v>236</v>
      </c>
      <c r="D76" s="12"/>
      <c r="E76" s="12" t="s">
        <v>238</v>
      </c>
      <c r="F76" s="13"/>
      <c r="G76" s="12" t="s">
        <v>237</v>
      </c>
      <c r="H76" s="13"/>
      <c r="I76" s="26"/>
      <c r="J76" s="15"/>
      <c r="K76" s="22">
        <v>0</v>
      </c>
      <c r="L76" s="15" t="s">
        <v>240</v>
      </c>
      <c r="M76" s="15"/>
    </row>
    <row r="77" spans="1:13" hidden="1">
      <c r="A77" s="14">
        <v>76</v>
      </c>
      <c r="B77" s="42">
        <v>46030</v>
      </c>
      <c r="C77" s="12" t="s">
        <v>236</v>
      </c>
      <c r="D77" s="12"/>
      <c r="E77" s="12" t="s">
        <v>237</v>
      </c>
      <c r="F77" s="13">
        <v>0.78819444444444442</v>
      </c>
      <c r="G77" s="12" t="s">
        <v>238</v>
      </c>
      <c r="H77" s="13">
        <v>0.87847222222222221</v>
      </c>
      <c r="I77" s="26"/>
      <c r="J77" s="15"/>
      <c r="K77" s="47">
        <v>8810</v>
      </c>
      <c r="L77" s="15" t="s">
        <v>240</v>
      </c>
      <c r="M77" s="15"/>
    </row>
    <row r="78" spans="1:13" hidden="1">
      <c r="A78" s="14">
        <v>77</v>
      </c>
      <c r="B78" s="42">
        <v>46031</v>
      </c>
      <c r="C78" s="12" t="s">
        <v>236</v>
      </c>
      <c r="D78" s="12"/>
      <c r="E78" s="12" t="s">
        <v>238</v>
      </c>
      <c r="F78" s="13">
        <v>0.30208333333333331</v>
      </c>
      <c r="G78" s="12" t="s">
        <v>248</v>
      </c>
      <c r="H78" s="13">
        <v>0.375</v>
      </c>
      <c r="I78" s="26"/>
      <c r="J78" s="15"/>
      <c r="K78" s="22">
        <v>10800</v>
      </c>
      <c r="L78" s="15" t="s">
        <v>240</v>
      </c>
      <c r="M78" s="15"/>
    </row>
    <row r="79" spans="1:13" hidden="1">
      <c r="A79" s="14">
        <v>78</v>
      </c>
      <c r="B79" s="42">
        <v>46031</v>
      </c>
      <c r="C79" s="12" t="s">
        <v>236</v>
      </c>
      <c r="D79" s="12"/>
      <c r="E79" s="12" t="s">
        <v>248</v>
      </c>
      <c r="F79" s="13">
        <v>0.40625</v>
      </c>
      <c r="G79" s="12" t="s">
        <v>251</v>
      </c>
      <c r="H79" s="13">
        <v>0.4513888888888889</v>
      </c>
      <c r="I79" s="26"/>
      <c r="J79" s="15"/>
      <c r="K79" s="22">
        <v>4640</v>
      </c>
      <c r="L79" s="15" t="s">
        <v>240</v>
      </c>
      <c r="M79" s="15"/>
    </row>
    <row r="80" spans="1:13" hidden="1">
      <c r="A80" s="14">
        <v>79</v>
      </c>
      <c r="B80" s="42">
        <v>46031</v>
      </c>
      <c r="C80" s="12" t="s">
        <v>236</v>
      </c>
      <c r="D80" s="12"/>
      <c r="E80" s="12" t="s">
        <v>251</v>
      </c>
      <c r="F80" s="13">
        <v>0.47916666666666669</v>
      </c>
      <c r="G80" s="12" t="s">
        <v>283</v>
      </c>
      <c r="H80" s="13">
        <v>0.52083333333333337</v>
      </c>
      <c r="I80" s="26"/>
      <c r="J80" s="15"/>
      <c r="K80" s="22">
        <v>4640</v>
      </c>
      <c r="L80" s="15" t="s">
        <v>240</v>
      </c>
      <c r="M80" s="15"/>
    </row>
    <row r="81" spans="1:13" hidden="1">
      <c r="A81" s="14">
        <v>80</v>
      </c>
      <c r="B81" s="42">
        <v>46031</v>
      </c>
      <c r="C81" s="12" t="s">
        <v>236</v>
      </c>
      <c r="D81" s="12"/>
      <c r="E81" s="12" t="s">
        <v>283</v>
      </c>
      <c r="F81" s="13">
        <v>0.58333333333333337</v>
      </c>
      <c r="G81" s="12" t="s">
        <v>274</v>
      </c>
      <c r="H81" s="13">
        <v>0.60763888888888884</v>
      </c>
      <c r="I81" s="26"/>
      <c r="J81" s="15"/>
      <c r="K81" s="22">
        <v>4640</v>
      </c>
      <c r="L81" s="15" t="s">
        <v>240</v>
      </c>
      <c r="M81" s="15"/>
    </row>
    <row r="82" spans="1:13" hidden="1">
      <c r="A82" s="14">
        <v>81</v>
      </c>
      <c r="B82" s="42">
        <v>46031</v>
      </c>
      <c r="C82" s="12" t="s">
        <v>236</v>
      </c>
      <c r="D82" s="12"/>
      <c r="E82" s="12" t="s">
        <v>274</v>
      </c>
      <c r="F82" s="13">
        <v>0.63541666666666663</v>
      </c>
      <c r="G82" s="12" t="s">
        <v>283</v>
      </c>
      <c r="H82" s="13">
        <v>0.66319444444444442</v>
      </c>
      <c r="I82" s="26"/>
      <c r="J82" s="15"/>
      <c r="K82" s="22">
        <v>4640</v>
      </c>
      <c r="L82" s="15" t="s">
        <v>240</v>
      </c>
      <c r="M82" s="15"/>
    </row>
    <row r="83" spans="1:13" hidden="1">
      <c r="A83" s="14">
        <v>82</v>
      </c>
      <c r="B83" s="42">
        <v>46031</v>
      </c>
      <c r="C83" s="12" t="s">
        <v>236</v>
      </c>
      <c r="D83" s="12"/>
      <c r="E83" s="12" t="s">
        <v>283</v>
      </c>
      <c r="F83" s="13">
        <v>0.69444444444444442</v>
      </c>
      <c r="G83" s="12" t="s">
        <v>255</v>
      </c>
      <c r="H83" s="13">
        <v>0.73263888888888884</v>
      </c>
      <c r="I83" s="26"/>
      <c r="J83" s="15"/>
      <c r="K83" s="22">
        <v>4640</v>
      </c>
      <c r="L83" s="15" t="s">
        <v>240</v>
      </c>
      <c r="M83" s="15"/>
    </row>
    <row r="84" spans="1:13" hidden="1">
      <c r="A84" s="14">
        <v>83</v>
      </c>
      <c r="B84" s="42">
        <v>46031</v>
      </c>
      <c r="C84" s="12" t="s">
        <v>236</v>
      </c>
      <c r="D84" s="12"/>
      <c r="E84" s="12" t="s">
        <v>255</v>
      </c>
      <c r="F84" s="13">
        <v>0.76041666666666663</v>
      </c>
      <c r="G84" s="12" t="s">
        <v>283</v>
      </c>
      <c r="H84" s="13">
        <v>0.79513888888888884</v>
      </c>
      <c r="I84" s="26"/>
      <c r="J84" s="15"/>
      <c r="K84" s="22">
        <v>7500</v>
      </c>
      <c r="L84" s="15" t="s">
        <v>240</v>
      </c>
      <c r="M84" s="15"/>
    </row>
    <row r="85" spans="1:13" hidden="1">
      <c r="A85" s="14">
        <v>84</v>
      </c>
      <c r="B85" s="42">
        <v>46031</v>
      </c>
      <c r="C85" s="12" t="s">
        <v>236</v>
      </c>
      <c r="D85" s="12"/>
      <c r="E85" s="12" t="s">
        <v>283</v>
      </c>
      <c r="F85" s="13">
        <v>0.82291666666666663</v>
      </c>
      <c r="G85" s="12" t="s">
        <v>238</v>
      </c>
      <c r="H85" s="13">
        <v>0.89236111111111116</v>
      </c>
      <c r="I85" s="26"/>
      <c r="J85" s="15"/>
      <c r="K85" s="22">
        <v>8050</v>
      </c>
      <c r="L85" s="15" t="s">
        <v>240</v>
      </c>
      <c r="M85" s="15"/>
    </row>
    <row r="86" spans="1:13" hidden="1">
      <c r="A86" s="14">
        <v>85</v>
      </c>
      <c r="B86" s="42">
        <v>46032</v>
      </c>
      <c r="C86" s="12" t="s">
        <v>236</v>
      </c>
      <c r="D86" s="12"/>
      <c r="E86" s="12" t="s">
        <v>238</v>
      </c>
      <c r="F86" s="13">
        <v>0.30555555555555558</v>
      </c>
      <c r="G86" s="12" t="s">
        <v>245</v>
      </c>
      <c r="H86" s="13">
        <v>0.33333333333333331</v>
      </c>
      <c r="I86" s="26"/>
      <c r="J86" s="15"/>
      <c r="K86" s="22">
        <v>6490</v>
      </c>
      <c r="L86" s="15" t="s">
        <v>240</v>
      </c>
      <c r="M86" s="15"/>
    </row>
    <row r="87" spans="1:13" hidden="1">
      <c r="A87" s="14">
        <v>86</v>
      </c>
      <c r="B87" s="42">
        <v>46032</v>
      </c>
      <c r="C87" s="12" t="s">
        <v>236</v>
      </c>
      <c r="D87" s="12"/>
      <c r="E87" s="12" t="s">
        <v>245</v>
      </c>
      <c r="F87" s="13">
        <v>0.54861111111111116</v>
      </c>
      <c r="G87" s="12" t="s">
        <v>238</v>
      </c>
      <c r="H87" s="13">
        <v>0.58333333333333337</v>
      </c>
      <c r="I87" s="26"/>
      <c r="J87" s="15"/>
      <c r="K87" s="22">
        <v>6490</v>
      </c>
      <c r="L87" s="15" t="s">
        <v>240</v>
      </c>
      <c r="M87" s="15"/>
    </row>
    <row r="88" spans="1:13" hidden="1">
      <c r="A88" s="14">
        <v>87</v>
      </c>
      <c r="B88" s="42">
        <v>46032</v>
      </c>
      <c r="C88" s="12" t="s">
        <v>236</v>
      </c>
      <c r="D88" s="12"/>
      <c r="E88" s="12" t="s">
        <v>238</v>
      </c>
      <c r="F88" s="13">
        <v>0.59722222222222221</v>
      </c>
      <c r="G88" s="12" t="s">
        <v>284</v>
      </c>
      <c r="H88" s="13">
        <v>0.63541666666666663</v>
      </c>
      <c r="I88" s="26"/>
      <c r="J88" s="15"/>
      <c r="K88" s="22">
        <v>6710</v>
      </c>
      <c r="L88" s="15" t="s">
        <v>240</v>
      </c>
      <c r="M88" s="15"/>
    </row>
    <row r="89" spans="1:13" hidden="1">
      <c r="A89" s="14">
        <v>88</v>
      </c>
      <c r="B89" s="42">
        <v>46032</v>
      </c>
      <c r="C89" s="12" t="s">
        <v>236</v>
      </c>
      <c r="D89" s="12"/>
      <c r="E89" s="12" t="s">
        <v>284</v>
      </c>
      <c r="F89" s="13">
        <v>0.66319444444444442</v>
      </c>
      <c r="G89" s="12" t="s">
        <v>238</v>
      </c>
      <c r="H89" s="13">
        <v>0.70486111111111116</v>
      </c>
      <c r="I89" s="26"/>
      <c r="J89" s="15"/>
      <c r="K89" s="22">
        <v>6710</v>
      </c>
      <c r="L89" s="15" t="s">
        <v>240</v>
      </c>
      <c r="M89" s="15"/>
    </row>
    <row r="90" spans="1:13" hidden="1">
      <c r="A90" s="14">
        <v>89</v>
      </c>
      <c r="B90" s="42">
        <v>46033</v>
      </c>
      <c r="C90" s="12" t="s">
        <v>236</v>
      </c>
      <c r="D90" s="12"/>
      <c r="E90" s="12" t="s">
        <v>238</v>
      </c>
      <c r="F90" s="13">
        <v>0.30208333333333331</v>
      </c>
      <c r="G90" s="12" t="s">
        <v>248</v>
      </c>
      <c r="H90" s="13">
        <v>0.375</v>
      </c>
      <c r="I90" s="26"/>
      <c r="J90" s="15"/>
      <c r="K90" s="22">
        <v>9150</v>
      </c>
      <c r="L90" s="15" t="s">
        <v>240</v>
      </c>
      <c r="M90" s="15"/>
    </row>
    <row r="91" spans="1:13" hidden="1">
      <c r="A91" s="14">
        <v>90</v>
      </c>
      <c r="B91" s="42">
        <v>46033</v>
      </c>
      <c r="C91" s="12" t="s">
        <v>236</v>
      </c>
      <c r="D91" s="12"/>
      <c r="E91" s="12" t="s">
        <v>248</v>
      </c>
      <c r="F91" s="13">
        <v>0.40625</v>
      </c>
      <c r="G91" s="12" t="s">
        <v>251</v>
      </c>
      <c r="H91" s="13">
        <v>0.4513888888888889</v>
      </c>
      <c r="I91" s="26"/>
      <c r="J91" s="15"/>
      <c r="K91" s="22">
        <v>5740</v>
      </c>
      <c r="L91" s="15" t="s">
        <v>240</v>
      </c>
      <c r="M91" s="15"/>
    </row>
    <row r="92" spans="1:13" hidden="1">
      <c r="A92" s="14">
        <v>91</v>
      </c>
      <c r="B92" s="42">
        <v>46033</v>
      </c>
      <c r="C92" s="12" t="s">
        <v>236</v>
      </c>
      <c r="D92" s="12"/>
      <c r="E92" s="12" t="s">
        <v>251</v>
      </c>
      <c r="F92" s="13">
        <v>0.47916666666666669</v>
      </c>
      <c r="G92" s="12" t="s">
        <v>283</v>
      </c>
      <c r="H92" s="13">
        <v>0.52083333333333337</v>
      </c>
      <c r="I92" s="26"/>
      <c r="J92" s="15"/>
      <c r="K92" s="22">
        <v>5740</v>
      </c>
      <c r="L92" s="15" t="s">
        <v>240</v>
      </c>
      <c r="M92" s="15"/>
    </row>
    <row r="93" spans="1:13" hidden="1">
      <c r="A93" s="14">
        <v>92</v>
      </c>
      <c r="B93" s="42">
        <v>46033</v>
      </c>
      <c r="C93" s="12" t="s">
        <v>236</v>
      </c>
      <c r="D93" s="12"/>
      <c r="E93" s="12" t="s">
        <v>283</v>
      </c>
      <c r="F93" s="13">
        <v>0.55208333333333337</v>
      </c>
      <c r="G93" s="12" t="s">
        <v>285</v>
      </c>
      <c r="H93" s="13">
        <v>0.57986111111111116</v>
      </c>
      <c r="I93" s="26"/>
      <c r="J93" s="15"/>
      <c r="K93" s="22">
        <v>12340</v>
      </c>
      <c r="L93" s="15" t="s">
        <v>240</v>
      </c>
      <c r="M93" s="15"/>
    </row>
    <row r="94" spans="1:13" hidden="1">
      <c r="A94" s="14">
        <v>93</v>
      </c>
      <c r="B94" s="42">
        <v>46033</v>
      </c>
      <c r="C94" s="12" t="s">
        <v>236</v>
      </c>
      <c r="D94" s="12"/>
      <c r="E94" s="12" t="s">
        <v>285</v>
      </c>
      <c r="F94" s="13">
        <v>0.60069444444444442</v>
      </c>
      <c r="G94" s="12" t="s">
        <v>283</v>
      </c>
      <c r="H94" s="13">
        <v>0.625</v>
      </c>
      <c r="I94" s="26"/>
      <c r="J94" s="15"/>
      <c r="K94" s="22">
        <v>12340</v>
      </c>
      <c r="L94" s="15" t="s">
        <v>240</v>
      </c>
      <c r="M94" s="15"/>
    </row>
    <row r="95" spans="1:13" hidden="1">
      <c r="A95" s="14">
        <v>94</v>
      </c>
      <c r="B95" s="42">
        <v>46033</v>
      </c>
      <c r="C95" s="12" t="s">
        <v>236</v>
      </c>
      <c r="D95" s="12"/>
      <c r="E95" s="12" t="s">
        <v>283</v>
      </c>
      <c r="F95" s="13">
        <v>0.65277777777777779</v>
      </c>
      <c r="G95" s="12" t="s">
        <v>274</v>
      </c>
      <c r="H95" s="13">
        <v>0.67708333333333337</v>
      </c>
      <c r="I95" s="26"/>
      <c r="J95" s="15"/>
      <c r="K95" s="22">
        <v>10910</v>
      </c>
      <c r="L95" s="15" t="s">
        <v>240</v>
      </c>
      <c r="M95" s="15"/>
    </row>
    <row r="96" spans="1:13" hidden="1">
      <c r="A96" s="14">
        <v>95</v>
      </c>
      <c r="B96" s="42">
        <v>46033</v>
      </c>
      <c r="C96" s="12" t="s">
        <v>236</v>
      </c>
      <c r="D96" s="12"/>
      <c r="E96" s="12" t="s">
        <v>274</v>
      </c>
      <c r="F96" s="13">
        <v>0.69791666666666663</v>
      </c>
      <c r="G96" s="12" t="s">
        <v>283</v>
      </c>
      <c r="H96" s="13">
        <v>0.72222222222222221</v>
      </c>
      <c r="I96" s="26"/>
      <c r="J96" s="15"/>
      <c r="K96" s="22">
        <v>4640</v>
      </c>
      <c r="L96" s="15" t="s">
        <v>240</v>
      </c>
      <c r="M96" s="15"/>
    </row>
    <row r="97" spans="1:13" hidden="1">
      <c r="A97" s="14">
        <v>96</v>
      </c>
      <c r="B97" s="42">
        <v>46033</v>
      </c>
      <c r="C97" s="12" t="s">
        <v>236</v>
      </c>
      <c r="D97" s="12"/>
      <c r="E97" s="12" t="s">
        <v>283</v>
      </c>
      <c r="F97" s="13">
        <v>0.79166666666666663</v>
      </c>
      <c r="G97" s="12" t="s">
        <v>237</v>
      </c>
      <c r="H97" s="13">
        <v>0.88194444444444442</v>
      </c>
      <c r="I97" s="26"/>
      <c r="J97" s="15"/>
      <c r="K97" s="22">
        <v>10590</v>
      </c>
      <c r="L97" s="15" t="s">
        <v>240</v>
      </c>
      <c r="M97" s="15"/>
    </row>
    <row r="98" spans="1:13" hidden="1">
      <c r="A98" s="14">
        <v>97</v>
      </c>
      <c r="B98" s="42">
        <v>46046</v>
      </c>
      <c r="C98" s="12" t="s">
        <v>236</v>
      </c>
      <c r="D98" s="12"/>
      <c r="E98" s="12" t="s">
        <v>237</v>
      </c>
      <c r="F98" s="13">
        <v>0.2638888888888889</v>
      </c>
      <c r="G98" s="12" t="s">
        <v>283</v>
      </c>
      <c r="H98" s="13">
        <v>0.38541666666666669</v>
      </c>
      <c r="I98" s="26"/>
      <c r="J98" s="15"/>
      <c r="K98" s="22">
        <v>10590</v>
      </c>
      <c r="L98" s="15" t="s">
        <v>240</v>
      </c>
      <c r="M98" s="15"/>
    </row>
    <row r="99" spans="1:13" hidden="1">
      <c r="A99" s="14">
        <v>98</v>
      </c>
      <c r="B99" s="42">
        <v>46046</v>
      </c>
      <c r="C99" s="12" t="s">
        <v>236</v>
      </c>
      <c r="D99" s="12"/>
      <c r="E99" s="12" t="s">
        <v>283</v>
      </c>
      <c r="F99" s="13">
        <v>0.4548611111111111</v>
      </c>
      <c r="G99" s="12" t="s">
        <v>255</v>
      </c>
      <c r="H99" s="13">
        <v>0.49305555555555558</v>
      </c>
      <c r="I99" s="26"/>
      <c r="J99" s="15"/>
      <c r="K99" s="22">
        <v>5740</v>
      </c>
      <c r="L99" s="15" t="s">
        <v>240</v>
      </c>
      <c r="M99" s="15"/>
    </row>
    <row r="100" spans="1:13" hidden="1">
      <c r="A100" s="14">
        <v>99</v>
      </c>
      <c r="B100" s="42">
        <v>46046</v>
      </c>
      <c r="C100" s="12" t="s">
        <v>236</v>
      </c>
      <c r="D100" s="12"/>
      <c r="E100" s="12" t="s">
        <v>255</v>
      </c>
      <c r="F100" s="13">
        <v>0.52083333333333337</v>
      </c>
      <c r="G100" s="12" t="s">
        <v>283</v>
      </c>
      <c r="H100" s="13">
        <v>0.55555555555555558</v>
      </c>
      <c r="I100" s="26"/>
      <c r="J100" s="15"/>
      <c r="K100" s="22">
        <v>5740</v>
      </c>
      <c r="L100" s="15" t="s">
        <v>240</v>
      </c>
      <c r="M100" s="15"/>
    </row>
    <row r="101" spans="1:13" hidden="1">
      <c r="A101" s="14">
        <v>100</v>
      </c>
      <c r="B101" s="42">
        <v>46046</v>
      </c>
      <c r="C101" s="12" t="s">
        <v>236</v>
      </c>
      <c r="D101" s="12"/>
      <c r="E101" s="12" t="s">
        <v>283</v>
      </c>
      <c r="F101" s="13">
        <v>0.59375</v>
      </c>
      <c r="G101" s="12" t="s">
        <v>286</v>
      </c>
      <c r="H101" s="13">
        <v>0.63541666666666663</v>
      </c>
      <c r="I101" s="26"/>
      <c r="J101" s="15"/>
      <c r="K101" s="22">
        <v>9040</v>
      </c>
      <c r="L101" s="15" t="s">
        <v>240</v>
      </c>
      <c r="M101" s="15"/>
    </row>
    <row r="102" spans="1:13" hidden="1">
      <c r="A102" s="14">
        <v>101</v>
      </c>
      <c r="B102" s="42">
        <v>46046</v>
      </c>
      <c r="C102" s="12" t="s">
        <v>236</v>
      </c>
      <c r="D102" s="12"/>
      <c r="E102" s="12" t="s">
        <v>286</v>
      </c>
      <c r="F102" s="13">
        <v>0.65625</v>
      </c>
      <c r="G102" s="12" t="s">
        <v>283</v>
      </c>
      <c r="H102" s="13">
        <v>0.70138888888888884</v>
      </c>
      <c r="I102" s="26"/>
      <c r="J102" s="15"/>
      <c r="K102" s="22">
        <v>9040</v>
      </c>
      <c r="L102" s="15" t="s">
        <v>240</v>
      </c>
      <c r="M102" s="15"/>
    </row>
    <row r="103" spans="1:13" hidden="1">
      <c r="A103" s="14">
        <v>102</v>
      </c>
      <c r="B103" s="42">
        <v>46046</v>
      </c>
      <c r="C103" s="12" t="s">
        <v>236</v>
      </c>
      <c r="D103" s="12"/>
      <c r="E103" s="12" t="s">
        <v>283</v>
      </c>
      <c r="F103" s="13">
        <v>0.87152777777777779</v>
      </c>
      <c r="G103" s="12" t="s">
        <v>237</v>
      </c>
      <c r="H103" s="13">
        <v>0.96180555555555558</v>
      </c>
      <c r="I103" s="26"/>
      <c r="J103" s="15"/>
      <c r="K103" s="22">
        <v>10590</v>
      </c>
      <c r="L103" s="15" t="s">
        <v>240</v>
      </c>
      <c r="M103" s="15"/>
    </row>
    <row r="104" spans="1:13" hidden="1">
      <c r="A104" s="14">
        <v>103</v>
      </c>
      <c r="B104" s="42">
        <v>45981</v>
      </c>
      <c r="C104" s="12" t="s">
        <v>236</v>
      </c>
      <c r="D104" s="12"/>
      <c r="E104" s="12" t="s">
        <v>237</v>
      </c>
      <c r="F104" s="13"/>
      <c r="G104" s="12" t="s">
        <v>287</v>
      </c>
      <c r="H104" s="13"/>
      <c r="I104" s="26"/>
      <c r="J104" s="15"/>
      <c r="K104" s="22">
        <v>0</v>
      </c>
      <c r="L104" s="15" t="s">
        <v>240</v>
      </c>
      <c r="M104" s="15"/>
    </row>
    <row r="105" spans="1:13" hidden="1">
      <c r="A105" s="14">
        <v>104</v>
      </c>
      <c r="B105" s="42">
        <v>45983</v>
      </c>
      <c r="C105" s="12" t="s">
        <v>236</v>
      </c>
      <c r="D105" s="12"/>
      <c r="E105" s="12" t="s">
        <v>287</v>
      </c>
      <c r="F105" s="13"/>
      <c r="G105" s="12" t="s">
        <v>237</v>
      </c>
      <c r="H105" s="13"/>
      <c r="I105" s="26"/>
      <c r="J105" s="15"/>
      <c r="K105" s="22">
        <v>0</v>
      </c>
      <c r="L105" s="15" t="s">
        <v>240</v>
      </c>
      <c r="M105" s="15"/>
    </row>
    <row r="106" spans="1:13" hidden="1">
      <c r="A106" s="14">
        <v>105</v>
      </c>
      <c r="B106" s="42">
        <v>45985</v>
      </c>
      <c r="C106" s="12" t="s">
        <v>236</v>
      </c>
      <c r="D106" s="12"/>
      <c r="E106" s="12" t="s">
        <v>237</v>
      </c>
      <c r="F106" s="13"/>
      <c r="G106" s="12" t="s">
        <v>238</v>
      </c>
      <c r="H106" s="13"/>
      <c r="I106" s="26"/>
      <c r="J106" s="15"/>
      <c r="K106" s="22">
        <v>0</v>
      </c>
      <c r="L106" s="15" t="s">
        <v>240</v>
      </c>
      <c r="M106" s="15"/>
    </row>
    <row r="107" spans="1:13" hidden="1">
      <c r="A107" s="14">
        <v>106</v>
      </c>
      <c r="B107" s="42">
        <v>45986</v>
      </c>
      <c r="C107" s="12" t="s">
        <v>236</v>
      </c>
      <c r="D107" s="12"/>
      <c r="E107" s="12" t="s">
        <v>238</v>
      </c>
      <c r="F107" s="13"/>
      <c r="G107" s="12" t="s">
        <v>237</v>
      </c>
      <c r="H107" s="13"/>
      <c r="I107" s="26"/>
      <c r="J107" s="15"/>
      <c r="K107" s="22">
        <v>0</v>
      </c>
      <c r="L107" s="15" t="s">
        <v>240</v>
      </c>
      <c r="M107" s="15"/>
    </row>
    <row r="108" spans="1:13" hidden="1">
      <c r="A108" s="14">
        <v>107</v>
      </c>
      <c r="B108" s="42">
        <v>45987</v>
      </c>
      <c r="C108" s="12" t="s">
        <v>236</v>
      </c>
      <c r="D108" s="12"/>
      <c r="E108" s="12" t="s">
        <v>237</v>
      </c>
      <c r="F108" s="13"/>
      <c r="G108" s="12" t="s">
        <v>270</v>
      </c>
      <c r="H108" s="13"/>
      <c r="I108" s="26"/>
      <c r="J108" s="15"/>
      <c r="K108" s="22">
        <v>0</v>
      </c>
      <c r="L108" s="15" t="s">
        <v>240</v>
      </c>
      <c r="M108" s="15"/>
    </row>
    <row r="109" spans="1:13" hidden="1">
      <c r="A109" s="14">
        <v>108</v>
      </c>
      <c r="B109" s="42">
        <v>45988</v>
      </c>
      <c r="C109" s="12" t="s">
        <v>236</v>
      </c>
      <c r="D109" s="12"/>
      <c r="E109" s="12" t="s">
        <v>270</v>
      </c>
      <c r="F109" s="13"/>
      <c r="G109" s="12" t="s">
        <v>237</v>
      </c>
      <c r="H109" s="13"/>
      <c r="I109" s="26"/>
      <c r="J109" s="15"/>
      <c r="K109" s="22">
        <v>0</v>
      </c>
      <c r="L109" s="15" t="s">
        <v>240</v>
      </c>
      <c r="M109" s="15"/>
    </row>
    <row r="110" spans="1:13" hidden="1">
      <c r="A110" s="14">
        <v>109</v>
      </c>
      <c r="B110" s="42">
        <v>45992</v>
      </c>
      <c r="C110" s="12" t="s">
        <v>236</v>
      </c>
      <c r="D110" s="12"/>
      <c r="E110" s="12" t="s">
        <v>237</v>
      </c>
      <c r="F110" s="13"/>
      <c r="G110" s="12" t="s">
        <v>238</v>
      </c>
      <c r="H110" s="13"/>
      <c r="I110" s="26"/>
      <c r="J110" s="15"/>
      <c r="K110" s="22">
        <v>0</v>
      </c>
      <c r="L110" s="15" t="s">
        <v>240</v>
      </c>
      <c r="M110" s="15"/>
    </row>
    <row r="111" spans="1:13" hidden="1">
      <c r="A111" s="14">
        <v>110</v>
      </c>
      <c r="B111" s="42">
        <v>45993</v>
      </c>
      <c r="C111" s="12" t="s">
        <v>236</v>
      </c>
      <c r="D111" s="12"/>
      <c r="E111" s="12" t="s">
        <v>238</v>
      </c>
      <c r="F111" s="13"/>
      <c r="G111" s="12" t="s">
        <v>237</v>
      </c>
      <c r="H111" s="13"/>
      <c r="I111" s="26"/>
      <c r="J111" s="15"/>
      <c r="K111" s="22">
        <v>0</v>
      </c>
      <c r="L111" s="15" t="s">
        <v>240</v>
      </c>
      <c r="M111" s="15"/>
    </row>
    <row r="112" spans="1:13" hidden="1">
      <c r="A112" s="14">
        <v>111</v>
      </c>
      <c r="B112" s="42">
        <v>46059</v>
      </c>
      <c r="C112" s="12" t="s">
        <v>236</v>
      </c>
      <c r="D112" s="12">
        <v>303</v>
      </c>
      <c r="E112" s="12" t="s">
        <v>288</v>
      </c>
      <c r="F112" s="13">
        <v>0.2673611111111111</v>
      </c>
      <c r="G112" s="12" t="s">
        <v>238</v>
      </c>
      <c r="H112" s="13">
        <v>0.35416666666666669</v>
      </c>
      <c r="I112" s="26"/>
      <c r="J112" s="15"/>
      <c r="K112" s="22">
        <v>9360</v>
      </c>
      <c r="L112" s="15" t="s">
        <v>240</v>
      </c>
      <c r="M112" s="15"/>
    </row>
    <row r="113" spans="1:13" hidden="1">
      <c r="A113" s="14">
        <v>112</v>
      </c>
      <c r="B113" s="42">
        <v>46059</v>
      </c>
      <c r="C113" s="12" t="s">
        <v>236</v>
      </c>
      <c r="D113" s="12">
        <v>3581</v>
      </c>
      <c r="E113" s="12" t="s">
        <v>238</v>
      </c>
      <c r="F113" s="13">
        <v>0.37847222222222221</v>
      </c>
      <c r="G113" s="12" t="s">
        <v>268</v>
      </c>
      <c r="H113" s="13">
        <v>0.41319444444444442</v>
      </c>
      <c r="I113" s="26"/>
      <c r="J113" s="15"/>
      <c r="K113" s="22">
        <v>8910</v>
      </c>
      <c r="L113" s="15" t="s">
        <v>240</v>
      </c>
      <c r="M113" s="15"/>
    </row>
    <row r="114" spans="1:13" hidden="1">
      <c r="A114" s="14">
        <v>113</v>
      </c>
      <c r="B114" s="42">
        <v>46059</v>
      </c>
      <c r="C114" s="12" t="s">
        <v>236</v>
      </c>
      <c r="D114" s="12">
        <v>3582</v>
      </c>
      <c r="E114" s="12" t="s">
        <v>268</v>
      </c>
      <c r="F114" s="13">
        <v>0.43402777777777779</v>
      </c>
      <c r="G114" s="12" t="s">
        <v>238</v>
      </c>
      <c r="H114" s="13">
        <v>0.47916666666666669</v>
      </c>
      <c r="I114" s="26"/>
      <c r="J114" s="15"/>
      <c r="K114" s="22">
        <v>8910</v>
      </c>
      <c r="L114" s="15" t="s">
        <v>240</v>
      </c>
      <c r="M114" s="15"/>
    </row>
    <row r="115" spans="1:13" hidden="1">
      <c r="A115" s="14">
        <v>114</v>
      </c>
      <c r="B115" s="42">
        <v>46059</v>
      </c>
      <c r="C115" s="12" t="s">
        <v>236</v>
      </c>
      <c r="D115" s="12"/>
      <c r="E115" s="12" t="s">
        <v>238</v>
      </c>
      <c r="F115" s="13">
        <v>0.49305555555555558</v>
      </c>
      <c r="G115" s="12" t="s">
        <v>245</v>
      </c>
      <c r="H115" s="13">
        <v>0.52777777777777779</v>
      </c>
      <c r="I115" s="26"/>
      <c r="J115" s="15"/>
      <c r="K115" s="22">
        <v>19238</v>
      </c>
      <c r="L115" s="15" t="s">
        <v>240</v>
      </c>
      <c r="M115" s="15"/>
    </row>
    <row r="116" spans="1:13" hidden="1">
      <c r="A116" s="14">
        <v>115</v>
      </c>
      <c r="B116" s="42">
        <v>46059</v>
      </c>
      <c r="C116" s="12" t="s">
        <v>236</v>
      </c>
      <c r="D116" s="12"/>
      <c r="E116" s="12" t="s">
        <v>245</v>
      </c>
      <c r="F116" s="13">
        <v>0.54861111111111116</v>
      </c>
      <c r="G116" s="12" t="s">
        <v>238</v>
      </c>
      <c r="H116" s="13">
        <v>0.58333333333333337</v>
      </c>
      <c r="I116" s="26"/>
      <c r="J116" s="15"/>
      <c r="K116" s="22">
        <v>0</v>
      </c>
      <c r="L116" s="15" t="s">
        <v>240</v>
      </c>
      <c r="M116" s="15"/>
    </row>
    <row r="117" spans="1:13" hidden="1">
      <c r="A117" s="14">
        <v>118</v>
      </c>
      <c r="B117" s="42">
        <v>46059</v>
      </c>
      <c r="C117" s="12" t="s">
        <v>247</v>
      </c>
      <c r="D117" s="12">
        <v>63</v>
      </c>
      <c r="E117" s="12" t="s">
        <v>238</v>
      </c>
      <c r="F117" s="13">
        <v>0.73263888888888884</v>
      </c>
      <c r="G117" s="12" t="s">
        <v>289</v>
      </c>
      <c r="H117" s="13">
        <v>0.80902777777777779</v>
      </c>
      <c r="I117" s="26"/>
      <c r="J117" s="15"/>
      <c r="K117" s="22">
        <v>9150</v>
      </c>
      <c r="L117" s="15" t="s">
        <v>240</v>
      </c>
      <c r="M117" s="15"/>
    </row>
    <row r="118" spans="1:13" hidden="1">
      <c r="A118" s="14">
        <v>126</v>
      </c>
      <c r="B118" s="42">
        <v>46060</v>
      </c>
      <c r="C118" s="12"/>
      <c r="D118" s="12"/>
      <c r="E118" s="12" t="s">
        <v>289</v>
      </c>
      <c r="F118" s="13">
        <v>0.60069444444444442</v>
      </c>
      <c r="G118" s="12" t="s">
        <v>255</v>
      </c>
      <c r="H118" s="13">
        <v>0.64236111111111116</v>
      </c>
      <c r="I118" s="26"/>
      <c r="J118" s="15"/>
      <c r="K118" s="22">
        <v>5740</v>
      </c>
      <c r="L118" s="15" t="s">
        <v>240</v>
      </c>
      <c r="M118" s="15"/>
    </row>
    <row r="119" spans="1:13" hidden="1">
      <c r="A119" s="14">
        <v>127</v>
      </c>
      <c r="B119" s="42">
        <v>46060</v>
      </c>
      <c r="C119" s="12"/>
      <c r="D119" s="12"/>
      <c r="E119" s="12" t="s">
        <v>255</v>
      </c>
      <c r="F119" s="13">
        <v>0.67013888888888884</v>
      </c>
      <c r="G119" s="12" t="s">
        <v>289</v>
      </c>
      <c r="H119" s="13">
        <v>0.70486111111111116</v>
      </c>
      <c r="I119" s="26"/>
      <c r="J119" s="15"/>
      <c r="K119" s="22">
        <v>5740</v>
      </c>
      <c r="L119" s="15" t="s">
        <v>240</v>
      </c>
      <c r="M119" s="15"/>
    </row>
    <row r="120" spans="1:13" hidden="1">
      <c r="A120" s="14">
        <v>128</v>
      </c>
      <c r="B120" s="42">
        <v>46060</v>
      </c>
      <c r="C120" s="12"/>
      <c r="D120" s="12"/>
      <c r="E120" s="12" t="s">
        <v>248</v>
      </c>
      <c r="F120" s="13">
        <v>0.72222222222222221</v>
      </c>
      <c r="G120" s="12" t="s">
        <v>274</v>
      </c>
      <c r="H120" s="13">
        <v>0.74652777777777779</v>
      </c>
      <c r="I120" s="26"/>
      <c r="J120" s="15"/>
      <c r="K120" s="22">
        <v>4640</v>
      </c>
      <c r="L120" s="15" t="s">
        <v>240</v>
      </c>
      <c r="M120" s="15"/>
    </row>
    <row r="121" spans="1:13" hidden="1">
      <c r="A121" s="14">
        <v>129</v>
      </c>
      <c r="B121" s="42">
        <v>46060</v>
      </c>
      <c r="C121" s="12"/>
      <c r="D121" s="12"/>
      <c r="E121" s="12" t="s">
        <v>274</v>
      </c>
      <c r="F121" s="13">
        <v>0.76736111111111116</v>
      </c>
      <c r="G121" s="12" t="s">
        <v>248</v>
      </c>
      <c r="H121" s="13">
        <v>0.79513888888888884</v>
      </c>
      <c r="I121" s="26"/>
      <c r="J121" s="15"/>
      <c r="K121" s="22">
        <v>9260</v>
      </c>
      <c r="L121" s="15" t="s">
        <v>240</v>
      </c>
      <c r="M121" s="15"/>
    </row>
    <row r="122" spans="1:13" hidden="1">
      <c r="A122" s="14">
        <v>130</v>
      </c>
      <c r="B122" s="42">
        <v>46060</v>
      </c>
      <c r="C122" s="12" t="s">
        <v>247</v>
      </c>
      <c r="D122" s="12">
        <v>62</v>
      </c>
      <c r="E122" s="12" t="s">
        <v>289</v>
      </c>
      <c r="F122" s="13">
        <v>0.82291666666666663</v>
      </c>
      <c r="G122" s="12" t="s">
        <v>238</v>
      </c>
      <c r="H122" s="13">
        <v>0.89236111111111116</v>
      </c>
      <c r="I122" s="26"/>
      <c r="J122" s="15"/>
      <c r="K122" s="22">
        <v>10250</v>
      </c>
      <c r="L122" s="15" t="s">
        <v>240</v>
      </c>
      <c r="M122" s="15"/>
    </row>
    <row r="123" spans="1:13" hidden="1">
      <c r="A123" s="14">
        <v>131</v>
      </c>
      <c r="B123" s="42">
        <v>46061</v>
      </c>
      <c r="C123" s="12"/>
      <c r="D123" s="12"/>
      <c r="E123" s="12" t="s">
        <v>238</v>
      </c>
      <c r="F123" s="13">
        <v>0.30208333333333331</v>
      </c>
      <c r="G123" s="12" t="s">
        <v>289</v>
      </c>
      <c r="H123" s="13">
        <v>0.37847222222222221</v>
      </c>
      <c r="I123" s="26"/>
      <c r="J123" s="15"/>
      <c r="K123" s="22">
        <v>10250</v>
      </c>
      <c r="L123" s="15" t="s">
        <v>240</v>
      </c>
      <c r="M123" s="15"/>
    </row>
    <row r="124" spans="1:13" hidden="1">
      <c r="A124" s="14">
        <v>132</v>
      </c>
      <c r="B124" s="42">
        <v>46061</v>
      </c>
      <c r="C124" s="12" t="s">
        <v>252</v>
      </c>
      <c r="D124" s="12">
        <v>873</v>
      </c>
      <c r="E124" s="12" t="s">
        <v>289</v>
      </c>
      <c r="F124" s="13">
        <v>0.41319444444444442</v>
      </c>
      <c r="G124" s="12" t="s">
        <v>274</v>
      </c>
      <c r="H124" s="13">
        <v>0.43402777777777779</v>
      </c>
      <c r="I124" s="26"/>
      <c r="J124" s="15"/>
      <c r="K124" s="22">
        <v>4640</v>
      </c>
      <c r="L124" s="15" t="s">
        <v>240</v>
      </c>
      <c r="M124" s="15"/>
    </row>
    <row r="125" spans="1:13" hidden="1">
      <c r="A125" s="14">
        <v>133</v>
      </c>
      <c r="B125" s="42">
        <v>46061</v>
      </c>
      <c r="C125" s="12" t="s">
        <v>252</v>
      </c>
      <c r="D125" s="12">
        <v>874</v>
      </c>
      <c r="E125" s="12" t="s">
        <v>274</v>
      </c>
      <c r="F125" s="13">
        <v>0.4548611111111111</v>
      </c>
      <c r="G125" s="12" t="s">
        <v>289</v>
      </c>
      <c r="H125" s="13">
        <v>0.4826388888888889</v>
      </c>
      <c r="I125" s="26"/>
      <c r="J125" s="15"/>
      <c r="K125" s="22">
        <v>6620</v>
      </c>
      <c r="L125" s="15" t="s">
        <v>240</v>
      </c>
      <c r="M125" s="15"/>
    </row>
    <row r="126" spans="1:13" hidden="1">
      <c r="A126" s="14">
        <v>134</v>
      </c>
      <c r="B126" s="42">
        <v>46061</v>
      </c>
      <c r="C126" s="12" t="s">
        <v>247</v>
      </c>
      <c r="D126" s="12">
        <v>559</v>
      </c>
      <c r="E126" s="12" t="s">
        <v>289</v>
      </c>
      <c r="F126" s="13">
        <v>0.50694444444444442</v>
      </c>
      <c r="G126" s="12" t="s">
        <v>255</v>
      </c>
      <c r="H126" s="13">
        <v>0.54861111111111116</v>
      </c>
      <c r="I126" s="26"/>
      <c r="J126" s="15"/>
      <c r="K126" s="22">
        <v>5740</v>
      </c>
      <c r="L126" s="15" t="s">
        <v>240</v>
      </c>
      <c r="M126" s="15"/>
    </row>
    <row r="127" spans="1:13" hidden="1">
      <c r="A127" s="14">
        <v>135</v>
      </c>
      <c r="B127" s="42">
        <v>46061</v>
      </c>
      <c r="C127" s="12"/>
      <c r="D127" s="12"/>
      <c r="E127" s="12" t="s">
        <v>255</v>
      </c>
      <c r="F127" s="13">
        <v>0.57291666666666663</v>
      </c>
      <c r="G127" s="12" t="s">
        <v>289</v>
      </c>
      <c r="H127" s="13">
        <v>0.60763888888888884</v>
      </c>
      <c r="I127" s="26"/>
      <c r="J127" s="15"/>
      <c r="K127" s="22">
        <v>5740</v>
      </c>
      <c r="L127" s="15" t="s">
        <v>240</v>
      </c>
      <c r="M127" s="15"/>
    </row>
    <row r="128" spans="1:13" hidden="1">
      <c r="A128" s="14">
        <v>136</v>
      </c>
      <c r="B128" s="42">
        <v>46061</v>
      </c>
      <c r="C128" s="12"/>
      <c r="D128" s="12"/>
      <c r="E128" s="12" t="s">
        <v>289</v>
      </c>
      <c r="F128" s="13">
        <v>0.625</v>
      </c>
      <c r="G128" s="12" t="s">
        <v>251</v>
      </c>
      <c r="H128" s="13">
        <v>0.67013888888888884</v>
      </c>
      <c r="I128" s="26"/>
      <c r="J128" s="15"/>
      <c r="K128" s="22">
        <v>5740</v>
      </c>
      <c r="L128" s="15" t="s">
        <v>240</v>
      </c>
      <c r="M128" s="15"/>
    </row>
    <row r="129" spans="1:13" hidden="1">
      <c r="A129" s="14">
        <v>137</v>
      </c>
      <c r="B129" s="42">
        <v>46061</v>
      </c>
      <c r="C129" s="12"/>
      <c r="D129" s="12"/>
      <c r="E129" s="12" t="s">
        <v>251</v>
      </c>
      <c r="F129" s="13">
        <v>0.73958333333333337</v>
      </c>
      <c r="G129" s="12" t="s">
        <v>253</v>
      </c>
      <c r="H129" s="13">
        <v>0.76388888888888884</v>
      </c>
      <c r="I129" s="26"/>
      <c r="J129" s="15"/>
      <c r="K129" s="22">
        <v>6600</v>
      </c>
      <c r="L129" s="15" t="s">
        <v>240</v>
      </c>
      <c r="M129" s="15"/>
    </row>
    <row r="130" spans="1:13" hidden="1">
      <c r="A130" s="14">
        <v>138</v>
      </c>
      <c r="B130" s="42">
        <v>46061</v>
      </c>
      <c r="C130" s="12"/>
      <c r="D130" s="12"/>
      <c r="E130" s="12" t="s">
        <v>253</v>
      </c>
      <c r="F130" s="13">
        <v>0.78472222222222221</v>
      </c>
      <c r="G130" s="12" t="s">
        <v>289</v>
      </c>
      <c r="H130" s="13">
        <v>0.83680555555555558</v>
      </c>
      <c r="I130" s="26"/>
      <c r="J130" s="15"/>
      <c r="K130" s="22">
        <v>10140</v>
      </c>
      <c r="L130" s="15" t="s">
        <v>240</v>
      </c>
      <c r="M130" s="15"/>
    </row>
    <row r="131" spans="1:13" hidden="1">
      <c r="A131" s="14">
        <v>139</v>
      </c>
      <c r="B131" s="42">
        <v>46061</v>
      </c>
      <c r="C131" s="12"/>
      <c r="D131" s="12"/>
      <c r="E131" s="12" t="s">
        <v>289</v>
      </c>
      <c r="F131" s="13">
        <v>0.87152777777777779</v>
      </c>
      <c r="G131" s="12" t="s">
        <v>237</v>
      </c>
      <c r="H131" s="13">
        <v>0.96180555555555558</v>
      </c>
      <c r="I131" s="26"/>
      <c r="J131" s="15"/>
      <c r="K131" s="22">
        <v>10590</v>
      </c>
      <c r="L131" s="15" t="s">
        <v>240</v>
      </c>
      <c r="M131" s="15"/>
    </row>
    <row r="132" spans="1:13" hidden="1">
      <c r="A132" s="14">
        <v>140</v>
      </c>
      <c r="B132" s="42">
        <v>46063</v>
      </c>
      <c r="C132" s="12" t="s">
        <v>236</v>
      </c>
      <c r="D132" s="12">
        <v>331</v>
      </c>
      <c r="E132" s="12" t="s">
        <v>288</v>
      </c>
      <c r="F132" s="13">
        <v>0.77777777777777779</v>
      </c>
      <c r="G132" s="12" t="s">
        <v>238</v>
      </c>
      <c r="H132" s="13">
        <v>0.86111111111111116</v>
      </c>
      <c r="I132" s="26"/>
      <c r="J132" s="15"/>
      <c r="K132" s="22">
        <v>9360</v>
      </c>
      <c r="L132" s="15" t="s">
        <v>240</v>
      </c>
      <c r="M132" s="15"/>
    </row>
    <row r="133" spans="1:13" hidden="1">
      <c r="A133" s="14">
        <v>141</v>
      </c>
      <c r="B133" s="42">
        <v>46064</v>
      </c>
      <c r="C133" s="12" t="s">
        <v>247</v>
      </c>
      <c r="D133" s="12">
        <v>51</v>
      </c>
      <c r="E133" s="12" t="s">
        <v>238</v>
      </c>
      <c r="F133" s="13">
        <v>0.30208333333333331</v>
      </c>
      <c r="G133" s="12" t="s">
        <v>289</v>
      </c>
      <c r="H133" s="13">
        <v>0.37847222222222221</v>
      </c>
      <c r="I133" s="26"/>
      <c r="J133" s="15"/>
      <c r="K133" s="22">
        <v>10800</v>
      </c>
      <c r="L133" s="15" t="s">
        <v>240</v>
      </c>
      <c r="M133" s="15"/>
    </row>
    <row r="134" spans="1:13" hidden="1">
      <c r="A134" s="14">
        <v>142</v>
      </c>
      <c r="B134" s="42">
        <v>46064</v>
      </c>
      <c r="C134" s="12"/>
      <c r="D134" s="12"/>
      <c r="E134" s="12" t="s">
        <v>289</v>
      </c>
      <c r="F134" s="13">
        <v>0.41319444444444442</v>
      </c>
      <c r="G134" s="12" t="s">
        <v>251</v>
      </c>
      <c r="H134" s="13">
        <v>0.4548611111111111</v>
      </c>
      <c r="I134" s="26"/>
      <c r="J134" s="15"/>
      <c r="K134" s="22">
        <v>5740</v>
      </c>
      <c r="L134" s="15" t="s">
        <v>240</v>
      </c>
      <c r="M134" s="15"/>
    </row>
    <row r="135" spans="1:13" hidden="1">
      <c r="A135" s="14">
        <v>143</v>
      </c>
      <c r="B135" s="42">
        <v>46064</v>
      </c>
      <c r="C135" s="12"/>
      <c r="D135" s="12"/>
      <c r="E135" s="12" t="s">
        <v>251</v>
      </c>
      <c r="F135" s="13">
        <v>0.4826388888888889</v>
      </c>
      <c r="G135" s="12" t="s">
        <v>289</v>
      </c>
      <c r="H135" s="13">
        <v>0.52430555555555558</v>
      </c>
      <c r="I135" s="26"/>
      <c r="J135" s="15"/>
      <c r="K135" s="22">
        <v>5740</v>
      </c>
      <c r="L135" s="15" t="s">
        <v>240</v>
      </c>
      <c r="M135" s="15"/>
    </row>
    <row r="136" spans="1:13" hidden="1">
      <c r="A136" s="14">
        <v>144</v>
      </c>
      <c r="B136" s="42">
        <v>46064</v>
      </c>
      <c r="C136" s="12" t="s">
        <v>252</v>
      </c>
      <c r="D136" s="12">
        <v>727</v>
      </c>
      <c r="E136" s="12" t="s">
        <v>289</v>
      </c>
      <c r="F136" s="13">
        <v>0.61805555555555558</v>
      </c>
      <c r="G136" s="12" t="s">
        <v>253</v>
      </c>
      <c r="H136" s="13">
        <v>0.67708333333333337</v>
      </c>
      <c r="I136" s="26"/>
      <c r="J136" s="15"/>
      <c r="K136" s="22">
        <v>10140</v>
      </c>
      <c r="L136" s="15" t="s">
        <v>240</v>
      </c>
      <c r="M136" s="15"/>
    </row>
    <row r="137" spans="1:13" hidden="1">
      <c r="A137" s="14">
        <v>145</v>
      </c>
      <c r="B137" s="42">
        <v>46064</v>
      </c>
      <c r="C137" s="12"/>
      <c r="D137" s="12"/>
      <c r="E137" s="12" t="s">
        <v>253</v>
      </c>
      <c r="F137" s="13">
        <v>0.69791666666666663</v>
      </c>
      <c r="G137" s="12" t="s">
        <v>251</v>
      </c>
      <c r="H137" s="13">
        <v>0.71875</v>
      </c>
      <c r="I137" s="26"/>
      <c r="J137" s="15"/>
      <c r="K137" s="22">
        <v>7040</v>
      </c>
      <c r="L137" s="15" t="s">
        <v>240</v>
      </c>
      <c r="M137" s="15"/>
    </row>
    <row r="138" spans="1:13" hidden="1">
      <c r="A138" s="14">
        <v>146</v>
      </c>
      <c r="B138" s="42">
        <v>46064</v>
      </c>
      <c r="C138" s="12" t="s">
        <v>236</v>
      </c>
      <c r="D138" s="12">
        <v>974</v>
      </c>
      <c r="E138" s="12" t="s">
        <v>251</v>
      </c>
      <c r="F138" s="13">
        <v>0.80902777777777779</v>
      </c>
      <c r="G138" s="12" t="s">
        <v>288</v>
      </c>
      <c r="H138" s="13">
        <v>0.91666666666666663</v>
      </c>
      <c r="I138" s="26"/>
      <c r="J138" s="15"/>
      <c r="K138" s="22">
        <v>10900</v>
      </c>
      <c r="L138" s="15" t="s">
        <v>240</v>
      </c>
      <c r="M138" s="15"/>
    </row>
    <row r="139" spans="1:13" hidden="1">
      <c r="A139" s="14">
        <v>147</v>
      </c>
      <c r="B139" s="42">
        <v>46074</v>
      </c>
      <c r="C139" s="12" t="s">
        <v>236</v>
      </c>
      <c r="D139" s="12">
        <v>325</v>
      </c>
      <c r="E139" s="12" t="s">
        <v>288</v>
      </c>
      <c r="F139" s="13">
        <v>0.65972222222222221</v>
      </c>
      <c r="G139" s="12" t="s">
        <v>238</v>
      </c>
      <c r="H139" s="13">
        <v>0.74652777777777779</v>
      </c>
      <c r="I139" s="26"/>
      <c r="J139" s="15"/>
      <c r="K139" s="22">
        <f>10460+18600-10010</f>
        <v>19050</v>
      </c>
      <c r="L139" s="15" t="s">
        <v>240</v>
      </c>
      <c r="M139" s="15" t="s">
        <v>290</v>
      </c>
    </row>
    <row r="140" spans="1:13" hidden="1">
      <c r="A140" s="14">
        <v>148</v>
      </c>
      <c r="B140" s="42">
        <v>46074</v>
      </c>
      <c r="C140" s="12" t="s">
        <v>236</v>
      </c>
      <c r="D140" s="12">
        <v>3639</v>
      </c>
      <c r="E140" s="12" t="s">
        <v>238</v>
      </c>
      <c r="F140" s="13">
        <v>0.80208333333333337</v>
      </c>
      <c r="G140" s="12" t="s">
        <v>245</v>
      </c>
      <c r="H140" s="13">
        <v>0.83333333333333337</v>
      </c>
      <c r="I140" s="26"/>
      <c r="J140" s="15"/>
      <c r="K140" s="22">
        <v>11020</v>
      </c>
      <c r="L140" s="15" t="s">
        <v>240</v>
      </c>
      <c r="M140" s="15"/>
    </row>
    <row r="141" spans="1:13" hidden="1">
      <c r="A141" s="14">
        <v>149</v>
      </c>
      <c r="B141" s="42">
        <v>46074</v>
      </c>
      <c r="C141" s="12" t="s">
        <v>236</v>
      </c>
      <c r="D141" s="12">
        <v>3642</v>
      </c>
      <c r="E141" s="12" t="s">
        <v>245</v>
      </c>
      <c r="F141" s="13">
        <v>0.85763888888888884</v>
      </c>
      <c r="G141" s="12" t="s">
        <v>238</v>
      </c>
      <c r="H141" s="13">
        <v>0.89583333333333337</v>
      </c>
      <c r="I141" s="26"/>
      <c r="J141" s="15"/>
      <c r="K141" s="22">
        <v>0</v>
      </c>
      <c r="L141" s="15" t="s">
        <v>240</v>
      </c>
      <c r="M141" s="15"/>
    </row>
    <row r="142" spans="1:13" hidden="1">
      <c r="A142" s="14">
        <v>150</v>
      </c>
      <c r="B142" s="42">
        <v>46075</v>
      </c>
      <c r="C142" s="12" t="s">
        <v>247</v>
      </c>
      <c r="D142" s="12">
        <v>51</v>
      </c>
      <c r="E142" s="12" t="s">
        <v>238</v>
      </c>
      <c r="F142" s="13">
        <v>0.30208333333333331</v>
      </c>
      <c r="G142" s="12" t="s">
        <v>289</v>
      </c>
      <c r="H142" s="13">
        <v>0.37847222222222221</v>
      </c>
      <c r="I142" s="26"/>
      <c r="J142" s="15"/>
      <c r="K142" s="22">
        <v>12670</v>
      </c>
      <c r="L142" s="15" t="s">
        <v>240</v>
      </c>
      <c r="M142" s="15"/>
    </row>
    <row r="143" spans="1:13" hidden="1">
      <c r="A143" s="14">
        <v>151</v>
      </c>
      <c r="B143" s="42">
        <v>46075</v>
      </c>
      <c r="C143" s="12"/>
      <c r="D143" s="12"/>
      <c r="E143" s="12" t="s">
        <v>289</v>
      </c>
      <c r="F143" s="13">
        <v>0.44791666666666669</v>
      </c>
      <c r="G143" s="12" t="s">
        <v>251</v>
      </c>
      <c r="H143" s="13">
        <v>0.49305555555555558</v>
      </c>
      <c r="I143" s="26"/>
      <c r="J143" s="15"/>
      <c r="K143" s="22">
        <v>5740</v>
      </c>
      <c r="L143" s="15" t="s">
        <v>240</v>
      </c>
      <c r="M143" s="15"/>
    </row>
    <row r="144" spans="1:13" hidden="1">
      <c r="A144" s="14">
        <v>152</v>
      </c>
      <c r="B144" s="42">
        <v>46075</v>
      </c>
      <c r="C144" s="12"/>
      <c r="D144" s="12"/>
      <c r="E144" s="12" t="s">
        <v>251</v>
      </c>
      <c r="F144" s="13">
        <v>0.52083333333333337</v>
      </c>
      <c r="G144" s="12" t="s">
        <v>289</v>
      </c>
      <c r="H144" s="13">
        <v>0.5625</v>
      </c>
      <c r="I144" s="26"/>
      <c r="J144" s="15"/>
      <c r="K144" s="22">
        <v>5740</v>
      </c>
      <c r="L144" s="15" t="s">
        <v>240</v>
      </c>
      <c r="M144" s="15"/>
    </row>
    <row r="145" spans="1:13" hidden="1">
      <c r="A145" s="14">
        <v>153</v>
      </c>
      <c r="B145" s="42">
        <v>46075</v>
      </c>
      <c r="C145" s="12" t="s">
        <v>247</v>
      </c>
      <c r="D145" s="12">
        <v>563</v>
      </c>
      <c r="E145" s="12" t="s">
        <v>289</v>
      </c>
      <c r="F145" s="13">
        <v>0.60069444444444442</v>
      </c>
      <c r="G145" s="12" t="s">
        <v>255</v>
      </c>
      <c r="H145" s="13">
        <v>0.64236111111111116</v>
      </c>
      <c r="I145" s="26"/>
      <c r="J145" s="15"/>
      <c r="K145" s="22">
        <v>5740</v>
      </c>
      <c r="L145" s="15" t="s">
        <v>240</v>
      </c>
      <c r="M145" s="15"/>
    </row>
    <row r="146" spans="1:13" hidden="1">
      <c r="A146" s="14">
        <v>154</v>
      </c>
      <c r="B146" s="42">
        <v>46075</v>
      </c>
      <c r="C146" s="12" t="s">
        <v>252</v>
      </c>
      <c r="D146" s="12">
        <v>897</v>
      </c>
      <c r="E146" s="12" t="s">
        <v>255</v>
      </c>
      <c r="F146" s="13">
        <v>0.65972222222222221</v>
      </c>
      <c r="G146" s="12" t="s">
        <v>256</v>
      </c>
      <c r="H146" s="13">
        <v>0.67708333333333337</v>
      </c>
      <c r="I146" s="26"/>
      <c r="J146" s="15"/>
      <c r="K146" s="22">
        <v>9350</v>
      </c>
      <c r="L146" s="15" t="s">
        <v>240</v>
      </c>
      <c r="M146" s="15"/>
    </row>
    <row r="147" spans="1:13" hidden="1">
      <c r="A147" s="14">
        <v>155</v>
      </c>
      <c r="B147" s="42">
        <v>46075</v>
      </c>
      <c r="C147" s="12" t="s">
        <v>252</v>
      </c>
      <c r="D147" s="12">
        <v>898</v>
      </c>
      <c r="E147" s="12" t="s">
        <v>256</v>
      </c>
      <c r="F147" s="13">
        <v>0.70138888888888884</v>
      </c>
      <c r="G147" s="12" t="s">
        <v>255</v>
      </c>
      <c r="H147" s="13">
        <v>0.71875</v>
      </c>
      <c r="I147" s="26"/>
      <c r="J147" s="15"/>
      <c r="K147" s="22">
        <v>5500</v>
      </c>
      <c r="L147" s="15" t="s">
        <v>240</v>
      </c>
      <c r="M147" s="15"/>
    </row>
    <row r="148" spans="1:13" hidden="1">
      <c r="A148" s="14">
        <v>156</v>
      </c>
      <c r="B148" s="42">
        <v>46075</v>
      </c>
      <c r="C148" s="12" t="s">
        <v>252</v>
      </c>
      <c r="D148" s="12">
        <v>839</v>
      </c>
      <c r="E148" s="12" t="s">
        <v>255</v>
      </c>
      <c r="F148" s="13">
        <v>0.73958333333333337</v>
      </c>
      <c r="G148" s="12" t="s">
        <v>251</v>
      </c>
      <c r="H148" s="13">
        <v>0.76041666666666663</v>
      </c>
      <c r="I148" s="26"/>
      <c r="J148" s="15"/>
      <c r="K148" s="22">
        <v>14520</v>
      </c>
      <c r="L148" s="15" t="s">
        <v>240</v>
      </c>
      <c r="M148" s="15"/>
    </row>
    <row r="149" spans="1:13" hidden="1">
      <c r="A149" s="14">
        <v>157</v>
      </c>
      <c r="B149" s="42">
        <v>46075</v>
      </c>
      <c r="C149" s="12" t="s">
        <v>236</v>
      </c>
      <c r="D149" s="12">
        <v>974</v>
      </c>
      <c r="E149" s="12" t="s">
        <v>251</v>
      </c>
      <c r="F149" s="13">
        <v>0.80902777777777779</v>
      </c>
      <c r="G149" s="12" t="s">
        <v>288</v>
      </c>
      <c r="H149" s="13">
        <v>0.91666666666666663</v>
      </c>
      <c r="I149" s="26"/>
      <c r="J149" s="15"/>
      <c r="K149" s="22">
        <v>10900</v>
      </c>
      <c r="L149" s="15" t="s">
        <v>240</v>
      </c>
      <c r="M149" s="15"/>
    </row>
    <row r="150" spans="1:13" hidden="1">
      <c r="A150" s="14">
        <v>158</v>
      </c>
      <c r="B150" s="42">
        <v>46078</v>
      </c>
      <c r="C150" s="12" t="s">
        <v>236</v>
      </c>
      <c r="D150" s="12">
        <v>303</v>
      </c>
      <c r="E150" s="12" t="s">
        <v>288</v>
      </c>
      <c r="F150" s="13">
        <v>0.2673611111111111</v>
      </c>
      <c r="G150" s="12" t="s">
        <v>238</v>
      </c>
      <c r="H150" s="13">
        <v>0.35416666666666669</v>
      </c>
      <c r="I150" s="26"/>
      <c r="J150" s="15"/>
      <c r="K150" s="22">
        <v>9360</v>
      </c>
      <c r="L150" s="15" t="s">
        <v>240</v>
      </c>
      <c r="M150" s="15"/>
    </row>
    <row r="151" spans="1:13" hidden="1">
      <c r="A151" s="14">
        <v>159</v>
      </c>
      <c r="B151" s="42">
        <v>46078</v>
      </c>
      <c r="C151" s="12" t="s">
        <v>236</v>
      </c>
      <c r="D151" s="12">
        <v>3581</v>
      </c>
      <c r="E151" s="12" t="s">
        <v>238</v>
      </c>
      <c r="F151" s="13">
        <v>0.37847222222222221</v>
      </c>
      <c r="G151" s="12" t="s">
        <v>268</v>
      </c>
      <c r="H151" s="13">
        <v>0.41319444444444442</v>
      </c>
      <c r="I151" s="26"/>
      <c r="J151" s="15"/>
      <c r="K151" s="22">
        <v>8910</v>
      </c>
      <c r="L151" s="15" t="s">
        <v>240</v>
      </c>
      <c r="M151" s="15"/>
    </row>
    <row r="152" spans="1:13" hidden="1">
      <c r="A152" s="14">
        <v>160</v>
      </c>
      <c r="B152" s="42">
        <v>46078</v>
      </c>
      <c r="C152" s="12" t="s">
        <v>236</v>
      </c>
      <c r="D152" s="12">
        <v>3582</v>
      </c>
      <c r="E152" s="12" t="s">
        <v>268</v>
      </c>
      <c r="F152" s="13">
        <v>0.43402777777777779</v>
      </c>
      <c r="G152" s="12" t="s">
        <v>238</v>
      </c>
      <c r="H152" s="13">
        <v>0.47916666666666669</v>
      </c>
      <c r="I152" s="26"/>
      <c r="J152" s="15"/>
      <c r="K152" s="22">
        <v>8910</v>
      </c>
      <c r="L152" s="15" t="s">
        <v>240</v>
      </c>
      <c r="M152" s="15"/>
    </row>
    <row r="153" spans="1:13" hidden="1">
      <c r="A153" s="14">
        <v>161</v>
      </c>
      <c r="B153" s="42">
        <v>46078</v>
      </c>
      <c r="C153" s="12" t="s">
        <v>247</v>
      </c>
      <c r="D153" s="12">
        <v>57</v>
      </c>
      <c r="E153" s="12" t="s">
        <v>238</v>
      </c>
      <c r="F153" s="13">
        <v>0.54166666666666663</v>
      </c>
      <c r="G153" s="12" t="s">
        <v>289</v>
      </c>
      <c r="H153" s="13">
        <v>0.625</v>
      </c>
      <c r="I153" s="26"/>
      <c r="J153" s="15"/>
      <c r="K153" s="22">
        <v>9150</v>
      </c>
      <c r="L153" s="15" t="s">
        <v>240</v>
      </c>
      <c r="M153" s="15"/>
    </row>
    <row r="154" spans="1:13" hidden="1">
      <c r="A154" s="14">
        <v>162</v>
      </c>
      <c r="B154" s="42">
        <v>46078</v>
      </c>
      <c r="C154" s="12" t="s">
        <v>247</v>
      </c>
      <c r="D154" s="12">
        <v>565</v>
      </c>
      <c r="E154" s="12" t="s">
        <v>289</v>
      </c>
      <c r="F154" s="13">
        <v>0.65277777777777779</v>
      </c>
      <c r="G154" s="12" t="s">
        <v>255</v>
      </c>
      <c r="H154" s="13">
        <v>0.69097222222222221</v>
      </c>
      <c r="I154" s="26"/>
      <c r="J154" s="15"/>
      <c r="K154" s="22">
        <v>4640</v>
      </c>
      <c r="L154" s="15" t="s">
        <v>240</v>
      </c>
      <c r="M154" s="15"/>
    </row>
    <row r="155" spans="1:13" hidden="1">
      <c r="A155" s="14">
        <v>163</v>
      </c>
      <c r="B155" s="42">
        <v>46078</v>
      </c>
      <c r="C155" s="12" t="s">
        <v>247</v>
      </c>
      <c r="D155" s="12">
        <v>564</v>
      </c>
      <c r="E155" s="12" t="s">
        <v>255</v>
      </c>
      <c r="F155" s="13">
        <v>0.71875</v>
      </c>
      <c r="G155" s="12" t="s">
        <v>289</v>
      </c>
      <c r="H155" s="13">
        <v>0.75347222222222221</v>
      </c>
      <c r="I155" s="26"/>
      <c r="J155" s="15"/>
      <c r="K155" s="22">
        <v>4640</v>
      </c>
      <c r="L155" s="15" t="s">
        <v>240</v>
      </c>
      <c r="M155" s="15"/>
    </row>
    <row r="156" spans="1:13" hidden="1">
      <c r="A156" s="14">
        <v>164</v>
      </c>
      <c r="B156" s="42">
        <v>46078</v>
      </c>
      <c r="C156" s="12" t="s">
        <v>236</v>
      </c>
      <c r="D156" s="12">
        <v>920</v>
      </c>
      <c r="E156" s="12" t="s">
        <v>289</v>
      </c>
      <c r="F156" s="13">
        <v>0.82986111111111116</v>
      </c>
      <c r="G156" s="12" t="s">
        <v>288</v>
      </c>
      <c r="H156" s="13">
        <v>0.92013888888888884</v>
      </c>
      <c r="I156" s="26"/>
      <c r="J156" s="15"/>
      <c r="K156" s="22">
        <v>10590</v>
      </c>
      <c r="L156" s="15" t="s">
        <v>240</v>
      </c>
      <c r="M156" s="15"/>
    </row>
    <row r="157" spans="1:13" hidden="1">
      <c r="A157" s="14">
        <v>165</v>
      </c>
      <c r="B157" s="42">
        <v>46012</v>
      </c>
      <c r="C157" s="12" t="s">
        <v>236</v>
      </c>
      <c r="D157" s="12"/>
      <c r="E157" s="12" t="s">
        <v>237</v>
      </c>
      <c r="F157" s="13"/>
      <c r="G157" s="12" t="s">
        <v>238</v>
      </c>
      <c r="H157" s="13"/>
      <c r="I157" s="26"/>
      <c r="J157" s="15"/>
      <c r="K157" s="22">
        <v>0</v>
      </c>
      <c r="L157" s="15" t="s">
        <v>240</v>
      </c>
      <c r="M157" s="15"/>
    </row>
    <row r="158" spans="1:13" hidden="1">
      <c r="A158" s="14">
        <v>166</v>
      </c>
      <c r="B158" s="42">
        <v>46013</v>
      </c>
      <c r="C158" s="12" t="s">
        <v>236</v>
      </c>
      <c r="D158" s="12"/>
      <c r="E158" s="12" t="s">
        <v>238</v>
      </c>
      <c r="F158" s="13"/>
      <c r="G158" s="12" t="s">
        <v>237</v>
      </c>
      <c r="H158" s="13"/>
      <c r="I158" s="26"/>
      <c r="J158" s="15"/>
      <c r="K158" s="22">
        <v>0</v>
      </c>
      <c r="L158" s="15" t="s">
        <v>240</v>
      </c>
      <c r="M158" s="15"/>
    </row>
    <row r="159" spans="1:13" hidden="1">
      <c r="A159" s="14">
        <v>167</v>
      </c>
      <c r="B159" s="42">
        <v>46009</v>
      </c>
      <c r="C159" s="12" t="s">
        <v>236</v>
      </c>
      <c r="D159" s="12"/>
      <c r="E159" s="12" t="s">
        <v>237</v>
      </c>
      <c r="F159" s="13"/>
      <c r="G159" s="12" t="s">
        <v>291</v>
      </c>
      <c r="H159" s="13"/>
      <c r="I159" s="26"/>
      <c r="J159" s="15"/>
      <c r="K159" s="22">
        <v>0</v>
      </c>
      <c r="L159" s="15" t="s">
        <v>240</v>
      </c>
      <c r="M159" s="15"/>
    </row>
    <row r="160" spans="1:13" hidden="1">
      <c r="A160" s="14">
        <v>168</v>
      </c>
      <c r="B160" s="42">
        <v>46010</v>
      </c>
      <c r="C160" s="12" t="s">
        <v>236</v>
      </c>
      <c r="D160" s="12"/>
      <c r="E160" s="12" t="s">
        <v>291</v>
      </c>
      <c r="F160" s="13"/>
      <c r="G160" s="12" t="s">
        <v>237</v>
      </c>
      <c r="H160" s="13"/>
      <c r="I160" s="26"/>
      <c r="J160" s="15"/>
      <c r="K160" s="22">
        <v>0</v>
      </c>
      <c r="L160" s="15" t="s">
        <v>240</v>
      </c>
      <c r="M160" s="15"/>
    </row>
    <row r="161" spans="1:13" hidden="1">
      <c r="A161" s="14">
        <v>169</v>
      </c>
      <c r="B161" s="42">
        <v>46037</v>
      </c>
      <c r="C161" s="12" t="s">
        <v>236</v>
      </c>
      <c r="D161" s="12"/>
      <c r="E161" s="12" t="s">
        <v>237</v>
      </c>
      <c r="F161" s="13"/>
      <c r="G161" s="12" t="s">
        <v>270</v>
      </c>
      <c r="H161" s="13"/>
      <c r="I161" s="26"/>
      <c r="J161" s="15"/>
      <c r="K161" s="22">
        <v>0</v>
      </c>
      <c r="L161" s="15" t="s">
        <v>240</v>
      </c>
      <c r="M161" s="15"/>
    </row>
    <row r="162" spans="1:13" hidden="1">
      <c r="A162" s="14">
        <v>170</v>
      </c>
      <c r="B162" s="42">
        <v>46037</v>
      </c>
      <c r="C162" s="12" t="s">
        <v>236</v>
      </c>
      <c r="D162" s="12"/>
      <c r="E162" s="12" t="s">
        <v>292</v>
      </c>
      <c r="F162" s="13"/>
      <c r="G162" s="12" t="s">
        <v>237</v>
      </c>
      <c r="H162" s="13"/>
      <c r="I162" s="26"/>
      <c r="J162" s="15"/>
      <c r="K162" s="22">
        <v>0</v>
      </c>
      <c r="L162" s="15" t="s">
        <v>240</v>
      </c>
      <c r="M162" s="15"/>
    </row>
    <row r="163" spans="1:13" hidden="1">
      <c r="A163" s="14">
        <v>171</v>
      </c>
      <c r="B163" s="42">
        <v>46028</v>
      </c>
      <c r="C163" s="12" t="s">
        <v>236</v>
      </c>
      <c r="D163" s="12"/>
      <c r="E163" s="12" t="s">
        <v>237</v>
      </c>
      <c r="F163" s="13"/>
      <c r="G163" s="12" t="s">
        <v>293</v>
      </c>
      <c r="H163" s="13"/>
      <c r="I163" s="26"/>
      <c r="J163" s="15"/>
      <c r="K163" s="22">
        <v>0</v>
      </c>
      <c r="L163" s="15" t="s">
        <v>240</v>
      </c>
      <c r="M163" s="15"/>
    </row>
    <row r="164" spans="1:13" hidden="1">
      <c r="A164" s="14">
        <v>172</v>
      </c>
      <c r="B164" s="42">
        <v>46030</v>
      </c>
      <c r="C164" s="12" t="s">
        <v>236</v>
      </c>
      <c r="D164" s="12"/>
      <c r="E164" s="12" t="s">
        <v>293</v>
      </c>
      <c r="F164" s="13"/>
      <c r="G164" s="12" t="s">
        <v>237</v>
      </c>
      <c r="H164" s="13"/>
      <c r="I164" s="26"/>
      <c r="J164" s="15"/>
      <c r="K164" s="22">
        <v>0</v>
      </c>
      <c r="L164" s="15" t="s">
        <v>240</v>
      </c>
      <c r="M164" s="15"/>
    </row>
    <row r="165" spans="1:13">
      <c r="A165" s="14">
        <v>173</v>
      </c>
      <c r="B165" s="42">
        <v>46091</v>
      </c>
      <c r="C165" s="12" t="s">
        <v>236</v>
      </c>
      <c r="D165" s="12" t="s">
        <v>294</v>
      </c>
      <c r="E165" s="12" t="s">
        <v>288</v>
      </c>
      <c r="F165" s="13">
        <v>0.2638888888888889</v>
      </c>
      <c r="G165" s="12" t="s">
        <v>289</v>
      </c>
      <c r="H165" s="13">
        <v>0.38194444444444442</v>
      </c>
      <c r="I165" s="26"/>
      <c r="J165" s="15"/>
      <c r="K165" s="22">
        <v>10590</v>
      </c>
      <c r="L165" s="15"/>
      <c r="M165" s="15"/>
    </row>
    <row r="166" spans="1:13">
      <c r="A166" s="14">
        <v>174</v>
      </c>
      <c r="B166" s="42">
        <v>46091</v>
      </c>
      <c r="C166" s="12" t="s">
        <v>247</v>
      </c>
      <c r="D166" s="12" t="s">
        <v>295</v>
      </c>
      <c r="E166" s="12" t="s">
        <v>289</v>
      </c>
      <c r="F166" s="13">
        <v>0.40625</v>
      </c>
      <c r="G166" s="12" t="s">
        <v>251</v>
      </c>
      <c r="H166" s="13">
        <v>0.44791666666666669</v>
      </c>
      <c r="I166" s="26"/>
      <c r="J166" s="15"/>
      <c r="K166" s="22">
        <v>4640</v>
      </c>
      <c r="L166" s="15"/>
      <c r="M166" s="15"/>
    </row>
    <row r="167" spans="1:13">
      <c r="A167" s="14">
        <v>175</v>
      </c>
      <c r="B167" s="42">
        <v>46091</v>
      </c>
      <c r="C167" s="12" t="s">
        <v>252</v>
      </c>
      <c r="D167" s="12" t="s">
        <v>296</v>
      </c>
      <c r="E167" s="12" t="s">
        <v>251</v>
      </c>
      <c r="F167" s="13">
        <v>0.52430555555555558</v>
      </c>
      <c r="G167" s="12" t="s">
        <v>253</v>
      </c>
      <c r="H167" s="13">
        <v>0.54513888888888884</v>
      </c>
      <c r="I167" s="26"/>
      <c r="J167" s="15"/>
      <c r="K167" s="22">
        <v>7150</v>
      </c>
      <c r="L167" s="15"/>
      <c r="M167" s="15"/>
    </row>
    <row r="168" spans="1:13">
      <c r="A168" s="14">
        <v>176</v>
      </c>
      <c r="B168" s="42">
        <v>46091</v>
      </c>
      <c r="C168" s="12" t="s">
        <v>252</v>
      </c>
      <c r="D168" s="12" t="s">
        <v>297</v>
      </c>
      <c r="E168" s="12" t="s">
        <v>253</v>
      </c>
      <c r="F168" s="13">
        <v>0.56597222222222221</v>
      </c>
      <c r="G168" s="12" t="s">
        <v>251</v>
      </c>
      <c r="H168" s="13">
        <v>0.58680555555555558</v>
      </c>
      <c r="I168" s="26"/>
      <c r="J168" s="15"/>
      <c r="K168" s="22">
        <v>7150</v>
      </c>
      <c r="L168" s="15"/>
      <c r="M168" s="15"/>
    </row>
    <row r="169" spans="1:13">
      <c r="A169" s="14">
        <v>177</v>
      </c>
      <c r="B169" s="42">
        <v>46091</v>
      </c>
      <c r="C169" s="12" t="s">
        <v>252</v>
      </c>
      <c r="D169" s="12" t="s">
        <v>298</v>
      </c>
      <c r="E169" s="12" t="s">
        <v>251</v>
      </c>
      <c r="F169" s="13">
        <v>0.61111111111111116</v>
      </c>
      <c r="G169" s="12" t="s">
        <v>255</v>
      </c>
      <c r="H169" s="13">
        <v>0.63541666666666663</v>
      </c>
      <c r="I169" s="26"/>
      <c r="J169" s="15"/>
      <c r="K169" s="22">
        <v>15510</v>
      </c>
      <c r="L169" s="15"/>
      <c r="M169" s="15"/>
    </row>
    <row r="170" spans="1:13">
      <c r="A170" s="14">
        <v>178</v>
      </c>
      <c r="B170" s="42">
        <v>46091</v>
      </c>
      <c r="C170" s="12" t="s">
        <v>252</v>
      </c>
      <c r="D170" s="12" t="s">
        <v>299</v>
      </c>
      <c r="E170" s="12" t="s">
        <v>255</v>
      </c>
      <c r="F170" s="13">
        <v>0.65625</v>
      </c>
      <c r="G170" s="12" t="s">
        <v>256</v>
      </c>
      <c r="H170" s="13">
        <v>0.67361111111111116</v>
      </c>
      <c r="I170" s="26"/>
      <c r="J170" s="15"/>
      <c r="K170" s="22">
        <v>6600</v>
      </c>
      <c r="L170" s="15"/>
      <c r="M170" s="15"/>
    </row>
    <row r="171" spans="1:13">
      <c r="A171" s="14">
        <v>179</v>
      </c>
      <c r="B171" s="42">
        <v>46091</v>
      </c>
      <c r="C171" s="12" t="s">
        <v>252</v>
      </c>
      <c r="D171" s="12" t="s">
        <v>300</v>
      </c>
      <c r="E171" s="12" t="s">
        <v>256</v>
      </c>
      <c r="F171" s="13">
        <v>0.69791666666666663</v>
      </c>
      <c r="G171" s="12" t="s">
        <v>255</v>
      </c>
      <c r="H171" s="13">
        <v>0.71527777777777779</v>
      </c>
      <c r="I171" s="26"/>
      <c r="J171" s="15"/>
      <c r="K171" s="22">
        <v>6600</v>
      </c>
      <c r="L171" s="15"/>
      <c r="M171" s="15"/>
    </row>
    <row r="172" spans="1:13">
      <c r="A172" s="14">
        <v>180</v>
      </c>
      <c r="B172" s="42">
        <v>46091</v>
      </c>
      <c r="C172" s="12" t="s">
        <v>252</v>
      </c>
      <c r="D172" s="12" t="s">
        <v>301</v>
      </c>
      <c r="E172" s="12" t="s">
        <v>255</v>
      </c>
      <c r="F172" s="13">
        <v>0.73611111111111116</v>
      </c>
      <c r="G172" s="12" t="s">
        <v>251</v>
      </c>
      <c r="H172" s="13">
        <v>0.75694444444444442</v>
      </c>
      <c r="I172" s="26"/>
      <c r="J172" s="15"/>
      <c r="K172" s="22">
        <v>6600</v>
      </c>
      <c r="L172" s="15"/>
      <c r="M172" s="15"/>
    </row>
    <row r="173" spans="1:13">
      <c r="A173" s="14">
        <v>181</v>
      </c>
      <c r="B173" s="42">
        <v>46091</v>
      </c>
      <c r="C173" s="12" t="s">
        <v>247</v>
      </c>
      <c r="D173" s="12" t="s">
        <v>302</v>
      </c>
      <c r="E173" s="12" t="s">
        <v>251</v>
      </c>
      <c r="F173" s="13">
        <v>0.78472222222222221</v>
      </c>
      <c r="G173" s="12" t="s">
        <v>289</v>
      </c>
      <c r="H173" s="13">
        <v>0.82638888888888884</v>
      </c>
      <c r="I173" s="26"/>
      <c r="J173" s="15"/>
      <c r="K173" s="22">
        <v>4640</v>
      </c>
      <c r="L173" s="15"/>
      <c r="M173" s="15"/>
    </row>
    <row r="174" spans="1:13">
      <c r="A174" s="14">
        <v>182</v>
      </c>
      <c r="B174" s="42">
        <v>46091</v>
      </c>
      <c r="C174" s="12" t="s">
        <v>236</v>
      </c>
      <c r="D174" s="12" t="s">
        <v>303</v>
      </c>
      <c r="E174" s="12" t="s">
        <v>289</v>
      </c>
      <c r="F174" s="13">
        <v>0.86805555555555558</v>
      </c>
      <c r="G174" s="12" t="s">
        <v>288</v>
      </c>
      <c r="H174" s="13">
        <v>0.96180555555555558</v>
      </c>
      <c r="I174" s="26"/>
      <c r="J174" s="15"/>
      <c r="K174" s="22">
        <v>10590</v>
      </c>
      <c r="L174" s="15"/>
      <c r="M174" s="15"/>
    </row>
    <row r="175" spans="1:13" hidden="1">
      <c r="A175" s="14">
        <v>183</v>
      </c>
      <c r="B175" s="42">
        <v>46049</v>
      </c>
      <c r="C175" s="12" t="s">
        <v>236</v>
      </c>
      <c r="D175" s="12"/>
      <c r="E175" s="12" t="s">
        <v>237</v>
      </c>
      <c r="F175" s="13">
        <v>0.40277777777777779</v>
      </c>
      <c r="G175" s="12" t="s">
        <v>248</v>
      </c>
      <c r="H175" s="13">
        <v>0.52777777777777779</v>
      </c>
      <c r="I175" s="26"/>
      <c r="J175" s="15"/>
      <c r="K175" s="22">
        <v>0</v>
      </c>
      <c r="L175" s="15" t="s">
        <v>240</v>
      </c>
      <c r="M175" s="15"/>
    </row>
    <row r="176" spans="1:13" hidden="1">
      <c r="A176" s="14">
        <v>184</v>
      </c>
      <c r="B176" s="42">
        <v>46050</v>
      </c>
      <c r="C176" s="12" t="s">
        <v>236</v>
      </c>
      <c r="D176" s="12"/>
      <c r="E176" s="12" t="s">
        <v>283</v>
      </c>
      <c r="F176" s="13">
        <v>0.47569444444444442</v>
      </c>
      <c r="G176" s="12" t="s">
        <v>237</v>
      </c>
      <c r="H176" s="13">
        <v>0.56597222222222221</v>
      </c>
      <c r="I176" s="26"/>
      <c r="J176" s="15"/>
      <c r="K176" s="22">
        <v>0</v>
      </c>
      <c r="L176" s="15" t="s">
        <v>240</v>
      </c>
      <c r="M176" s="15"/>
    </row>
    <row r="177" spans="1:13" hidden="1">
      <c r="A177" s="14">
        <v>185</v>
      </c>
      <c r="B177" s="42">
        <v>46055</v>
      </c>
      <c r="C177" s="12" t="s">
        <v>236</v>
      </c>
      <c r="D177" s="12"/>
      <c r="E177" s="12" t="s">
        <v>288</v>
      </c>
      <c r="F177" s="13">
        <v>0.49652777777777779</v>
      </c>
      <c r="G177" s="12" t="s">
        <v>289</v>
      </c>
      <c r="H177" s="13">
        <v>0.61805555555555558</v>
      </c>
      <c r="I177" s="26"/>
      <c r="J177" s="15"/>
      <c r="K177" s="22">
        <v>0</v>
      </c>
      <c r="L177" s="15" t="s">
        <v>240</v>
      </c>
      <c r="M177" s="15"/>
    </row>
    <row r="178" spans="1:13" hidden="1">
      <c r="A178" s="14">
        <v>186</v>
      </c>
      <c r="B178" s="42">
        <v>46057</v>
      </c>
      <c r="C178" s="12" t="s">
        <v>236</v>
      </c>
      <c r="D178" s="12"/>
      <c r="E178" s="12" t="s">
        <v>289</v>
      </c>
      <c r="F178" s="13">
        <v>0.47569444444444442</v>
      </c>
      <c r="G178" s="12" t="s">
        <v>288</v>
      </c>
      <c r="H178" s="13">
        <v>0.56597222222222221</v>
      </c>
      <c r="I178" s="26"/>
      <c r="J178" s="15"/>
      <c r="K178" s="22">
        <v>0</v>
      </c>
      <c r="L178" s="15" t="s">
        <v>240</v>
      </c>
      <c r="M178" s="15"/>
    </row>
    <row r="179" spans="1:13" hidden="1">
      <c r="A179" s="14">
        <v>187</v>
      </c>
      <c r="B179" s="42">
        <v>46062</v>
      </c>
      <c r="C179" s="12" t="s">
        <v>236</v>
      </c>
      <c r="D179" s="12"/>
      <c r="E179" s="12" t="s">
        <v>288</v>
      </c>
      <c r="F179" s="13">
        <v>0.32291666666666669</v>
      </c>
      <c r="G179" s="12" t="s">
        <v>281</v>
      </c>
      <c r="H179" s="13">
        <v>0.38194444444444442</v>
      </c>
      <c r="I179" s="26"/>
      <c r="J179" s="15"/>
      <c r="K179" s="22">
        <v>0</v>
      </c>
      <c r="L179" s="15" t="s">
        <v>240</v>
      </c>
      <c r="M179" s="15"/>
    </row>
    <row r="180" spans="1:13" hidden="1">
      <c r="A180" s="14">
        <v>188</v>
      </c>
      <c r="B180" s="42">
        <v>46063</v>
      </c>
      <c r="C180" s="12" t="s">
        <v>236</v>
      </c>
      <c r="D180" s="12"/>
      <c r="E180" s="12" t="s">
        <v>281</v>
      </c>
      <c r="F180" s="13">
        <v>0.2986111111111111</v>
      </c>
      <c r="G180" s="12" t="s">
        <v>288</v>
      </c>
      <c r="H180" s="13">
        <v>0.35069444444444442</v>
      </c>
      <c r="I180" s="26"/>
      <c r="J180" s="15"/>
      <c r="K180" s="22">
        <v>0</v>
      </c>
      <c r="L180" s="15" t="s">
        <v>240</v>
      </c>
      <c r="M180" s="15"/>
    </row>
    <row r="181" spans="1:13">
      <c r="A181" s="14">
        <v>189</v>
      </c>
      <c r="B181" s="42">
        <v>46125</v>
      </c>
      <c r="C181" s="12" t="s">
        <v>236</v>
      </c>
      <c r="D181" s="12">
        <v>585</v>
      </c>
      <c r="E181" s="12" t="s">
        <v>288</v>
      </c>
      <c r="F181" s="13">
        <v>0.3125</v>
      </c>
      <c r="G181" s="12" t="s">
        <v>304</v>
      </c>
      <c r="H181" s="13">
        <v>0.36805555555555558</v>
      </c>
      <c r="I181" s="26">
        <v>0.12152777777777778</v>
      </c>
      <c r="J181" s="15" t="s">
        <v>305</v>
      </c>
      <c r="K181" s="22">
        <v>9800</v>
      </c>
      <c r="L181" s="15"/>
      <c r="M181" s="15"/>
    </row>
    <row r="182" spans="1:13">
      <c r="A182" s="14">
        <v>190</v>
      </c>
      <c r="B182" s="42">
        <v>46125</v>
      </c>
      <c r="C182" s="12" t="s">
        <v>306</v>
      </c>
      <c r="D182" s="12">
        <v>2791</v>
      </c>
      <c r="E182" s="12" t="s">
        <v>304</v>
      </c>
      <c r="F182" s="13">
        <v>0.48958333333333331</v>
      </c>
      <c r="G182" s="12" t="s">
        <v>307</v>
      </c>
      <c r="H182" s="13">
        <v>0.51041666666666663</v>
      </c>
      <c r="I182" s="26">
        <v>2.0833333333333332E-2</v>
      </c>
      <c r="J182" s="15" t="s">
        <v>305</v>
      </c>
      <c r="K182" s="22">
        <v>11912</v>
      </c>
      <c r="L182" s="15"/>
      <c r="M182" s="15"/>
    </row>
    <row r="183" spans="1:13">
      <c r="A183" s="14">
        <v>191</v>
      </c>
      <c r="B183" s="42">
        <v>46125</v>
      </c>
      <c r="C183" s="12" t="s">
        <v>306</v>
      </c>
      <c r="D183" s="12">
        <v>2792</v>
      </c>
      <c r="E183" s="12" t="s">
        <v>307</v>
      </c>
      <c r="F183" s="13">
        <v>0.53125</v>
      </c>
      <c r="G183" s="12" t="s">
        <v>304</v>
      </c>
      <c r="H183" s="13">
        <v>0.55208333333333337</v>
      </c>
      <c r="I183" s="26">
        <v>2.0833333333333332E-2</v>
      </c>
      <c r="J183" s="15" t="s">
        <v>305</v>
      </c>
      <c r="K183" s="22">
        <v>0</v>
      </c>
      <c r="L183" s="15"/>
      <c r="M183" s="15"/>
    </row>
    <row r="184" spans="1:13">
      <c r="A184" s="14">
        <v>192</v>
      </c>
      <c r="B184" s="42">
        <v>46125</v>
      </c>
      <c r="C184" s="12" t="s">
        <v>306</v>
      </c>
      <c r="D184" s="12">
        <v>2748</v>
      </c>
      <c r="E184" s="12" t="s">
        <v>304</v>
      </c>
      <c r="F184" s="13">
        <v>0.57291666666666663</v>
      </c>
      <c r="G184" s="12" t="s">
        <v>308</v>
      </c>
      <c r="H184" s="13">
        <v>0.60069444444444442</v>
      </c>
      <c r="I184" s="26">
        <v>3.125E-2</v>
      </c>
      <c r="J184" s="15" t="s">
        <v>305</v>
      </c>
      <c r="K184" s="22">
        <v>13584</v>
      </c>
      <c r="L184" s="15"/>
      <c r="M184" s="15"/>
    </row>
    <row r="185" spans="1:13">
      <c r="A185" s="14">
        <v>193</v>
      </c>
      <c r="B185" s="42">
        <v>46125</v>
      </c>
      <c r="C185" s="12" t="s">
        <v>306</v>
      </c>
      <c r="D185" s="12">
        <v>2737</v>
      </c>
      <c r="E185" s="12" t="s">
        <v>308</v>
      </c>
      <c r="F185" s="13">
        <v>0.63194444444444442</v>
      </c>
      <c r="G185" s="12" t="s">
        <v>309</v>
      </c>
      <c r="H185" s="13">
        <v>0.66666666666666663</v>
      </c>
      <c r="I185" s="26">
        <v>2.0833333333333332E-2</v>
      </c>
      <c r="J185" s="15" t="s">
        <v>305</v>
      </c>
      <c r="K185" s="22">
        <v>5940</v>
      </c>
      <c r="L185" s="15"/>
      <c r="M185" s="15"/>
    </row>
    <row r="186" spans="1:13">
      <c r="A186" s="14">
        <v>194</v>
      </c>
      <c r="B186" s="42">
        <v>46125</v>
      </c>
      <c r="C186" s="12" t="s">
        <v>306</v>
      </c>
      <c r="D186" s="12">
        <v>2738</v>
      </c>
      <c r="E186" s="12" t="s">
        <v>309</v>
      </c>
      <c r="F186" s="13">
        <v>0.6875</v>
      </c>
      <c r="G186" s="12" t="s">
        <v>308</v>
      </c>
      <c r="H186" s="13">
        <v>0.72569444444444442</v>
      </c>
      <c r="I186" s="26">
        <v>2.7777777777777776E-2</v>
      </c>
      <c r="J186" s="15" t="s">
        <v>305</v>
      </c>
      <c r="K186" s="22">
        <v>5940</v>
      </c>
      <c r="L186" s="15"/>
      <c r="M186" s="15"/>
    </row>
    <row r="187" spans="1:13">
      <c r="A187" s="14">
        <v>195</v>
      </c>
      <c r="B187" s="42">
        <v>46125</v>
      </c>
      <c r="C187" s="12" t="s">
        <v>306</v>
      </c>
      <c r="D187" s="12">
        <v>2755</v>
      </c>
      <c r="E187" s="12" t="s">
        <v>308</v>
      </c>
      <c r="F187" s="13">
        <v>0.75347222222222221</v>
      </c>
      <c r="G187" s="12" t="s">
        <v>304</v>
      </c>
      <c r="H187" s="13">
        <v>0.78125</v>
      </c>
      <c r="I187" s="26">
        <v>3.125E-2</v>
      </c>
      <c r="J187" s="15" t="s">
        <v>305</v>
      </c>
      <c r="K187" s="22">
        <v>0</v>
      </c>
      <c r="L187" s="15"/>
      <c r="M187" s="15"/>
    </row>
    <row r="188" spans="1:13">
      <c r="A188" s="14">
        <v>196</v>
      </c>
      <c r="B188" s="42">
        <v>46125</v>
      </c>
      <c r="C188" s="12" t="s">
        <v>236</v>
      </c>
      <c r="D188" s="12">
        <v>588</v>
      </c>
      <c r="E188" s="12" t="s">
        <v>304</v>
      </c>
      <c r="F188" s="13">
        <v>0.8125</v>
      </c>
      <c r="G188" s="12" t="s">
        <v>288</v>
      </c>
      <c r="H188" s="13">
        <v>0.875</v>
      </c>
      <c r="I188" s="26"/>
      <c r="J188" s="15" t="s">
        <v>305</v>
      </c>
      <c r="K188" s="22">
        <v>9800</v>
      </c>
      <c r="L188" s="15"/>
      <c r="M188" s="15"/>
    </row>
    <row r="189" spans="1:13">
      <c r="A189" s="14">
        <v>197</v>
      </c>
      <c r="B189" s="42">
        <v>46137</v>
      </c>
      <c r="C189" s="12" t="s">
        <v>236</v>
      </c>
      <c r="D189" s="12">
        <v>553</v>
      </c>
      <c r="E189" s="12" t="s">
        <v>288</v>
      </c>
      <c r="F189" s="13">
        <v>0.46527777777777779</v>
      </c>
      <c r="G189" s="12" t="s">
        <v>310</v>
      </c>
      <c r="H189" s="13">
        <v>0.53125</v>
      </c>
      <c r="I189" s="26">
        <v>3.4722222222222224E-2</v>
      </c>
      <c r="J189" s="15" t="s">
        <v>305</v>
      </c>
      <c r="K189" s="22">
        <v>9800</v>
      </c>
      <c r="L189" s="15"/>
      <c r="M189" s="15"/>
    </row>
    <row r="190" spans="1:13">
      <c r="A190" s="14">
        <v>198</v>
      </c>
      <c r="B190" s="42">
        <v>46137</v>
      </c>
      <c r="C190" s="12" t="s">
        <v>236</v>
      </c>
      <c r="D190" s="12">
        <v>554</v>
      </c>
      <c r="E190" s="12" t="s">
        <v>310</v>
      </c>
      <c r="F190" s="13">
        <v>0.56597222222222221</v>
      </c>
      <c r="G190" s="12" t="s">
        <v>288</v>
      </c>
      <c r="H190" s="13">
        <v>0.64236111111111116</v>
      </c>
      <c r="I190" s="26">
        <v>4.1666666666666664E-2</v>
      </c>
      <c r="J190" s="15" t="s">
        <v>305</v>
      </c>
      <c r="K190" s="22">
        <v>9800</v>
      </c>
      <c r="L190" s="15"/>
      <c r="M190" s="15"/>
    </row>
    <row r="191" spans="1:13">
      <c r="A191" s="14">
        <v>199</v>
      </c>
      <c r="B191" s="42">
        <v>46137</v>
      </c>
      <c r="C191" s="12" t="s">
        <v>236</v>
      </c>
      <c r="D191" s="12">
        <v>695</v>
      </c>
      <c r="E191" s="12" t="s">
        <v>288</v>
      </c>
      <c r="F191" s="13">
        <v>0.68402777777777779</v>
      </c>
      <c r="G191" s="12" t="s">
        <v>245</v>
      </c>
      <c r="H191" s="13">
        <v>0.75694444444444442</v>
      </c>
      <c r="I191" s="26">
        <v>9.7222222222222224E-2</v>
      </c>
      <c r="J191" s="15" t="s">
        <v>305</v>
      </c>
      <c r="K191" s="22">
        <v>10900</v>
      </c>
      <c r="L191" s="15"/>
      <c r="M191" s="15"/>
    </row>
    <row r="192" spans="1:13">
      <c r="A192" s="14">
        <v>200</v>
      </c>
      <c r="B192" s="42">
        <v>46137</v>
      </c>
      <c r="C192" s="12" t="s">
        <v>236</v>
      </c>
      <c r="D192" s="12">
        <v>3642</v>
      </c>
      <c r="E192" s="12" t="s">
        <v>245</v>
      </c>
      <c r="F192" s="13">
        <v>0.85416666666666663</v>
      </c>
      <c r="G192" s="12" t="s">
        <v>238</v>
      </c>
      <c r="H192" s="13">
        <v>0.89583333333333337</v>
      </c>
      <c r="I192" s="26"/>
      <c r="J192" s="15" t="s">
        <v>305</v>
      </c>
      <c r="K192" s="22">
        <v>5610</v>
      </c>
      <c r="L192" s="15"/>
      <c r="M192" s="15"/>
    </row>
    <row r="193" spans="1:13">
      <c r="A193" s="14">
        <v>201</v>
      </c>
      <c r="B193" s="42">
        <v>46138</v>
      </c>
      <c r="C193" s="12" t="s">
        <v>247</v>
      </c>
      <c r="D193" s="12">
        <v>51</v>
      </c>
      <c r="E193" s="12" t="s">
        <v>238</v>
      </c>
      <c r="F193" s="13">
        <v>0.30208333333333331</v>
      </c>
      <c r="G193" s="12" t="s">
        <v>289</v>
      </c>
      <c r="H193" s="13">
        <v>0.37847222222222221</v>
      </c>
      <c r="I193" s="26">
        <v>2.7777777777777776E-2</v>
      </c>
      <c r="J193" s="15" t="s">
        <v>305</v>
      </c>
      <c r="K193" s="22">
        <v>10250</v>
      </c>
      <c r="L193" s="15"/>
      <c r="M193" s="15"/>
    </row>
    <row r="194" spans="1:13">
      <c r="A194" s="14">
        <v>202</v>
      </c>
      <c r="B194" s="42">
        <v>46138</v>
      </c>
      <c r="C194" s="12" t="s">
        <v>247</v>
      </c>
      <c r="D194" s="12">
        <v>605</v>
      </c>
      <c r="E194" s="12" t="s">
        <v>289</v>
      </c>
      <c r="F194" s="13">
        <v>0.40625</v>
      </c>
      <c r="G194" s="12" t="s">
        <v>251</v>
      </c>
      <c r="H194" s="13">
        <v>0.44791666666666669</v>
      </c>
      <c r="I194" s="26">
        <v>7.2916666666666671E-2</v>
      </c>
      <c r="J194" s="15" t="s">
        <v>305</v>
      </c>
      <c r="K194" s="22">
        <v>4640</v>
      </c>
      <c r="L194" s="15"/>
      <c r="M194" s="15"/>
    </row>
    <row r="195" spans="1:13">
      <c r="A195" s="14">
        <v>203</v>
      </c>
      <c r="B195" s="42">
        <v>46138</v>
      </c>
      <c r="C195" s="12" t="s">
        <v>247</v>
      </c>
      <c r="D195" s="12">
        <v>608</v>
      </c>
      <c r="E195" s="12" t="s">
        <v>251</v>
      </c>
      <c r="F195" s="13">
        <v>0.52083333333333337</v>
      </c>
      <c r="G195" s="12" t="s">
        <v>289</v>
      </c>
      <c r="H195" s="13">
        <v>0.5625</v>
      </c>
      <c r="I195" s="26">
        <v>2.7777777777777776E-2</v>
      </c>
      <c r="J195" s="15" t="s">
        <v>305</v>
      </c>
      <c r="K195" s="22">
        <v>5740</v>
      </c>
      <c r="L195" s="15"/>
      <c r="M195" s="15"/>
    </row>
    <row r="196" spans="1:13">
      <c r="A196" s="14">
        <v>204</v>
      </c>
      <c r="B196" s="42">
        <v>46138</v>
      </c>
      <c r="C196" s="12" t="s">
        <v>247</v>
      </c>
      <c r="D196" s="12">
        <v>211</v>
      </c>
      <c r="E196" s="12" t="s">
        <v>289</v>
      </c>
      <c r="F196" s="13">
        <v>0.59027777777777779</v>
      </c>
      <c r="G196" s="12" t="s">
        <v>274</v>
      </c>
      <c r="H196" s="13">
        <v>0.61458333333333337</v>
      </c>
      <c r="I196" s="26">
        <v>1.0416666666666666E-2</v>
      </c>
      <c r="J196" s="15" t="s">
        <v>305</v>
      </c>
      <c r="K196" s="22">
        <v>4640</v>
      </c>
      <c r="L196" s="15"/>
      <c r="M196" s="15"/>
    </row>
    <row r="197" spans="1:13">
      <c r="A197" s="14">
        <v>205</v>
      </c>
      <c r="B197" s="42">
        <v>46138</v>
      </c>
      <c r="C197" s="12" t="s">
        <v>247</v>
      </c>
      <c r="D197" s="12">
        <v>212</v>
      </c>
      <c r="E197" s="12" t="s">
        <v>274</v>
      </c>
      <c r="F197" s="13">
        <v>0.625</v>
      </c>
      <c r="G197" s="12" t="s">
        <v>289</v>
      </c>
      <c r="H197" s="13">
        <v>0.65277777777777779</v>
      </c>
      <c r="I197" s="26">
        <v>2.7777777777777776E-2</v>
      </c>
      <c r="J197" s="15" t="s">
        <v>305</v>
      </c>
      <c r="K197" s="22">
        <v>5190</v>
      </c>
      <c r="L197" s="15"/>
      <c r="M197" s="15"/>
    </row>
    <row r="198" spans="1:13">
      <c r="A198" s="14">
        <v>206</v>
      </c>
      <c r="B198" s="42">
        <v>46138</v>
      </c>
      <c r="C198" s="12" t="s">
        <v>247</v>
      </c>
      <c r="D198" s="12">
        <v>567</v>
      </c>
      <c r="E198" s="12" t="s">
        <v>289</v>
      </c>
      <c r="F198" s="13">
        <v>0.68055555555555558</v>
      </c>
      <c r="G198" s="12" t="s">
        <v>255</v>
      </c>
      <c r="H198" s="13">
        <v>0.71875</v>
      </c>
      <c r="I198" s="26">
        <v>2.7777777777777776E-2</v>
      </c>
      <c r="J198" s="15" t="s">
        <v>305</v>
      </c>
      <c r="K198" s="22">
        <v>5190</v>
      </c>
      <c r="L198" s="15"/>
      <c r="M198" s="15"/>
    </row>
    <row r="199" spans="1:13">
      <c r="A199" s="14">
        <v>207</v>
      </c>
      <c r="B199" s="42">
        <v>46138</v>
      </c>
      <c r="C199" s="12" t="s">
        <v>247</v>
      </c>
      <c r="D199" s="12">
        <v>566</v>
      </c>
      <c r="E199" s="12" t="s">
        <v>255</v>
      </c>
      <c r="F199" s="13">
        <v>0.74652777777777779</v>
      </c>
      <c r="G199" s="12" t="s">
        <v>289</v>
      </c>
      <c r="H199" s="13">
        <v>0.78125</v>
      </c>
      <c r="I199" s="26">
        <v>7.9861111111111105E-2</v>
      </c>
      <c r="J199" s="15" t="s">
        <v>305</v>
      </c>
      <c r="K199" s="22">
        <v>5190</v>
      </c>
      <c r="L199" s="15"/>
      <c r="M199" s="15"/>
    </row>
    <row r="200" spans="1:13">
      <c r="A200" s="14">
        <v>208</v>
      </c>
      <c r="B200" s="42">
        <v>46138</v>
      </c>
      <c r="C200" s="12" t="s">
        <v>236</v>
      </c>
      <c r="D200" s="12">
        <v>922</v>
      </c>
      <c r="E200" s="12" t="s">
        <v>289</v>
      </c>
      <c r="F200" s="13">
        <v>0.86111111111111116</v>
      </c>
      <c r="G200" s="12" t="s">
        <v>288</v>
      </c>
      <c r="H200" s="13">
        <v>0.95833333333333337</v>
      </c>
      <c r="I200" s="26"/>
      <c r="J200" s="15" t="s">
        <v>305</v>
      </c>
      <c r="K200" s="22">
        <v>10590</v>
      </c>
      <c r="L200" s="15"/>
      <c r="M200" s="15"/>
    </row>
    <row r="201" spans="1:13">
      <c r="A201" s="14">
        <v>209</v>
      </c>
      <c r="B201" s="42">
        <v>46429</v>
      </c>
      <c r="C201" s="12" t="s">
        <v>236</v>
      </c>
      <c r="D201" s="23" t="s">
        <v>311</v>
      </c>
      <c r="E201" s="12" t="s">
        <v>288</v>
      </c>
      <c r="F201" s="13">
        <v>0.91319444444444442</v>
      </c>
      <c r="G201" s="12" t="s">
        <v>312</v>
      </c>
      <c r="H201" s="13">
        <v>0.40277777777777779</v>
      </c>
      <c r="I201" s="26"/>
      <c r="J201" s="15" t="s">
        <v>305</v>
      </c>
      <c r="K201" s="22"/>
      <c r="L201" s="15"/>
      <c r="M201" s="15"/>
    </row>
    <row r="202" spans="1:13">
      <c r="A202" s="14">
        <v>210</v>
      </c>
      <c r="B202" s="42">
        <v>46431</v>
      </c>
      <c r="C202" s="12" t="s">
        <v>236</v>
      </c>
      <c r="D202" s="23" t="s">
        <v>313</v>
      </c>
      <c r="E202" s="12" t="s">
        <v>312</v>
      </c>
      <c r="F202" s="13">
        <v>0.4861111111111111</v>
      </c>
      <c r="G202" s="12" t="s">
        <v>288</v>
      </c>
      <c r="H202" s="13">
        <v>0.67013888888888884</v>
      </c>
      <c r="I202" s="26"/>
      <c r="J202" s="15" t="s">
        <v>305</v>
      </c>
      <c r="K202" s="22"/>
      <c r="L202" s="15"/>
      <c r="M202" s="15"/>
    </row>
    <row r="203" spans="1:13">
      <c r="A203" s="14">
        <v>211</v>
      </c>
      <c r="B203" s="42">
        <v>46301</v>
      </c>
      <c r="C203" s="12" t="s">
        <v>236</v>
      </c>
      <c r="D203" s="12">
        <v>8663</v>
      </c>
      <c r="E203" s="12" t="s">
        <v>314</v>
      </c>
      <c r="F203" s="13">
        <v>0.37152777777777779</v>
      </c>
      <c r="G203" s="12" t="s">
        <v>315</v>
      </c>
      <c r="H203" s="13">
        <v>0.4826388888888889</v>
      </c>
      <c r="I203" s="26"/>
      <c r="J203" s="15" t="s">
        <v>305</v>
      </c>
      <c r="K203" s="22"/>
      <c r="L203" s="15"/>
      <c r="M203" s="15"/>
    </row>
    <row r="204" spans="1:13">
      <c r="A204" s="14">
        <v>212</v>
      </c>
      <c r="B204" s="42">
        <v>46304</v>
      </c>
      <c r="C204" s="12" t="s">
        <v>236</v>
      </c>
      <c r="D204" s="12">
        <v>8664</v>
      </c>
      <c r="E204" s="12" t="s">
        <v>315</v>
      </c>
      <c r="F204" s="13">
        <v>0.53125</v>
      </c>
      <c r="G204" s="12" t="s">
        <v>314</v>
      </c>
      <c r="H204" s="13">
        <v>0.71875</v>
      </c>
      <c r="I204" s="26"/>
      <c r="J204" s="15" t="s">
        <v>305</v>
      </c>
      <c r="K204" s="22"/>
      <c r="L204" s="15"/>
      <c r="M204" s="15"/>
    </row>
    <row r="205" spans="1:13">
      <c r="A205" s="14">
        <v>213</v>
      </c>
      <c r="B205" s="42">
        <v>46081</v>
      </c>
      <c r="C205" s="12" t="s">
        <v>236</v>
      </c>
      <c r="D205" s="12">
        <v>189</v>
      </c>
      <c r="E205" s="12" t="s">
        <v>288</v>
      </c>
      <c r="F205" s="13">
        <v>0.69097222222222221</v>
      </c>
      <c r="G205" s="12" t="s">
        <v>270</v>
      </c>
      <c r="H205" s="13">
        <v>0.73958333333333337</v>
      </c>
      <c r="I205" s="26"/>
      <c r="J205" s="15" t="s">
        <v>305</v>
      </c>
      <c r="K205" s="22">
        <v>11000</v>
      </c>
      <c r="L205" s="15"/>
      <c r="M205" s="15"/>
    </row>
    <row r="206" spans="1:13">
      <c r="A206" s="14">
        <v>214</v>
      </c>
      <c r="B206" s="42">
        <v>46081</v>
      </c>
      <c r="C206" s="12" t="s">
        <v>236</v>
      </c>
      <c r="D206" s="12">
        <v>192</v>
      </c>
      <c r="E206" s="12" t="s">
        <v>270</v>
      </c>
      <c r="F206" s="13">
        <v>0.76736111111111116</v>
      </c>
      <c r="G206" s="12" t="s">
        <v>288</v>
      </c>
      <c r="H206" s="13">
        <v>0.81597222222222221</v>
      </c>
      <c r="I206" s="26"/>
      <c r="J206" s="15" t="s">
        <v>305</v>
      </c>
      <c r="K206" s="22">
        <v>11000</v>
      </c>
      <c r="L206" s="15"/>
      <c r="M206" s="15"/>
    </row>
    <row r="207" spans="1:13">
      <c r="A207" s="14">
        <v>215</v>
      </c>
      <c r="B207" s="42"/>
      <c r="C207" s="12"/>
      <c r="D207" s="12"/>
      <c r="E207" s="12"/>
      <c r="F207" s="13"/>
      <c r="G207" s="12"/>
      <c r="H207" s="13"/>
      <c r="I207" s="26"/>
      <c r="J207" s="15"/>
      <c r="K207" s="22"/>
      <c r="L207" s="15"/>
      <c r="M207" s="15"/>
    </row>
    <row r="208" spans="1:13">
      <c r="A208" s="14">
        <v>216</v>
      </c>
      <c r="B208" s="42"/>
      <c r="C208" s="12"/>
      <c r="D208" s="12"/>
      <c r="E208" s="12"/>
      <c r="F208" s="13"/>
      <c r="G208" s="12"/>
      <c r="H208" s="13"/>
      <c r="I208" s="26"/>
      <c r="J208" s="15"/>
      <c r="K208" s="22"/>
      <c r="L208" s="15"/>
      <c r="M208" s="15"/>
    </row>
    <row r="209" spans="1:13">
      <c r="A209" s="14">
        <v>217</v>
      </c>
      <c r="B209" s="42"/>
      <c r="C209" s="12"/>
      <c r="D209" s="12"/>
      <c r="E209" s="12"/>
      <c r="F209" s="13"/>
      <c r="G209" s="12"/>
      <c r="H209" s="13"/>
      <c r="I209" s="26"/>
      <c r="J209" s="15"/>
      <c r="K209" s="22"/>
      <c r="L209" s="15"/>
      <c r="M209" s="15"/>
    </row>
    <row r="210" spans="1:13">
      <c r="A210" s="14">
        <v>218</v>
      </c>
      <c r="B210" s="42"/>
      <c r="C210" s="12"/>
      <c r="D210" s="12"/>
      <c r="E210" s="12"/>
      <c r="F210" s="13"/>
      <c r="G210" s="12"/>
      <c r="H210" s="13"/>
      <c r="I210" s="26"/>
      <c r="J210" s="15"/>
      <c r="K210" s="22"/>
      <c r="L210" s="15"/>
      <c r="M210" s="15"/>
    </row>
    <row r="211" spans="1:13">
      <c r="A211" s="14">
        <v>219</v>
      </c>
      <c r="B211" s="42"/>
      <c r="C211" s="12"/>
      <c r="D211" s="12"/>
      <c r="E211" s="12"/>
      <c r="F211" s="13"/>
      <c r="G211" s="12"/>
      <c r="H211" s="13"/>
      <c r="I211" s="26"/>
      <c r="J211" s="15"/>
      <c r="K211" s="22"/>
      <c r="L211" s="15"/>
      <c r="M211" s="15"/>
    </row>
    <row r="212" spans="1:13">
      <c r="A212" s="14">
        <v>220</v>
      </c>
      <c r="B212" s="42"/>
      <c r="C212" s="12"/>
      <c r="D212" s="12"/>
      <c r="E212" s="12"/>
      <c r="F212" s="13"/>
      <c r="G212" s="12"/>
      <c r="H212" s="13"/>
      <c r="I212" s="26"/>
      <c r="J212" s="15"/>
      <c r="K212" s="22"/>
      <c r="L212" s="15"/>
      <c r="M212" s="15"/>
    </row>
    <row r="213" spans="1:13">
      <c r="A213" s="14">
        <v>221</v>
      </c>
      <c r="B213" s="42"/>
      <c r="C213" s="12"/>
      <c r="D213" s="12"/>
      <c r="E213" s="12"/>
      <c r="F213" s="13"/>
      <c r="G213" s="12"/>
      <c r="H213" s="13"/>
      <c r="I213" s="26"/>
      <c r="J213" s="15"/>
      <c r="K213" s="22"/>
      <c r="L213" s="15"/>
      <c r="M213" s="15"/>
    </row>
    <row r="214" spans="1:13">
      <c r="A214" s="14">
        <v>222</v>
      </c>
      <c r="B214" s="42"/>
      <c r="C214" s="12"/>
      <c r="D214" s="12"/>
      <c r="E214" s="12"/>
      <c r="F214" s="13"/>
      <c r="G214" s="12"/>
      <c r="H214" s="13"/>
      <c r="I214" s="26"/>
      <c r="J214" s="15"/>
      <c r="K214" s="22"/>
      <c r="L214" s="15"/>
      <c r="M214" s="15"/>
    </row>
    <row r="215" spans="1:13">
      <c r="A215" s="14">
        <v>223</v>
      </c>
      <c r="B215" s="42"/>
      <c r="C215" s="12"/>
      <c r="D215" s="12"/>
      <c r="E215" s="12"/>
      <c r="F215" s="13"/>
      <c r="G215" s="12"/>
      <c r="H215" s="13"/>
      <c r="I215" s="26"/>
      <c r="J215" s="15"/>
      <c r="K215" s="22"/>
      <c r="L215" s="15"/>
      <c r="M215" s="15"/>
    </row>
    <row r="216" spans="1:13">
      <c r="A216" s="14">
        <v>224</v>
      </c>
      <c r="B216" s="42"/>
      <c r="C216" s="12"/>
      <c r="D216" s="12"/>
      <c r="E216" s="12"/>
      <c r="F216" s="13"/>
      <c r="G216" s="12"/>
      <c r="H216" s="13"/>
      <c r="I216" s="26"/>
      <c r="J216" s="15"/>
      <c r="K216" s="22"/>
      <c r="L216" s="15"/>
      <c r="M216" s="15"/>
    </row>
    <row r="217" spans="1:13">
      <c r="A217" s="14">
        <v>225</v>
      </c>
      <c r="B217" s="42"/>
      <c r="C217" s="12"/>
      <c r="D217" s="12"/>
      <c r="E217" s="12"/>
      <c r="F217" s="13"/>
      <c r="G217" s="12"/>
      <c r="H217" s="13"/>
      <c r="I217" s="26"/>
      <c r="J217" s="15"/>
      <c r="K217" s="22"/>
      <c r="L217" s="15"/>
      <c r="M217" s="15"/>
    </row>
    <row r="218" spans="1:13">
      <c r="A218" s="14">
        <v>226</v>
      </c>
      <c r="B218" s="42"/>
      <c r="C218" s="12"/>
      <c r="D218" s="12"/>
      <c r="E218" s="12"/>
      <c r="F218" s="13"/>
      <c r="G218" s="12"/>
      <c r="H218" s="13"/>
      <c r="I218" s="26"/>
      <c r="J218" s="15"/>
      <c r="K218" s="22"/>
      <c r="L218" s="15"/>
      <c r="M218" s="15"/>
    </row>
    <row r="219" spans="1:13">
      <c r="A219" s="14">
        <v>227</v>
      </c>
      <c r="B219" s="42"/>
      <c r="C219" s="12"/>
      <c r="D219" s="12"/>
      <c r="E219" s="12"/>
      <c r="F219" s="13"/>
      <c r="G219" s="12"/>
      <c r="H219" s="13"/>
      <c r="I219" s="26"/>
      <c r="J219" s="15"/>
      <c r="K219" s="22"/>
      <c r="L219" s="15"/>
      <c r="M219" s="15"/>
    </row>
    <row r="220" spans="1:13">
      <c r="A220" s="14">
        <v>228</v>
      </c>
      <c r="B220" s="42"/>
      <c r="C220" s="12"/>
      <c r="D220" s="12"/>
      <c r="E220" s="12"/>
      <c r="F220" s="13"/>
      <c r="G220" s="12"/>
      <c r="H220" s="13"/>
      <c r="I220" s="26"/>
      <c r="J220" s="15"/>
      <c r="K220" s="22"/>
      <c r="L220" s="15"/>
      <c r="M220" s="15"/>
    </row>
    <row r="221" spans="1:13">
      <c r="A221" s="14">
        <v>229</v>
      </c>
      <c r="B221" s="42"/>
      <c r="C221" s="12"/>
      <c r="D221" s="12"/>
      <c r="E221" s="12"/>
      <c r="F221" s="13"/>
      <c r="G221" s="12"/>
      <c r="H221" s="13"/>
      <c r="I221" s="26"/>
      <c r="J221" s="15"/>
      <c r="K221" s="22"/>
      <c r="L221" s="15"/>
      <c r="M221" s="15"/>
    </row>
    <row r="222" spans="1:13">
      <c r="A222" s="14">
        <v>230</v>
      </c>
      <c r="B222" s="42"/>
      <c r="C222" s="12"/>
      <c r="D222" s="12"/>
      <c r="E222" s="12"/>
      <c r="F222" s="13"/>
      <c r="G222" s="12"/>
      <c r="H222" s="13"/>
      <c r="I222" s="26"/>
      <c r="J222" s="15"/>
      <c r="K222" s="22"/>
      <c r="L222" s="15"/>
      <c r="M222" s="15"/>
    </row>
    <row r="223" spans="1:13">
      <c r="A223" s="14">
        <v>231</v>
      </c>
      <c r="B223" s="42"/>
      <c r="C223" s="12"/>
      <c r="D223" s="12"/>
      <c r="E223" s="12"/>
      <c r="F223" s="13"/>
      <c r="G223" s="12"/>
      <c r="H223" s="13"/>
      <c r="I223" s="26"/>
      <c r="J223" s="15"/>
      <c r="K223" s="22"/>
      <c r="L223" s="15"/>
      <c r="M223" s="15"/>
    </row>
    <row r="224" spans="1:13">
      <c r="A224" s="14">
        <v>232</v>
      </c>
      <c r="B224" s="42"/>
      <c r="C224" s="12"/>
      <c r="D224" s="12"/>
      <c r="E224" s="12"/>
      <c r="F224" s="13"/>
      <c r="G224" s="12"/>
      <c r="H224" s="13"/>
      <c r="I224" s="26"/>
      <c r="J224" s="15"/>
      <c r="K224" s="22"/>
      <c r="L224" s="15"/>
      <c r="M224" s="15"/>
    </row>
    <row r="225" spans="1:13">
      <c r="A225" s="14">
        <v>233</v>
      </c>
      <c r="B225" s="42"/>
      <c r="C225" s="12"/>
      <c r="D225" s="12"/>
      <c r="E225" s="12"/>
      <c r="F225" s="13"/>
      <c r="G225" s="12"/>
      <c r="H225" s="13"/>
      <c r="I225" s="26"/>
      <c r="J225" s="15"/>
      <c r="K225" s="22"/>
      <c r="L225" s="15"/>
      <c r="M225" s="15"/>
    </row>
    <row r="226" spans="1:13">
      <c r="A226" s="14">
        <v>234</v>
      </c>
      <c r="B226" s="42"/>
      <c r="C226" s="12"/>
      <c r="D226" s="12"/>
      <c r="E226" s="12"/>
      <c r="F226" s="13"/>
      <c r="G226" s="12"/>
      <c r="H226" s="13"/>
      <c r="I226" s="26"/>
      <c r="J226" s="15"/>
      <c r="K226" s="22"/>
      <c r="L226" s="15"/>
      <c r="M226" s="15"/>
    </row>
    <row r="227" spans="1:13" ht="14.25">
      <c r="A227" s="14">
        <v>235</v>
      </c>
      <c r="B227" s="42"/>
      <c r="C227" s="61"/>
      <c r="D227" s="61"/>
      <c r="E227" s="61"/>
      <c r="F227" s="62"/>
      <c r="G227" s="61"/>
      <c r="H227" s="62"/>
      <c r="I227" s="61"/>
      <c r="J227" s="15"/>
      <c r="K227" s="22"/>
      <c r="L227" s="15"/>
      <c r="M227" s="15"/>
    </row>
    <row r="228" spans="1:13" ht="14.25">
      <c r="A228" s="14">
        <v>236</v>
      </c>
      <c r="B228" s="42"/>
      <c r="C228" s="61"/>
      <c r="D228" s="61"/>
      <c r="E228" s="61"/>
      <c r="F228" s="62"/>
      <c r="G228" s="61"/>
      <c r="H228" s="62"/>
      <c r="I228" s="61"/>
      <c r="J228" s="15"/>
      <c r="K228" s="22"/>
      <c r="L228" s="15"/>
      <c r="M228" s="15"/>
    </row>
    <row r="229" spans="1:13" ht="14.25">
      <c r="A229" s="14">
        <v>237</v>
      </c>
      <c r="B229" s="42"/>
      <c r="C229" s="61"/>
      <c r="D229" s="61"/>
      <c r="E229" s="61"/>
      <c r="F229" s="62"/>
      <c r="G229" s="61"/>
      <c r="H229" s="62"/>
      <c r="I229" s="61"/>
      <c r="J229" s="15"/>
      <c r="K229" s="22"/>
      <c r="L229" s="15"/>
      <c r="M229" s="15"/>
    </row>
    <row r="230" spans="1:13" ht="14.25">
      <c r="A230" s="14">
        <v>238</v>
      </c>
      <c r="B230" s="42"/>
      <c r="C230" s="61"/>
      <c r="D230" s="61"/>
      <c r="E230" s="61"/>
      <c r="F230" s="62"/>
      <c r="G230" s="61"/>
      <c r="H230" s="62"/>
      <c r="I230" s="61"/>
      <c r="J230" s="15"/>
      <c r="K230" s="22"/>
      <c r="L230" s="15"/>
      <c r="M230" s="15"/>
    </row>
    <row r="231" spans="1:13" ht="14.25">
      <c r="A231" s="14">
        <v>239</v>
      </c>
      <c r="B231" s="42"/>
      <c r="C231" s="61"/>
      <c r="D231" s="61"/>
      <c r="E231" s="61"/>
      <c r="F231" s="62"/>
      <c r="G231" s="61"/>
      <c r="H231" s="62"/>
      <c r="I231" s="61"/>
      <c r="J231" s="15"/>
      <c r="K231" s="22"/>
      <c r="L231" s="15"/>
      <c r="M231" s="15"/>
    </row>
    <row r="232" spans="1:13" ht="14.25">
      <c r="A232" s="14">
        <v>240</v>
      </c>
      <c r="B232" s="42"/>
      <c r="C232" s="61"/>
      <c r="D232" s="61"/>
      <c r="E232" s="61"/>
      <c r="F232" s="62"/>
      <c r="G232" s="61"/>
      <c r="H232" s="62"/>
      <c r="I232" s="61"/>
      <c r="J232" s="15"/>
      <c r="K232" s="22"/>
      <c r="L232" s="15"/>
      <c r="M232" s="15"/>
    </row>
    <row r="233" spans="1:13" ht="14.25">
      <c r="A233" s="14">
        <v>241</v>
      </c>
      <c r="B233" s="42"/>
      <c r="C233" s="61"/>
      <c r="D233" s="61"/>
      <c r="E233" s="61"/>
      <c r="F233" s="62"/>
      <c r="G233" s="61"/>
      <c r="H233" s="62"/>
      <c r="I233" s="61"/>
      <c r="J233" s="15"/>
      <c r="K233" s="22"/>
      <c r="L233" s="15"/>
      <c r="M233" s="15"/>
    </row>
    <row r="234" spans="1:13" ht="14.25">
      <c r="A234" s="14">
        <v>242</v>
      </c>
      <c r="B234" s="42"/>
      <c r="C234" s="61"/>
      <c r="D234" s="61"/>
      <c r="E234" s="61"/>
      <c r="F234" s="62"/>
      <c r="G234" s="61"/>
      <c r="H234" s="62"/>
      <c r="I234" s="61"/>
      <c r="J234" s="15"/>
      <c r="K234" s="22"/>
      <c r="L234" s="15"/>
      <c r="M234" s="15"/>
    </row>
    <row r="235" spans="1:13" ht="14.25">
      <c r="A235" s="14">
        <v>243</v>
      </c>
      <c r="B235" s="42"/>
      <c r="C235" s="61"/>
      <c r="D235" s="61"/>
      <c r="E235" s="61"/>
      <c r="F235" s="62"/>
      <c r="G235" s="61"/>
      <c r="H235" s="62"/>
      <c r="I235" s="61"/>
      <c r="J235" s="15"/>
      <c r="K235" s="22"/>
      <c r="L235" s="15"/>
      <c r="M235" s="15"/>
    </row>
    <row r="236" spans="1:13" ht="14.25">
      <c r="A236" s="14">
        <v>244</v>
      </c>
      <c r="B236" s="42"/>
      <c r="C236" s="61"/>
      <c r="D236" s="61"/>
      <c r="E236" s="61"/>
      <c r="F236" s="62"/>
      <c r="G236" s="61"/>
      <c r="H236" s="62"/>
      <c r="I236" s="61"/>
      <c r="J236" s="15"/>
      <c r="K236" s="22"/>
      <c r="L236" s="15"/>
      <c r="M236" s="15"/>
    </row>
    <row r="237" spans="1:13" ht="14.25">
      <c r="A237" s="14">
        <v>245</v>
      </c>
      <c r="B237" s="42"/>
      <c r="C237" s="61"/>
      <c r="D237" s="61"/>
      <c r="E237" s="61"/>
      <c r="F237" s="62"/>
      <c r="G237" s="61"/>
      <c r="H237" s="62"/>
      <c r="I237" s="61"/>
      <c r="J237" s="15"/>
      <c r="K237" s="22"/>
      <c r="L237" s="15"/>
      <c r="M237" s="15"/>
    </row>
    <row r="238" spans="1:13" ht="14.25">
      <c r="A238" s="14">
        <v>246</v>
      </c>
      <c r="B238" s="42"/>
      <c r="C238" s="61"/>
      <c r="D238" s="61"/>
      <c r="E238" s="61"/>
      <c r="F238" s="62"/>
      <c r="G238" s="61"/>
      <c r="H238" s="62"/>
      <c r="I238" s="61"/>
      <c r="J238" s="15"/>
      <c r="K238" s="22"/>
      <c r="L238" s="15"/>
      <c r="M238" s="15"/>
    </row>
    <row r="239" spans="1:13" ht="14.25">
      <c r="A239" s="14">
        <v>247</v>
      </c>
      <c r="B239" s="42"/>
      <c r="C239" s="61"/>
      <c r="D239" s="61"/>
      <c r="E239" s="61"/>
      <c r="F239" s="62"/>
      <c r="G239" s="61"/>
      <c r="H239" s="62"/>
      <c r="I239" s="61"/>
      <c r="J239" s="15"/>
      <c r="K239" s="22"/>
      <c r="L239" s="15"/>
      <c r="M239" s="15"/>
    </row>
    <row r="240" spans="1:13" ht="14.25">
      <c r="A240" s="14">
        <v>248</v>
      </c>
      <c r="B240" s="42"/>
      <c r="C240" s="61"/>
      <c r="D240" s="61"/>
      <c r="E240" s="61"/>
      <c r="F240" s="62"/>
      <c r="G240" s="61"/>
      <c r="H240" s="62"/>
      <c r="I240" s="61"/>
      <c r="J240" s="15"/>
      <c r="K240" s="22"/>
      <c r="L240" s="15"/>
      <c r="M240" s="15"/>
    </row>
    <row r="241" spans="1:13" ht="14.25">
      <c r="A241" s="14">
        <v>249</v>
      </c>
      <c r="B241" s="42"/>
      <c r="C241" s="61"/>
      <c r="D241" s="61"/>
      <c r="E241" s="61"/>
      <c r="F241" s="62"/>
      <c r="G241" s="61"/>
      <c r="H241" s="62"/>
      <c r="I241" s="61"/>
      <c r="J241" s="15"/>
      <c r="K241" s="22"/>
      <c r="L241" s="15"/>
      <c r="M241" s="15"/>
    </row>
    <row r="242" spans="1:13" ht="14.25">
      <c r="A242" s="14">
        <v>250</v>
      </c>
      <c r="B242" s="42"/>
      <c r="C242" s="61"/>
      <c r="D242" s="61"/>
      <c r="E242" s="61"/>
      <c r="F242" s="62"/>
      <c r="G242" s="61"/>
      <c r="H242" s="62"/>
      <c r="I242" s="61"/>
      <c r="J242" s="15"/>
      <c r="K242" s="22"/>
      <c r="L242" s="15"/>
      <c r="M242" s="15"/>
    </row>
    <row r="243" spans="1:13" ht="14.25">
      <c r="A243" s="14">
        <v>251</v>
      </c>
      <c r="B243" s="42"/>
      <c r="C243" s="61"/>
      <c r="D243" s="61"/>
      <c r="E243" s="61"/>
      <c r="F243" s="62"/>
      <c r="G243" s="61"/>
      <c r="H243" s="62"/>
      <c r="I243" s="61"/>
      <c r="J243" s="15"/>
      <c r="K243" s="22"/>
      <c r="L243" s="15"/>
      <c r="M243" s="15"/>
    </row>
    <row r="244" spans="1:13" ht="14.25">
      <c r="A244" s="14">
        <v>252</v>
      </c>
      <c r="B244" s="42"/>
      <c r="C244" s="61"/>
      <c r="D244" s="61"/>
      <c r="E244" s="61"/>
      <c r="F244" s="62"/>
      <c r="G244" s="61"/>
      <c r="H244" s="62"/>
      <c r="I244" s="61"/>
      <c r="J244" s="15"/>
      <c r="K244" s="22"/>
      <c r="L244" s="15"/>
      <c r="M244" s="15"/>
    </row>
    <row r="245" spans="1:13" ht="14.25">
      <c r="A245" s="14">
        <v>253</v>
      </c>
      <c r="B245" s="42"/>
      <c r="C245" s="61"/>
      <c r="D245" s="61"/>
      <c r="E245" s="61"/>
      <c r="F245" s="62"/>
      <c r="G245" s="61"/>
      <c r="H245" s="62"/>
      <c r="I245" s="61"/>
      <c r="J245" s="15"/>
      <c r="K245" s="22"/>
      <c r="L245" s="15"/>
      <c r="M245" s="15"/>
    </row>
    <row r="246" spans="1:13" ht="14.25">
      <c r="A246" s="14">
        <v>254</v>
      </c>
      <c r="B246" s="42"/>
      <c r="C246" s="61"/>
      <c r="D246" s="61"/>
      <c r="E246" s="61"/>
      <c r="F246" s="62"/>
      <c r="G246" s="61"/>
      <c r="H246" s="62"/>
      <c r="I246" s="61"/>
      <c r="J246" s="15"/>
      <c r="K246" s="22"/>
      <c r="L246" s="15"/>
      <c r="M246" s="15"/>
    </row>
    <row r="247" spans="1:13" ht="14.25">
      <c r="A247" s="14">
        <v>255</v>
      </c>
      <c r="B247" s="42"/>
      <c r="C247" s="61"/>
      <c r="D247" s="61"/>
      <c r="E247" s="61"/>
      <c r="F247" s="62"/>
      <c r="G247" s="61"/>
      <c r="H247" s="62"/>
      <c r="I247" s="61"/>
      <c r="J247" s="15"/>
      <c r="K247" s="22"/>
      <c r="L247" s="15"/>
      <c r="M247" s="15"/>
    </row>
    <row r="248" spans="1:13" ht="14.25">
      <c r="A248" s="14">
        <v>256</v>
      </c>
      <c r="B248" s="42"/>
      <c r="C248" s="61"/>
      <c r="D248" s="61"/>
      <c r="E248" s="61"/>
      <c r="F248" s="62"/>
      <c r="G248" s="61"/>
      <c r="H248" s="62"/>
      <c r="I248" s="61"/>
      <c r="J248" s="15"/>
      <c r="K248" s="22"/>
      <c r="L248" s="15"/>
      <c r="M248" s="15"/>
    </row>
    <row r="249" spans="1:13" ht="14.25">
      <c r="A249" s="14">
        <v>257</v>
      </c>
      <c r="B249" s="42"/>
      <c r="C249" s="61"/>
      <c r="D249" s="61"/>
      <c r="E249" s="61"/>
      <c r="F249" s="62"/>
      <c r="G249" s="61"/>
      <c r="H249" s="62"/>
      <c r="I249" s="61"/>
      <c r="J249" s="15"/>
      <c r="K249" s="22"/>
      <c r="L249" s="15"/>
      <c r="M249" s="15"/>
    </row>
    <row r="250" spans="1:13" ht="14.25">
      <c r="A250" s="14">
        <v>258</v>
      </c>
      <c r="B250" s="42"/>
      <c r="C250" s="61"/>
      <c r="D250" s="61"/>
      <c r="E250" s="61"/>
      <c r="F250" s="62"/>
      <c r="G250" s="61"/>
      <c r="H250" s="62"/>
      <c r="I250" s="61"/>
      <c r="J250" s="15"/>
      <c r="K250" s="22"/>
      <c r="L250" s="15"/>
      <c r="M250" s="15"/>
    </row>
    <row r="251" spans="1:13" ht="14.25">
      <c r="A251" s="14">
        <v>259</v>
      </c>
      <c r="B251" s="42"/>
      <c r="C251" s="61"/>
      <c r="D251" s="61"/>
      <c r="E251" s="61"/>
      <c r="F251" s="62"/>
      <c r="G251" s="61"/>
      <c r="H251" s="62"/>
      <c r="I251" s="61"/>
      <c r="J251" s="15"/>
      <c r="K251" s="22"/>
      <c r="L251" s="15"/>
      <c r="M251" s="15"/>
    </row>
    <row r="252" spans="1:13" ht="14.25">
      <c r="A252" s="14">
        <v>260</v>
      </c>
      <c r="B252" s="42"/>
      <c r="C252" s="61"/>
      <c r="D252" s="61"/>
      <c r="E252" s="61"/>
      <c r="F252" s="62"/>
      <c r="G252" s="61"/>
      <c r="H252" s="62"/>
      <c r="I252" s="61"/>
      <c r="J252" s="15"/>
      <c r="K252" s="22"/>
      <c r="L252" s="15"/>
      <c r="M252" s="15"/>
    </row>
    <row r="253" spans="1:13" ht="14.25">
      <c r="A253" s="14">
        <v>261</v>
      </c>
      <c r="B253" s="42"/>
      <c r="C253" s="61"/>
      <c r="D253" s="61"/>
      <c r="E253" s="61"/>
      <c r="F253" s="62"/>
      <c r="G253" s="61"/>
      <c r="H253" s="62"/>
      <c r="I253" s="61"/>
      <c r="J253" s="15"/>
      <c r="K253" s="22"/>
      <c r="L253" s="15"/>
      <c r="M253" s="15"/>
    </row>
    <row r="254" spans="1:13" ht="14.25">
      <c r="A254" s="14">
        <v>262</v>
      </c>
      <c r="B254" s="42"/>
      <c r="C254" s="61"/>
      <c r="D254" s="61"/>
      <c r="E254" s="61"/>
      <c r="F254" s="62"/>
      <c r="G254" s="61"/>
      <c r="H254" s="62"/>
      <c r="I254" s="61"/>
      <c r="J254" s="15"/>
      <c r="K254" s="22"/>
      <c r="L254" s="15"/>
      <c r="M254" s="15"/>
    </row>
    <row r="255" spans="1:13" ht="14.25">
      <c r="A255" s="14">
        <v>263</v>
      </c>
      <c r="B255" s="42"/>
      <c r="C255" s="61"/>
      <c r="D255" s="61"/>
      <c r="E255" s="61"/>
      <c r="F255" s="62"/>
      <c r="G255" s="61"/>
      <c r="H255" s="62"/>
      <c r="I255" s="61"/>
      <c r="J255" s="15"/>
      <c r="K255" s="22"/>
      <c r="L255" s="15"/>
      <c r="M255" s="15"/>
    </row>
    <row r="256" spans="1:13" ht="14.25">
      <c r="A256" s="14">
        <v>264</v>
      </c>
      <c r="B256" s="42"/>
      <c r="C256" s="61"/>
      <c r="D256" s="61"/>
      <c r="E256" s="61"/>
      <c r="F256" s="62"/>
      <c r="G256" s="61"/>
      <c r="H256" s="62"/>
      <c r="I256" s="61"/>
      <c r="J256" s="15"/>
      <c r="K256" s="22"/>
      <c r="L256" s="15"/>
      <c r="M256" s="15"/>
    </row>
    <row r="257" spans="1:13" ht="14.25">
      <c r="A257" s="14">
        <v>265</v>
      </c>
      <c r="B257" s="42"/>
      <c r="C257" s="61"/>
      <c r="D257" s="61"/>
      <c r="E257" s="61"/>
      <c r="F257" s="62"/>
      <c r="G257" s="61"/>
      <c r="H257" s="62"/>
      <c r="I257" s="61"/>
      <c r="J257" s="15"/>
      <c r="K257" s="22"/>
      <c r="L257" s="15"/>
      <c r="M257" s="15"/>
    </row>
    <row r="258" spans="1:13" ht="14.25">
      <c r="A258" s="14">
        <v>266</v>
      </c>
      <c r="B258" s="42"/>
      <c r="C258" s="61"/>
      <c r="D258" s="61"/>
      <c r="E258" s="61"/>
      <c r="F258" s="62"/>
      <c r="G258" s="61"/>
      <c r="H258" s="62"/>
      <c r="I258" s="61"/>
      <c r="J258" s="15"/>
      <c r="K258" s="22"/>
      <c r="L258" s="15"/>
      <c r="M258" s="15"/>
    </row>
    <row r="259" spans="1:13" ht="14.25">
      <c r="A259" s="14">
        <v>267</v>
      </c>
      <c r="B259" s="42"/>
      <c r="C259" s="61"/>
      <c r="D259" s="61"/>
      <c r="E259" s="61"/>
      <c r="F259" s="62"/>
      <c r="G259" s="61"/>
      <c r="H259" s="62"/>
      <c r="I259" s="61"/>
      <c r="J259" s="15"/>
      <c r="K259" s="22"/>
      <c r="L259" s="15"/>
      <c r="M259" s="15"/>
    </row>
    <row r="260" spans="1:13" ht="14.25">
      <c r="A260" s="14">
        <v>268</v>
      </c>
      <c r="B260" s="42"/>
      <c r="C260" s="61"/>
      <c r="D260" s="61"/>
      <c r="E260" s="61"/>
      <c r="F260" s="62"/>
      <c r="G260" s="61"/>
      <c r="H260" s="62"/>
      <c r="I260" s="61"/>
      <c r="J260" s="15"/>
      <c r="K260" s="22"/>
      <c r="L260" s="15"/>
      <c r="M260" s="15"/>
    </row>
    <row r="261" spans="1:13" ht="14.25">
      <c r="A261" s="14">
        <v>269</v>
      </c>
      <c r="B261" s="42"/>
      <c r="C261" s="61"/>
      <c r="D261" s="61"/>
      <c r="E261" s="61"/>
      <c r="F261" s="62"/>
      <c r="G261" s="61"/>
      <c r="H261" s="62"/>
      <c r="I261" s="61"/>
      <c r="J261" s="15"/>
      <c r="K261" s="22"/>
      <c r="L261" s="15"/>
      <c r="M261" s="15"/>
    </row>
    <row r="262" spans="1:13" ht="14.25">
      <c r="A262" s="14">
        <v>270</v>
      </c>
      <c r="B262" s="42"/>
      <c r="C262" s="61"/>
      <c r="D262" s="61"/>
      <c r="E262" s="61"/>
      <c r="F262" s="62"/>
      <c r="G262" s="61"/>
      <c r="H262" s="62"/>
      <c r="I262" s="61"/>
      <c r="J262" s="15"/>
      <c r="K262" s="22"/>
      <c r="L262" s="15"/>
      <c r="M262" s="15"/>
    </row>
    <row r="263" spans="1:13" ht="14.25">
      <c r="A263" s="14">
        <v>271</v>
      </c>
      <c r="B263" s="42"/>
      <c r="C263" s="61"/>
      <c r="D263" s="61"/>
      <c r="E263" s="61"/>
      <c r="F263" s="62"/>
      <c r="G263" s="61"/>
      <c r="H263" s="62"/>
      <c r="I263" s="61"/>
      <c r="J263" s="15"/>
      <c r="K263" s="22"/>
      <c r="L263" s="15"/>
      <c r="M263" s="15"/>
    </row>
    <row r="264" spans="1:13" ht="14.25">
      <c r="A264" s="14">
        <v>272</v>
      </c>
      <c r="B264" s="42"/>
      <c r="C264" s="61"/>
      <c r="D264" s="61"/>
      <c r="E264" s="61"/>
      <c r="F264" s="62"/>
      <c r="G264" s="61"/>
      <c r="H264" s="62"/>
      <c r="I264" s="61"/>
      <c r="J264" s="15"/>
      <c r="K264" s="22"/>
      <c r="L264" s="15"/>
      <c r="M264" s="15"/>
    </row>
    <row r="265" spans="1:13" ht="14.25">
      <c r="A265" s="14">
        <v>273</v>
      </c>
      <c r="B265" s="42"/>
      <c r="C265" s="61"/>
      <c r="D265" s="61"/>
      <c r="E265" s="61"/>
      <c r="F265" s="62"/>
      <c r="G265" s="61"/>
      <c r="H265" s="62"/>
      <c r="I265" s="61"/>
      <c r="J265" s="15"/>
      <c r="K265" s="22"/>
      <c r="L265" s="15"/>
      <c r="M265" s="15"/>
    </row>
    <row r="266" spans="1:13" ht="14.25">
      <c r="A266" s="14">
        <v>274</v>
      </c>
      <c r="B266" s="42"/>
      <c r="C266" s="61"/>
      <c r="D266" s="61"/>
      <c r="E266" s="61"/>
      <c r="F266" s="62"/>
      <c r="G266" s="61"/>
      <c r="H266" s="62"/>
      <c r="I266" s="61"/>
      <c r="J266" s="15"/>
      <c r="K266" s="22"/>
      <c r="L266" s="15"/>
      <c r="M266" s="15"/>
    </row>
    <row r="267" spans="1:13" ht="14.25">
      <c r="A267" s="14">
        <v>275</v>
      </c>
      <c r="B267" s="42"/>
      <c r="C267" s="61"/>
      <c r="D267" s="61"/>
      <c r="E267" s="61"/>
      <c r="F267" s="62"/>
      <c r="G267" s="61"/>
      <c r="H267" s="62"/>
      <c r="I267" s="61"/>
      <c r="J267" s="15"/>
      <c r="K267" s="15"/>
      <c r="L267" s="15"/>
      <c r="M267" s="15"/>
    </row>
    <row r="268" spans="1:13">
      <c r="A268" s="14">
        <v>276</v>
      </c>
      <c r="B268" s="42"/>
      <c r="C268" s="12"/>
      <c r="D268" s="12"/>
      <c r="E268" s="12"/>
      <c r="F268" s="13"/>
      <c r="G268" s="12"/>
      <c r="H268" s="13"/>
      <c r="I268" s="15"/>
      <c r="J268" s="15"/>
      <c r="K268" s="15"/>
      <c r="L268" s="15"/>
      <c r="M268" s="15"/>
    </row>
    <row r="269" spans="1:13">
      <c r="A269" s="14">
        <v>277</v>
      </c>
      <c r="B269" s="42"/>
      <c r="C269" s="12"/>
      <c r="D269" s="12"/>
      <c r="E269" s="12"/>
      <c r="F269" s="13"/>
      <c r="G269" s="12"/>
      <c r="H269" s="13"/>
      <c r="I269" s="15"/>
      <c r="J269" s="15"/>
      <c r="K269" s="15"/>
      <c r="L269" s="15"/>
      <c r="M269" s="15"/>
    </row>
    <row r="270" spans="1:13">
      <c r="A270" s="14">
        <v>278</v>
      </c>
      <c r="B270" s="42"/>
      <c r="C270" s="19"/>
      <c r="D270" s="19"/>
      <c r="E270" s="19"/>
      <c r="F270" s="20"/>
      <c r="G270" s="19"/>
      <c r="H270" s="20"/>
      <c r="I270" s="21"/>
      <c r="J270" s="21"/>
      <c r="K270" s="21"/>
      <c r="L270" s="21"/>
      <c r="M270" s="21"/>
    </row>
    <row r="281" spans="10:11">
      <c r="J281" t="s">
        <v>316</v>
      </c>
      <c r="K281" s="11">
        <f>SUM(テーブル4[料金])</f>
        <v>1335784</v>
      </c>
    </row>
    <row r="282" spans="10:11">
      <c r="J282" t="s">
        <v>317</v>
      </c>
      <c r="K282">
        <f>COUNTA(テーブル4[料金])*5</f>
        <v>1005</v>
      </c>
    </row>
    <row r="283" spans="10:11">
      <c r="J283" t="s">
        <v>5</v>
      </c>
      <c r="K283">
        <f>COUNTA(テーブル4[料金])</f>
        <v>201</v>
      </c>
    </row>
    <row r="284" spans="10:11">
      <c r="J284" t="s">
        <v>318</v>
      </c>
      <c r="K284" s="41">
        <f>K281/K282</f>
        <v>1329.1383084577114</v>
      </c>
    </row>
    <row r="296" spans="1:8">
      <c r="A296" s="24" t="s">
        <v>224</v>
      </c>
      <c r="B296" s="24" t="s">
        <v>225</v>
      </c>
      <c r="C296" s="24" t="s">
        <v>226</v>
      </c>
      <c r="D296" s="24" t="s">
        <v>227</v>
      </c>
      <c r="E296" s="24" t="s">
        <v>228</v>
      </c>
      <c r="F296" s="24" t="s">
        <v>229</v>
      </c>
      <c r="G296" s="24" t="s">
        <v>230</v>
      </c>
      <c r="H296" s="24" t="s">
        <v>231</v>
      </c>
    </row>
    <row r="297" spans="1:8">
      <c r="A297">
        <v>1</v>
      </c>
      <c r="B297" t="s">
        <v>247</v>
      </c>
      <c r="C297">
        <v>51</v>
      </c>
      <c r="D297" t="s">
        <v>238</v>
      </c>
      <c r="E297" s="25">
        <v>0.2986111111111111</v>
      </c>
      <c r="F297" t="s">
        <v>248</v>
      </c>
      <c r="G297" s="25">
        <v>0.36805555555555558</v>
      </c>
      <c r="H297" t="s">
        <v>239</v>
      </c>
    </row>
    <row r="298" spans="1:8">
      <c r="A298">
        <v>2</v>
      </c>
      <c r="B298" t="s">
        <v>252</v>
      </c>
      <c r="C298">
        <v>873</v>
      </c>
      <c r="D298" t="s">
        <v>248</v>
      </c>
      <c r="E298" s="25">
        <v>0.41319444444444442</v>
      </c>
      <c r="F298" t="s">
        <v>274</v>
      </c>
      <c r="G298" s="25">
        <v>0.43402777777777779</v>
      </c>
      <c r="H298" t="s">
        <v>319</v>
      </c>
    </row>
    <row r="299" spans="1:8">
      <c r="A299">
        <v>3</v>
      </c>
      <c r="B299" t="s">
        <v>252</v>
      </c>
      <c r="C299">
        <v>874</v>
      </c>
      <c r="D299" t="s">
        <v>274</v>
      </c>
      <c r="E299" s="25">
        <v>0.45833333333333331</v>
      </c>
      <c r="F299" t="s">
        <v>248</v>
      </c>
      <c r="G299" s="25">
        <v>0.4826388888888889</v>
      </c>
      <c r="H299" t="s">
        <v>244</v>
      </c>
    </row>
    <row r="300" spans="1:8">
      <c r="A300">
        <v>4</v>
      </c>
      <c r="B300" t="s">
        <v>247</v>
      </c>
      <c r="C300">
        <v>609</v>
      </c>
      <c r="D300" t="s">
        <v>248</v>
      </c>
      <c r="E300" s="25">
        <v>0.53472222222222221</v>
      </c>
      <c r="F300" t="s">
        <v>251</v>
      </c>
      <c r="G300" s="25">
        <v>0.57291666666666663</v>
      </c>
      <c r="H300" t="s">
        <v>320</v>
      </c>
    </row>
    <row r="301" spans="1:8">
      <c r="A301">
        <v>5</v>
      </c>
      <c r="B301" t="s">
        <v>247</v>
      </c>
      <c r="C301">
        <v>614</v>
      </c>
      <c r="D301" t="s">
        <v>251</v>
      </c>
      <c r="E301" s="25">
        <v>0.60069444444444442</v>
      </c>
      <c r="F301" t="s">
        <v>248</v>
      </c>
      <c r="G301" s="25">
        <v>0.64583333333333337</v>
      </c>
      <c r="H301" t="s">
        <v>249</v>
      </c>
    </row>
    <row r="302" spans="1:8">
      <c r="A302">
        <v>6</v>
      </c>
      <c r="B302" t="s">
        <v>247</v>
      </c>
      <c r="C302">
        <v>567</v>
      </c>
      <c r="D302" t="s">
        <v>248</v>
      </c>
      <c r="E302" s="25">
        <v>0.67361111111111116</v>
      </c>
      <c r="F302" t="s">
        <v>255</v>
      </c>
      <c r="G302" s="25">
        <v>0.70833333333333337</v>
      </c>
      <c r="H302" t="s">
        <v>249</v>
      </c>
    </row>
    <row r="303" spans="1:8">
      <c r="A303">
        <v>7</v>
      </c>
      <c r="B303" t="s">
        <v>247</v>
      </c>
      <c r="C303">
        <v>566</v>
      </c>
      <c r="D303" t="s">
        <v>255</v>
      </c>
      <c r="E303" s="25">
        <v>0.73611111111111116</v>
      </c>
      <c r="F303" t="s">
        <v>248</v>
      </c>
      <c r="G303" s="25">
        <v>0.77430555555555558</v>
      </c>
      <c r="H303" t="s">
        <v>249</v>
      </c>
    </row>
    <row r="304" spans="1:8">
      <c r="A304">
        <v>8</v>
      </c>
      <c r="B304" t="s">
        <v>236</v>
      </c>
      <c r="C304">
        <v>920</v>
      </c>
      <c r="D304" t="s">
        <v>248</v>
      </c>
      <c r="E304" s="25">
        <v>0.80902777777777779</v>
      </c>
      <c r="F304" t="s">
        <v>237</v>
      </c>
      <c r="G304" s="25">
        <v>0.91666666666666663</v>
      </c>
      <c r="H304" t="s">
        <v>321</v>
      </c>
    </row>
    <row r="307" spans="1:9">
      <c r="A307" s="24" t="s">
        <v>224</v>
      </c>
      <c r="B307" s="24" t="s">
        <v>225</v>
      </c>
      <c r="C307" s="24" t="s">
        <v>226</v>
      </c>
      <c r="D307" s="24" t="s">
        <v>227</v>
      </c>
      <c r="E307" s="24" t="s">
        <v>228</v>
      </c>
      <c r="F307" s="24" t="s">
        <v>229</v>
      </c>
      <c r="G307" s="24" t="s">
        <v>230</v>
      </c>
      <c r="H307" s="24" t="s">
        <v>231</v>
      </c>
    </row>
    <row r="308" spans="1:9">
      <c r="A308">
        <v>1</v>
      </c>
      <c r="B308" t="s">
        <v>247</v>
      </c>
      <c r="C308">
        <v>51</v>
      </c>
      <c r="D308" t="s">
        <v>238</v>
      </c>
      <c r="E308" s="25">
        <v>0.2986111111111111</v>
      </c>
      <c r="F308" t="s">
        <v>248</v>
      </c>
      <c r="G308" s="25">
        <v>0.36805555555555558</v>
      </c>
      <c r="H308" t="s">
        <v>239</v>
      </c>
    </row>
    <row r="309" spans="1:9">
      <c r="A309">
        <v>2</v>
      </c>
      <c r="B309" t="s">
        <v>247</v>
      </c>
      <c r="C309">
        <v>605</v>
      </c>
      <c r="D309" t="s">
        <v>248</v>
      </c>
      <c r="E309" s="25">
        <v>0.39583333333333331</v>
      </c>
      <c r="F309" t="s">
        <v>251</v>
      </c>
      <c r="G309" s="25">
        <v>0.43402777777777779</v>
      </c>
      <c r="H309" t="s">
        <v>249</v>
      </c>
    </row>
    <row r="310" spans="1:9">
      <c r="A310">
        <v>3</v>
      </c>
      <c r="B310" t="s">
        <v>252</v>
      </c>
      <c r="C310">
        <v>743</v>
      </c>
      <c r="D310" t="s">
        <v>251</v>
      </c>
      <c r="E310" s="25">
        <v>0.52430555555555558</v>
      </c>
      <c r="F310" t="s">
        <v>253</v>
      </c>
      <c r="G310" s="25">
        <v>0.54513888888888884</v>
      </c>
      <c r="H310" t="s">
        <v>254</v>
      </c>
    </row>
    <row r="311" spans="1:9">
      <c r="A311">
        <v>4</v>
      </c>
      <c r="B311" t="s">
        <v>252</v>
      </c>
      <c r="C311">
        <v>744</v>
      </c>
      <c r="D311" t="s">
        <v>253</v>
      </c>
      <c r="E311" s="25">
        <v>0.56597222222222221</v>
      </c>
      <c r="F311" t="s">
        <v>251</v>
      </c>
      <c r="G311" s="25">
        <v>0.58680555555555558</v>
      </c>
      <c r="H311" t="s">
        <v>246</v>
      </c>
    </row>
    <row r="312" spans="1:9">
      <c r="A312">
        <v>5</v>
      </c>
      <c r="B312" t="s">
        <v>252</v>
      </c>
      <c r="C312">
        <v>834</v>
      </c>
      <c r="D312" t="s">
        <v>251</v>
      </c>
      <c r="E312" s="25">
        <v>0.61111111111111116</v>
      </c>
      <c r="F312" t="s">
        <v>255</v>
      </c>
      <c r="G312" s="25">
        <v>0.63194444444444442</v>
      </c>
      <c r="H312" t="s">
        <v>244</v>
      </c>
    </row>
    <row r="313" spans="1:9">
      <c r="A313">
        <v>6</v>
      </c>
      <c r="B313" t="s">
        <v>247</v>
      </c>
      <c r="C313">
        <v>564</v>
      </c>
      <c r="D313" t="s">
        <v>255</v>
      </c>
      <c r="E313" s="25">
        <v>0.69791666666666663</v>
      </c>
      <c r="F313" t="s">
        <v>248</v>
      </c>
      <c r="G313" s="25">
        <v>0.73611111111111116</v>
      </c>
      <c r="H313" t="s">
        <v>266</v>
      </c>
    </row>
    <row r="314" spans="1:9">
      <c r="A314">
        <v>7</v>
      </c>
      <c r="B314" t="s">
        <v>236</v>
      </c>
      <c r="C314">
        <v>920</v>
      </c>
      <c r="D314" t="s">
        <v>248</v>
      </c>
      <c r="E314" s="25">
        <v>0.80902777777777779</v>
      </c>
      <c r="F314" t="s">
        <v>237</v>
      </c>
      <c r="G314" s="25">
        <v>0.91666666666666663</v>
      </c>
      <c r="H314" t="s">
        <v>267</v>
      </c>
    </row>
    <row r="316" spans="1:9" ht="14.25">
      <c r="A316" s="48">
        <v>1</v>
      </c>
      <c r="B316" s="49" t="s">
        <v>236</v>
      </c>
      <c r="C316" s="49">
        <v>901</v>
      </c>
      <c r="D316" s="49" t="s">
        <v>288</v>
      </c>
      <c r="E316" s="50">
        <v>0.27083333333333331</v>
      </c>
      <c r="F316" s="49" t="s">
        <v>289</v>
      </c>
      <c r="G316" s="50">
        <v>0.375</v>
      </c>
      <c r="H316" s="51" t="s">
        <v>322</v>
      </c>
      <c r="I316" s="52"/>
    </row>
    <row r="317" spans="1:9" ht="14.25">
      <c r="A317" s="53">
        <v>2</v>
      </c>
      <c r="B317" s="54" t="s">
        <v>247</v>
      </c>
      <c r="C317" s="54">
        <v>605</v>
      </c>
      <c r="D317" s="54" t="s">
        <v>289</v>
      </c>
      <c r="E317" s="55">
        <v>0.39930555555555558</v>
      </c>
      <c r="F317" s="54" t="s">
        <v>251</v>
      </c>
      <c r="G317" s="55">
        <v>0.44097222222222221</v>
      </c>
      <c r="H317" s="54" t="s">
        <v>244</v>
      </c>
      <c r="I317" s="56"/>
    </row>
    <row r="318" spans="1:9" ht="14.25">
      <c r="A318" s="48">
        <v>3</v>
      </c>
      <c r="B318" s="49" t="s">
        <v>252</v>
      </c>
      <c r="C318" s="49">
        <v>743</v>
      </c>
      <c r="D318" s="49" t="s">
        <v>251</v>
      </c>
      <c r="E318" s="50">
        <v>0.52430555555555558</v>
      </c>
      <c r="F318" s="49" t="s">
        <v>253</v>
      </c>
      <c r="G318" s="50">
        <v>0.54513888888888884</v>
      </c>
      <c r="H318" s="49" t="s">
        <v>323</v>
      </c>
      <c r="I318" s="52"/>
    </row>
    <row r="319" spans="1:9" ht="14.25">
      <c r="A319" s="53">
        <v>4</v>
      </c>
      <c r="B319" s="54" t="s">
        <v>252</v>
      </c>
      <c r="C319" s="54">
        <v>744</v>
      </c>
      <c r="D319" s="54" t="s">
        <v>253</v>
      </c>
      <c r="E319" s="55">
        <v>0.56597222222222221</v>
      </c>
      <c r="F319" s="54" t="s">
        <v>251</v>
      </c>
      <c r="G319" s="55">
        <v>0.58680555555555558</v>
      </c>
      <c r="H319" s="54" t="s">
        <v>246</v>
      </c>
      <c r="I319" s="56"/>
    </row>
    <row r="320" spans="1:9" ht="14.25">
      <c r="A320" s="48">
        <v>5</v>
      </c>
      <c r="B320" s="49" t="s">
        <v>252</v>
      </c>
      <c r="C320" s="49">
        <v>834</v>
      </c>
      <c r="D320" s="49" t="s">
        <v>251</v>
      </c>
      <c r="E320" s="50">
        <v>0.61111111111111116</v>
      </c>
      <c r="F320" s="49" t="s">
        <v>255</v>
      </c>
      <c r="G320" s="50">
        <v>0.63194444444444442</v>
      </c>
      <c r="H320" s="49" t="s">
        <v>244</v>
      </c>
      <c r="I320" s="52"/>
    </row>
    <row r="321" spans="1:9" ht="14.25">
      <c r="A321" s="53">
        <v>6</v>
      </c>
      <c r="B321" s="54" t="s">
        <v>252</v>
      </c>
      <c r="C321" s="54">
        <v>897</v>
      </c>
      <c r="D321" s="54" t="s">
        <v>255</v>
      </c>
      <c r="E321" s="55">
        <v>0.65277777777777779</v>
      </c>
      <c r="F321" s="54" t="s">
        <v>256</v>
      </c>
      <c r="G321" s="55">
        <v>0.67013888888888884</v>
      </c>
      <c r="H321" s="54" t="s">
        <v>246</v>
      </c>
      <c r="I321" s="56"/>
    </row>
    <row r="322" spans="1:9" ht="14.25">
      <c r="A322" s="48">
        <v>7</v>
      </c>
      <c r="B322" s="49" t="s">
        <v>252</v>
      </c>
      <c r="C322" s="49">
        <v>898</v>
      </c>
      <c r="D322" s="49" t="s">
        <v>256</v>
      </c>
      <c r="E322" s="50">
        <v>0.69444444444444442</v>
      </c>
      <c r="F322" s="49" t="s">
        <v>255</v>
      </c>
      <c r="G322" s="50">
        <v>0.71180555555555558</v>
      </c>
      <c r="H322" s="49" t="s">
        <v>244</v>
      </c>
      <c r="I322" s="52"/>
    </row>
    <row r="323" spans="1:9" ht="14.25">
      <c r="A323" s="53">
        <v>8</v>
      </c>
      <c r="B323" s="54" t="s">
        <v>247</v>
      </c>
      <c r="C323" s="54">
        <v>572</v>
      </c>
      <c r="D323" s="54" t="s">
        <v>255</v>
      </c>
      <c r="E323" s="55">
        <v>0.74652777777777779</v>
      </c>
      <c r="F323" s="54" t="s">
        <v>289</v>
      </c>
      <c r="G323" s="55">
        <v>0.78472222222222221</v>
      </c>
      <c r="H323" s="54" t="s">
        <v>321</v>
      </c>
      <c r="I323" s="56"/>
    </row>
    <row r="324" spans="1:9" ht="14.25">
      <c r="A324" s="57">
        <v>9</v>
      </c>
      <c r="B324" s="58" t="s">
        <v>236</v>
      </c>
      <c r="C324" s="58">
        <v>920</v>
      </c>
      <c r="D324" s="58" t="s">
        <v>289</v>
      </c>
      <c r="E324" s="59">
        <v>0.8125</v>
      </c>
      <c r="F324" s="58" t="s">
        <v>288</v>
      </c>
      <c r="G324" s="59">
        <v>0.91666666666666663</v>
      </c>
      <c r="H324" s="58" t="s">
        <v>249</v>
      </c>
      <c r="I324" s="60"/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1F528D9-979E-2B4B-9288-F53981AFF4B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2024-03-06T05:46:18Z</dcterms:created>
  <dcterms:modified xsi:type="dcterms:W3CDTF">2026-02-27T11:55:52Z</dcterms:modified>
  <cp:category/>
  <cp:contentStatus/>
</cp:coreProperties>
</file>