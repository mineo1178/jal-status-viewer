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266" documentId="13_ncr:1_{118E22AB-A700-4546-AC50-A03A5FE8C08A}" xr6:coauthVersionLast="47" xr6:coauthVersionMax="47" xr10:uidLastSave="{4FECAF55-847F-4CE8-8716-9B1C23576122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1" i="5" l="1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<sst xmlns="http://schemas.openxmlformats.org/spreadsheetml/2006/main" count="3244" uniqueCount="415">
  <si>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</si>
  <si>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</si>
  <si>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</si>
  <si>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</si>
  <si>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</si>
  <si>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</si>
  <si>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</si>
  <si>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</si>
  <si>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</si>
  <si>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</si>
  <si>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</si>
  <si>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</si>
  <si>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</si>
  <si>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</si>
  <si>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</si>
  <si>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</si>
  <si>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</si>
  <si>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</si>
  <si>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</si>
  <si>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</si>
  <si>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</si>
  <si>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</si>
  <si>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</si>
  <si>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</si>
  <si>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</si>
  <si>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</si>
  <si>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</si>
  <si>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</si>
  <si>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</si>
  <si>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</si>
  <si>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</si>
  <si>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</si>
  <si>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</si>
  <si>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</si>
  <si>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</si>
  <si>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</si>
  <si>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</si>
  <si>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</si>
  <si>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</si>
  <si>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</si>
  <si>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</si>
  <si>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</si>
  <si>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</si>
  <si>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</si>
  <si>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</si>
  <si>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</si>
  <si>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</si>
  <si>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</si>
  <si>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</si>
  <si>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</si>
  <si>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</si>
  <si>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</si>
  <si>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</si>
  <si>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</si>
  <si>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</si>
  <si>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</si>
  <si>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</si>
  <si>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</si>
  <si>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</si>
  <si>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</si>
  <si>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</si>
  <si>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</si>
  <si>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</si>
  <si>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</si>
  <si>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</si>
  <si>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</si>
  <si>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</si>
  <si>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</si>
  <si>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</si>
  <si>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</si>
  <si>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</si>
  <si>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</si>
  <si>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</si>
  <si>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</si>
  <si>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</si>
  <si>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</si>
  <si>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</si>
  <si>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</si>
  <si>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</si>
  <si>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</si>
  <si>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</si>
  <si>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</si>
  <si>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</si>
  <si>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</si>
  <si>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</si>
  <si>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</si>
  <si>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</si>
  <si>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</si>
  <si>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</si>
  <si>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</si>
  <si>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</si>
  <si>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</si>
  <si>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</si>
  <si>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</si>
  <si>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</si>
  <si>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</si>
  <si>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</si>
  <si>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</si>
  <si>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</si>
  <si>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</si>
  <si>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</si>
  <si>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</si>
  <si>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</si>
  <si>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</si>
  <si>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</si>
  <si>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</si>
  <si>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</si>
  <si>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</si>
  <si>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</si>
  <si>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</si>
  <si>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</si>
  <si>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</si>
  <si>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</si>
  <si>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</si>
  <si>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</si>
  <si>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</si>
  <si>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</si>
  <si>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</si>
  <si>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</si>
  <si>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</si>
  <si>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</si>
  <si>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</si>
  <si>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</si>
  <si>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</si>
  <si>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</si>
  <si>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</si>
  <si>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</si>
  <si>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</si>
  <si>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</si>
  <si>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</si>
  <si>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</si>
  <si>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</si>
  <si>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</si>
  <si>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</si>
  <si>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</si>
  <si>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</si>
  <si>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</si>
  <si>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</si>
  <si>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</si>
  <si>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</si>
  <si>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</si>
  <si>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</si>
  <si>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</si>
  <si>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</si>
  <si>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</si>
  <si>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</si>
  <si>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</si>
  <si>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</si>
  <si>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</si>
  <si>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</si>
  <si>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</si>
  <si>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</si>
  <si>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</si>
  <si>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</si>
  <si>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</si>
  <si>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</si>
  <si>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</si>
  <si>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</si>
  <si>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</si>
  <si>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</si>
  <si>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</si>
  <si>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</si>
  <si>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</si>
  <si>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</si>
  <si>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</si>
  <si>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</si>
  <si>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</si>
  <si>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</si>
  <si>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</si>
  <si>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</si>
  <si>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</si>
  <si>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</si>
  <si>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</si>
  <si>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</si>
  <si>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</si>
  <si>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</si>
  <si>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</si>
  <si>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</si>
  <si>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</si>
  <si>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</si>
  <si>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</si>
  <si>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</si>
  <si>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</si>
  <si>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</si>
  <si>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</si>
  <si>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</si>
  <si>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</si>
  <si>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</si>
  <si>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</si>
  <si>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</si>
  <si>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</si>
  <si>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</si>
  <si>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</si>
  <si>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</si>
  <si>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</si>
  <si>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</si>
  <si>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</si>
  <si>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</si>
  <si>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</si>
  <si>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</si>
  <si>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</si>
  <si>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</si>
  <si>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</si>
  <si>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</si>
  <si>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</si>
  <si>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</si>
  <si>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</si>
  <si>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</si>
  <si>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</si>
  <si>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</si>
  <si>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</si>
  <si>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</si>
  <si>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</si>
  <si>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</si>
  <si>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</si>
  <si>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</si>
  <si>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</si>
  <si>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</si>
  <si>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</si>
  <si>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</si>
  <si>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</si>
  <si>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</si>
  <si>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</si>
  <si>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</si>
  <si>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</si>
  <si>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</si>
  <si>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</si>
  <si>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</si>
  <si>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</si>
  <si>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</si>
  <si>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</si>
  <si>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</si>
  <si>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</si>
  <si>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</si>
  <si>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</si>
  <si>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</si>
  <si>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</si>
  <si>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</si>
  <si>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</si>
  <si>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</si>
  <si>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</si>
  <si>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</si>
  <si>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</si>
  <si>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</si>
  <si>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</si>
  <si>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</si>
  <si>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</si>
  <si>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</si>
  <si>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</si>
  <si>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</si>
  <si>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</si>
  <si>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</si>
  <si>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</si>
  <si>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</si>
  <si>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</si>
  <si>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</si>
  <si>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</si>
  <si>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</si>
  <si>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</si>
  <si>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</si>
  <si>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</si>
  <si>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</si>
  <si>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</si>
  <si>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</si>
  <si>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</si>
  <si>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</si>
  <si>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</si>
  <si>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</si>
  <si>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</si>
  <si>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</si>
  <si>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</si>
  <si>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</si>
  <si>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</si>
  <si>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</si>
  <si>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</si>
  <si>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</si>
  <si>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</si>
  <si>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</si>
  <si>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</si>
  <si>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</si>
  <si>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</si>
  <si>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</si>
  <si>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JALモバイル利用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</si>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</sst>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1737</c:v>
                </c:pt>
                <c:pt idx="1">
                  <c:v>1737</c:v>
                </c:pt>
                <c:pt idx="2">
                  <c:v>1737</c:v>
                </c:pt>
                <c:pt idx="3">
                  <c:v>1737</c:v>
                </c:pt>
                <c:pt idx="4">
                  <c:v>1737</c:v>
                </c:pt>
                <c:pt idx="5">
                  <c:v>1737</c:v>
                </c:pt>
                <c:pt idx="6">
                  <c:v>1737</c:v>
                </c:pt>
                <c:pt idx="7">
                  <c:v>1737</c:v>
                </c:pt>
                <c:pt idx="8">
                  <c:v>1737</c:v>
                </c:pt>
                <c:pt idx="9">
                  <c:v>1737</c:v>
                </c:pt>
                <c:pt idx="10">
                  <c:v>1737</c:v>
                </c:pt>
                <c:pt idx="11">
                  <c:v>1737</c:v>
                </c:pt>
                <c:pt idx="12">
                  <c:v>1737</c:v>
                </c:pt>
                <c:pt idx="13">
                  <c:v>1737</c:v>
                </c:pt>
                <c:pt idx="14">
                  <c:v>1737</c:v>
                </c:pt>
                <c:pt idx="15">
                  <c:v>1737</c:v>
                </c:pt>
                <c:pt idx="16">
                  <c:v>1737</c:v>
                </c:pt>
                <c:pt idx="17">
                  <c:v>1737</c:v>
                </c:pt>
                <c:pt idx="18">
                  <c:v>1737</c:v>
                </c:pt>
                <c:pt idx="19">
                  <c:v>1737</c:v>
                </c:pt>
                <c:pt idx="20">
                  <c:v>1737</c:v>
                </c:pt>
                <c:pt idx="21">
                  <c:v>1737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165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47"/>
  <sheetViews>
    <sheetView workbookViewId="0">
      <pane xSplit="1" ySplit="3" topLeftCell="B822" activePane="bottomRight" state="frozen"/>
      <selection pane="bottomRight" activeCell="L809" sqref="L809:M84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</sheetData>
  <autoFilter ref="A1:O523" xr:uid="{2A57836D-5153-486D-8B76-48FAFDDE1EA1}"/>
  <mergeCells count="611"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H27" sqref="H2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1737</v>
      </c>
    </row>
    <row r="4" spans="2:10" ht="15">
      <c r="B4" s="44"/>
      <c r="C4" s="45"/>
      <c r="D4" s="45"/>
      <c r="E4" s="45"/>
      <c r="F4" s="45"/>
      <c r="G4" s="34">
        <f t="shared" si="0"/>
        <v>1737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1737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1737</v>
      </c>
      <c r="I6" t="s">
        <v>272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1737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1737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1737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1737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1737</v>
      </c>
      <c r="I11" s="31" t="s">
        <v>277</v>
      </c>
      <c r="J11">
        <f>SUM(J4:J10)</f>
        <v>1737</v>
      </c>
    </row>
    <row r="12" spans="2:10" ht="15">
      <c r="B12" s="44"/>
      <c r="C12" s="45"/>
      <c r="D12" s="45"/>
      <c r="E12" s="45"/>
      <c r="F12" s="45"/>
      <c r="G12" s="34">
        <f t="shared" si="0"/>
        <v>1737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1737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1737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1737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1737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1737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1737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1737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1737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1737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1737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1737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1737</v>
      </c>
      <c r="I24" s="31"/>
    </row>
    <row r="25" spans="2:9" ht="17.25">
      <c r="B25" s="44">
        <v>46268</v>
      </c>
      <c r="C25" s="45" t="s">
        <v>278</v>
      </c>
      <c r="D25" s="45" t="s">
        <v>270</v>
      </c>
      <c r="E25" s="45" t="s">
        <v>279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278</v>
      </c>
      <c r="D26" s="45" t="s">
        <v>270</v>
      </c>
      <c r="E26" s="45" t="s">
        <v>279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280</v>
      </c>
      <c r="D27" s="45" t="s">
        <v>275</v>
      </c>
      <c r="E27" s="45" t="s">
        <v>281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280</v>
      </c>
      <c r="D28" s="45" t="s">
        <v>275</v>
      </c>
      <c r="E28" s="45" t="s">
        <v>281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280</v>
      </c>
      <c r="D29" s="45" t="s">
        <v>273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280</v>
      </c>
      <c r="D30" s="45" t="s">
        <v>274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280</v>
      </c>
      <c r="D31" s="45" t="s">
        <v>272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278</v>
      </c>
      <c r="D32" s="45" t="s">
        <v>270</v>
      </c>
      <c r="E32" s="45" t="s">
        <v>279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280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280</v>
      </c>
      <c r="D34" s="45" t="s">
        <v>275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278</v>
      </c>
      <c r="D35" s="45" t="s">
        <v>270</v>
      </c>
      <c r="E35" s="45" t="s">
        <v>279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280</v>
      </c>
      <c r="D36" s="45" t="s">
        <v>275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278</v>
      </c>
      <c r="D37" s="45" t="s">
        <v>270</v>
      </c>
      <c r="E37" s="45" t="s">
        <v>279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280</v>
      </c>
      <c r="D38" s="45" t="s">
        <v>274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278</v>
      </c>
      <c r="D39" s="45" t="s">
        <v>270</v>
      </c>
      <c r="E39" s="45" t="s">
        <v>279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280</v>
      </c>
      <c r="D40" s="45" t="s">
        <v>272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278</v>
      </c>
      <c r="D41" s="45" t="s">
        <v>270</v>
      </c>
      <c r="E41" s="45" t="s">
        <v>279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280</v>
      </c>
      <c r="D42" s="45" t="s">
        <v>275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280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280</v>
      </c>
      <c r="D44" s="45" t="s">
        <v>274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278</v>
      </c>
      <c r="D45" s="45" t="s">
        <v>270</v>
      </c>
      <c r="E45" s="45" t="s">
        <v>279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280</v>
      </c>
      <c r="D46" s="45" t="s">
        <v>272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278</v>
      </c>
      <c r="D47" s="45" t="s">
        <v>270</v>
      </c>
      <c r="E47" s="45" t="s">
        <v>279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278</v>
      </c>
      <c r="D48" s="45" t="s">
        <v>270</v>
      </c>
      <c r="E48" s="45" t="s">
        <v>279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278</v>
      </c>
      <c r="D49" s="45" t="s">
        <v>270</v>
      </c>
      <c r="E49" s="45" t="s">
        <v>279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278</v>
      </c>
      <c r="D50" s="45" t="s">
        <v>270</v>
      </c>
      <c r="E50" s="45" t="s">
        <v>279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278</v>
      </c>
      <c r="D51" s="45" t="s">
        <v>270</v>
      </c>
      <c r="E51" s="45" t="s">
        <v>279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280</v>
      </c>
      <c r="D53" s="45" t="s">
        <v>275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280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280</v>
      </c>
      <c r="D55" s="45" t="s">
        <v>275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280</v>
      </c>
      <c r="D56" s="45" t="s">
        <v>274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278</v>
      </c>
      <c r="D57" s="45" t="s">
        <v>270</v>
      </c>
      <c r="E57" s="45" t="s">
        <v>279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280</v>
      </c>
      <c r="D58" s="45" t="s">
        <v>272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278</v>
      </c>
      <c r="D59" s="45" t="s">
        <v>270</v>
      </c>
      <c r="E59" s="45" t="s">
        <v>279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278</v>
      </c>
      <c r="D60" s="45" t="s">
        <v>270</v>
      </c>
      <c r="E60" s="45" t="s">
        <v>279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280</v>
      </c>
      <c r="D61" s="45" t="s">
        <v>275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280</v>
      </c>
      <c r="D62" s="45" t="s">
        <v>275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278</v>
      </c>
      <c r="D63" s="45" t="s">
        <v>270</v>
      </c>
      <c r="E63" s="45" t="s">
        <v>279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280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278</v>
      </c>
      <c r="D65" s="45" t="s">
        <v>270</v>
      </c>
      <c r="E65" s="45" t="s">
        <v>279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280</v>
      </c>
      <c r="D66" s="45" t="s">
        <v>274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278</v>
      </c>
      <c r="D67" s="45" t="s">
        <v>270</v>
      </c>
      <c r="E67" s="45" t="s">
        <v>279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278</v>
      </c>
      <c r="D68" s="45" t="s">
        <v>270</v>
      </c>
      <c r="E68" s="45" t="s">
        <v>279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280</v>
      </c>
      <c r="D69" s="45" t="s">
        <v>272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278</v>
      </c>
      <c r="D70" s="45" t="s">
        <v>270</v>
      </c>
      <c r="E70" s="45" t="s">
        <v>279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278</v>
      </c>
      <c r="D71" s="45" t="s">
        <v>270</v>
      </c>
      <c r="E71" s="45" t="s">
        <v>279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278</v>
      </c>
      <c r="D72" s="45" t="s">
        <v>270</v>
      </c>
      <c r="E72" s="45" t="s">
        <v>279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280</v>
      </c>
      <c r="D73" s="45" t="s">
        <v>275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278</v>
      </c>
      <c r="D75" s="45" t="s">
        <v>270</v>
      </c>
      <c r="E75" s="45" t="s">
        <v>279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278</v>
      </c>
      <c r="D76" s="45" t="s">
        <v>270</v>
      </c>
      <c r="E76" s="45" t="s">
        <v>279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280</v>
      </c>
      <c r="D78" s="45" t="s">
        <v>275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280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280</v>
      </c>
      <c r="D80" s="45" t="s">
        <v>274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278</v>
      </c>
      <c r="D81" s="45" t="s">
        <v>270</v>
      </c>
      <c r="E81" s="45" t="s">
        <v>279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280</v>
      </c>
      <c r="D82" s="45" t="s">
        <v>272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278</v>
      </c>
      <c r="D83" s="45" t="s">
        <v>270</v>
      </c>
      <c r="E83" s="45" t="s">
        <v>279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278</v>
      </c>
      <c r="D84" s="45" t="s">
        <v>270</v>
      </c>
      <c r="E84" s="45" t="s">
        <v>279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278</v>
      </c>
      <c r="D85" s="45" t="s">
        <v>270</v>
      </c>
      <c r="E85" s="45" t="s">
        <v>279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278</v>
      </c>
      <c r="D86" s="45" t="s">
        <v>270</v>
      </c>
      <c r="E86" s="45" t="s">
        <v>279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280</v>
      </c>
      <c r="D87" s="45" t="s">
        <v>275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280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280</v>
      </c>
      <c r="D89" s="45" t="s">
        <v>274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278</v>
      </c>
      <c r="D90" s="45" t="s">
        <v>270</v>
      </c>
      <c r="E90" s="45" t="s">
        <v>279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278</v>
      </c>
      <c r="D91" s="45" t="s">
        <v>270</v>
      </c>
      <c r="E91" s="45" t="s">
        <v>279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280</v>
      </c>
      <c r="D92" s="45" t="s">
        <v>272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278</v>
      </c>
      <c r="D93" s="45" t="s">
        <v>270</v>
      </c>
      <c r="E93" s="45" t="s">
        <v>279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278</v>
      </c>
      <c r="D94" s="45" t="s">
        <v>270</v>
      </c>
      <c r="E94" s="45" t="s">
        <v>279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278</v>
      </c>
      <c r="D95" s="45" t="s">
        <v>270</v>
      </c>
      <c r="E95" s="45" t="s">
        <v>279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278</v>
      </c>
      <c r="D96" s="45" t="s">
        <v>270</v>
      </c>
      <c r="E96" s="45" t="s">
        <v>279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278</v>
      </c>
      <c r="D97" s="45" t="s">
        <v>270</v>
      </c>
      <c r="E97" s="45" t="s">
        <v>279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278</v>
      </c>
      <c r="D98" s="45" t="s">
        <v>270</v>
      </c>
      <c r="E98" s="45" t="s">
        <v>279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278</v>
      </c>
      <c r="D99" s="45" t="s">
        <v>270</v>
      </c>
      <c r="E99" s="45" t="s">
        <v>279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278</v>
      </c>
      <c r="D101" s="45" t="s">
        <v>270</v>
      </c>
      <c r="E101" s="45" t="s">
        <v>279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278</v>
      </c>
      <c r="D102" s="45" t="s">
        <v>270</v>
      </c>
      <c r="E102" s="45" t="s">
        <v>279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278</v>
      </c>
      <c r="D103" s="45" t="s">
        <v>270</v>
      </c>
      <c r="E103" s="45" t="s">
        <v>279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278</v>
      </c>
      <c r="D104" s="45" t="s">
        <v>270</v>
      </c>
      <c r="E104" s="45" t="s">
        <v>279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280</v>
      </c>
      <c r="D105" s="45" t="s">
        <v>275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278</v>
      </c>
      <c r="D106" s="45" t="s">
        <v>270</v>
      </c>
      <c r="E106" s="45" t="s">
        <v>279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280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278</v>
      </c>
      <c r="D108" s="45" t="s">
        <v>270</v>
      </c>
      <c r="E108" s="45" t="s">
        <v>279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278</v>
      </c>
      <c r="D109" s="45" t="s">
        <v>270</v>
      </c>
      <c r="E109" s="45" t="s">
        <v>279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280</v>
      </c>
      <c r="D110" s="45" t="s">
        <v>274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278</v>
      </c>
      <c r="D111" s="45" t="s">
        <v>270</v>
      </c>
      <c r="E111" s="45" t="s">
        <v>279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278</v>
      </c>
      <c r="D112" s="45" t="s">
        <v>270</v>
      </c>
      <c r="E112" s="45" t="s">
        <v>279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280</v>
      </c>
      <c r="D113" s="45" t="s">
        <v>272</v>
      </c>
      <c r="E113" s="45" t="s">
        <v>284</v>
      </c>
      <c r="F113" s="45">
        <v>30</v>
      </c>
      <c r="G113" s="34">
        <f t="shared" si="0"/>
        <v>711</v>
      </c>
      <c r="J113">
        <f>SUM(J4:J11)</f>
        <v>3474</v>
      </c>
    </row>
    <row r="114" spans="2:10" ht="17.25">
      <c r="B114" s="44">
        <v>46033</v>
      </c>
      <c r="C114" s="45" t="s">
        <v>278</v>
      </c>
      <c r="D114" s="45" t="s">
        <v>270</v>
      </c>
      <c r="E114" s="45" t="s">
        <v>279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278</v>
      </c>
      <c r="D115" s="45" t="s">
        <v>270</v>
      </c>
      <c r="E115" s="45" t="s">
        <v>279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278</v>
      </c>
      <c r="D116" s="45" t="s">
        <v>270</v>
      </c>
      <c r="E116" s="45" t="s">
        <v>279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278</v>
      </c>
      <c r="D117" s="45" t="s">
        <v>270</v>
      </c>
      <c r="E117" s="45" t="s">
        <v>279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278</v>
      </c>
      <c r="D118" s="45" t="s">
        <v>270</v>
      </c>
      <c r="E118" s="45" t="s">
        <v>279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280</v>
      </c>
      <c r="D119" s="45" t="s">
        <v>275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278</v>
      </c>
      <c r="D120" s="45" t="s">
        <v>270</v>
      </c>
      <c r="E120" s="45" t="s">
        <v>279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278</v>
      </c>
      <c r="D121" s="45" t="s">
        <v>270</v>
      </c>
      <c r="E121" s="45" t="s">
        <v>279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280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280</v>
      </c>
      <c r="D123" s="45" t="s">
        <v>274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280</v>
      </c>
      <c r="D124" s="45" t="s">
        <v>272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278</v>
      </c>
      <c r="D125" s="45" t="s">
        <v>270</v>
      </c>
      <c r="E125" s="45" t="s">
        <v>279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278</v>
      </c>
      <c r="D126" s="45" t="s">
        <v>270</v>
      </c>
      <c r="E126" s="45" t="s">
        <v>279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278</v>
      </c>
      <c r="D127" s="45" t="s">
        <v>270</v>
      </c>
      <c r="E127" s="45" t="s">
        <v>279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278</v>
      </c>
      <c r="D128" s="45" t="s">
        <v>270</v>
      </c>
      <c r="E128" s="45" t="s">
        <v>279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278</v>
      </c>
      <c r="D129" s="45" t="s">
        <v>270</v>
      </c>
      <c r="E129" s="45" t="s">
        <v>279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278</v>
      </c>
      <c r="D131" s="45" t="s">
        <v>270</v>
      </c>
      <c r="E131" s="45" t="s">
        <v>279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278</v>
      </c>
      <c r="D132" s="45" t="s">
        <v>270</v>
      </c>
      <c r="E132" s="45" t="s">
        <v>279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278</v>
      </c>
      <c r="D133" s="45" t="s">
        <v>270</v>
      </c>
      <c r="E133" s="45" t="s">
        <v>279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278</v>
      </c>
      <c r="D134" s="45" t="s">
        <v>270</v>
      </c>
      <c r="E134" s="45" t="s">
        <v>279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280</v>
      </c>
      <c r="D135" s="45" t="s">
        <v>275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280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280</v>
      </c>
      <c r="D137" s="45" t="s">
        <v>274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280</v>
      </c>
      <c r="D138" s="45" t="s">
        <v>272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278</v>
      </c>
      <c r="D140" s="45" t="s">
        <v>270</v>
      </c>
      <c r="E140" s="45" t="s">
        <v>279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278</v>
      </c>
      <c r="D141" s="45" t="s">
        <v>270</v>
      </c>
      <c r="E141" s="45" t="s">
        <v>279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278</v>
      </c>
      <c r="D142" s="45" t="s">
        <v>270</v>
      </c>
      <c r="E142" s="45" t="s">
        <v>279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280</v>
      </c>
      <c r="D143" s="45" t="s">
        <v>275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278</v>
      </c>
      <c r="D144" s="45" t="s">
        <v>270</v>
      </c>
      <c r="E144" s="45" t="s">
        <v>279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280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280</v>
      </c>
      <c r="D146" s="45" t="s">
        <v>274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278</v>
      </c>
      <c r="D147" s="45" t="s">
        <v>270</v>
      </c>
      <c r="E147" s="45" t="s">
        <v>279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280</v>
      </c>
      <c r="D148" s="45" t="s">
        <v>272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278</v>
      </c>
      <c r="D149" s="45" t="s">
        <v>270</v>
      </c>
      <c r="E149" s="45" t="s">
        <v>279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278</v>
      </c>
      <c r="D150" s="45" t="s">
        <v>270</v>
      </c>
      <c r="E150" s="45" t="s">
        <v>279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278</v>
      </c>
      <c r="D151" s="45" t="s">
        <v>270</v>
      </c>
      <c r="E151" s="45" t="s">
        <v>279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278</v>
      </c>
      <c r="D152" s="45" t="s">
        <v>270</v>
      </c>
      <c r="E152" s="45" t="s">
        <v>279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278</v>
      </c>
      <c r="D153" s="45" t="s">
        <v>270</v>
      </c>
      <c r="E153" s="45" t="s">
        <v>279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278</v>
      </c>
      <c r="D154" s="45" t="s">
        <v>270</v>
      </c>
      <c r="E154" s="45" t="s">
        <v>279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278</v>
      </c>
      <c r="D155" s="45" t="s">
        <v>270</v>
      </c>
      <c r="E155" s="45" t="s">
        <v>279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278</v>
      </c>
      <c r="D156" s="45" t="s">
        <v>270</v>
      </c>
      <c r="E156" s="45" t="s">
        <v>279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278</v>
      </c>
      <c r="D157" s="45" t="s">
        <v>270</v>
      </c>
      <c r="E157" s="45" t="s">
        <v>279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280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280</v>
      </c>
      <c r="D159" s="45" t="s">
        <v>274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280</v>
      </c>
      <c r="D160" s="45" t="s">
        <v>272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278</v>
      </c>
      <c r="D161" s="45" t="s">
        <v>270</v>
      </c>
      <c r="E161" s="45" t="s">
        <v>279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278</v>
      </c>
      <c r="D162" s="45" t="s">
        <v>270</v>
      </c>
      <c r="E162" s="45" t="s">
        <v>279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278</v>
      </c>
      <c r="D163" s="45" t="s">
        <v>270</v>
      </c>
      <c r="E163" s="45" t="s">
        <v>279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278</v>
      </c>
      <c r="D164" s="45" t="s">
        <v>270</v>
      </c>
      <c r="E164" s="45" t="s">
        <v>279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280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280</v>
      </c>
      <c r="D166" s="45" t="s">
        <v>274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278</v>
      </c>
      <c r="D167" s="45" t="s">
        <v>270</v>
      </c>
      <c r="E167" s="45" t="s">
        <v>279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278</v>
      </c>
      <c r="D168" s="33" t="s">
        <v>270</v>
      </c>
      <c r="E168" s="33" t="s">
        <v>279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278</v>
      </c>
      <c r="D169" s="33" t="s">
        <v>270</v>
      </c>
      <c r="E169" s="33" t="s">
        <v>279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278</v>
      </c>
      <c r="D170" s="33" t="s">
        <v>270</v>
      </c>
      <c r="E170" s="33" t="s">
        <v>279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278</v>
      </c>
      <c r="D171" s="33" t="s">
        <v>270</v>
      </c>
      <c r="E171" s="33" t="s">
        <v>279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278</v>
      </c>
      <c r="D172" s="33" t="s">
        <v>270</v>
      </c>
      <c r="E172" s="33" t="s">
        <v>279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278</v>
      </c>
      <c r="D173" s="33" t="s">
        <v>270</v>
      </c>
      <c r="E173" s="33" t="s">
        <v>279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278</v>
      </c>
      <c r="D174" s="33" t="s">
        <v>270</v>
      </c>
      <c r="E174" s="33" t="s">
        <v>279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278</v>
      </c>
      <c r="D175" s="33" t="s">
        <v>270</v>
      </c>
      <c r="E175" s="33" t="s">
        <v>279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278</v>
      </c>
      <c r="D176" s="33" t="s">
        <v>270</v>
      </c>
      <c r="E176" s="33" t="s">
        <v>279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278</v>
      </c>
      <c r="D177" s="33" t="s">
        <v>270</v>
      </c>
      <c r="E177" s="33" t="s">
        <v>279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278</v>
      </c>
      <c r="D178" s="33" t="s">
        <v>270</v>
      </c>
      <c r="E178" s="33" t="s">
        <v>279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278</v>
      </c>
      <c r="D179" s="33" t="s">
        <v>270</v>
      </c>
      <c r="E179" s="33" t="s">
        <v>279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278</v>
      </c>
      <c r="D180" s="33" t="s">
        <v>270</v>
      </c>
      <c r="E180" s="33" t="s">
        <v>279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278</v>
      </c>
      <c r="D181" s="33" t="s">
        <v>270</v>
      </c>
      <c r="E181" s="33" t="s">
        <v>279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278</v>
      </c>
      <c r="D182" s="33" t="s">
        <v>270</v>
      </c>
      <c r="E182" s="33" t="s">
        <v>279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278</v>
      </c>
      <c r="D183" s="33" t="s">
        <v>270</v>
      </c>
      <c r="E183" s="33" t="s">
        <v>279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278</v>
      </c>
      <c r="D184" s="33" t="s">
        <v>270</v>
      </c>
      <c r="E184" s="33" t="s">
        <v>279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278</v>
      </c>
      <c r="D185" s="33" t="s">
        <v>270</v>
      </c>
      <c r="E185" s="33" t="s">
        <v>279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278</v>
      </c>
      <c r="D186" s="33" t="s">
        <v>270</v>
      </c>
      <c r="E186" s="33" t="s">
        <v>279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278</v>
      </c>
      <c r="D187" s="33" t="s">
        <v>270</v>
      </c>
      <c r="E187" s="33" t="s">
        <v>279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278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278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278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278</v>
      </c>
      <c r="D191" s="68" t="s">
        <v>270</v>
      </c>
      <c r="E191" s="68" t="s">
        <v>279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193" workbookViewId="0">
      <selection activeCell="K273" sqref="K27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 hidden="1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 hidden="1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 hidden="1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 hidden="1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 hidden="1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 hidden="1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 hidden="1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 hidden="1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 hidden="1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 hidden="1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 hidden="1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 hidden="1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 hidden="1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 hidden="1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 hidden="1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 hidden="1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 hidden="1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 hidden="1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 hidden="1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 hidden="1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 hidden="1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 hidden="1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 hidden="1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 hidden="1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 hidden="1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 hidden="1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 hidden="1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 hidden="1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 hidden="1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 hidden="1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 hidden="1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 hidden="1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 hidden="1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 hidden="1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 hidden="1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 hidden="1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 hidden="1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 hidden="1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 hidden="1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 hidden="1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 hidden="1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 hidden="1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 hidden="1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 hidden="1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 hidden="1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 hidden="1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 hidden="1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 hidden="1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 hidden="1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 hidden="1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 hidden="1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 hidden="1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 hidden="1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 hidden="1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 hidden="1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 hidden="1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 hidden="1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 hidden="1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 hidden="1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 hidden="1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 hidden="1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 hidden="1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 hidden="1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 hidden="1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 hidden="1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 hidden="1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 hidden="1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 hidden="1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 hidden="1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 hidden="1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 hidden="1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 hidden="1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 hidden="1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 hidden="1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 hidden="1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 hidden="1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 hidden="1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 hidden="1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 hidden="1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 hidden="1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 hidden="1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 hidden="1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 hidden="1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 hidden="1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 hidden="1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 hidden="1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 hidden="1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 hidden="1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 hidden="1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 hidden="1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 hidden="1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 hidden="1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 hidden="1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 hidden="1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 hidden="1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 hidden="1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 hidden="1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 hidden="1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 hidden="1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 hidden="1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 hidden="1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 hidden="1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 hidden="1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 hidden="1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 hidden="1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 hidden="1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 hidden="1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 hidden="1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 hidden="1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 hidden="1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 hidden="1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 hidden="1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 hidden="1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 hidden="1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 hidden="1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 hidden="1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 hidden="1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 hidden="1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 hidden="1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 hidden="1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 hidden="1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 hidden="1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 hidden="1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 hidden="1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 hidden="1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 hidden="1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 hidden="1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 hidden="1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 hidden="1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 hidden="1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 hidden="1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 hidden="1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 hidden="1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 hidden="1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 hidden="1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 hidden="1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 hidden="1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 hidden="1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 hidden="1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 hidden="1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 hidden="1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 hidden="1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 hidden="1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 hidden="1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 hidden="1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 hidden="1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 hidden="1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 hidden="1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 hidden="1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 hidden="1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 hidden="1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 hidden="1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 hidden="1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 hidden="1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 hidden="1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 hidden="1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 hidden="1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 hidden="1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 hidden="1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 hidden="1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 hidden="1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 hidden="1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 hidden="1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 hidden="1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 hidden="1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 hidden="1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 hidden="1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 hidden="1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 hidden="1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 hidden="1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 hidden="1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 hidden="1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 hidden="1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 hidden="1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 hidden="1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 hidden="1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 hidden="1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 hidden="1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 hidden="1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 hidden="1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 hidden="1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 hidden="1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 hidden="1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 hidden="1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 hidden="1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 hidden="1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 hidden="1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 hidden="1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 hidden="1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 hidden="1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 hidden="1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 hidden="1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 hidden="1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 hidden="1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 hidden="1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 hidden="1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 hidden="1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 hidden="1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 hidden="1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 hidden="1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 hidden="1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 hidden="1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 hidden="1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 hidden="1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 hidden="1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 hidden="1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 hidden="1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 hidden="1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 hidden="1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 hidden="1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 hidden="1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 hidden="1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 hidden="1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>
      <c r="A237" s="14">
        <v>252</v>
      </c>
      <c r="B237" s="42">
        <v>46281</v>
      </c>
      <c r="C237" s="12" t="s">
        <v>305</v>
      </c>
      <c r="D237" s="12" t="s">
        <v>389</v>
      </c>
      <c r="E237" s="12" t="s">
        <v>306</v>
      </c>
      <c r="F237" s="13">
        <v>0.4375</v>
      </c>
      <c r="G237" s="12" t="s">
        <v>341</v>
      </c>
      <c r="H237" s="13">
        <v>0.4826388888888889</v>
      </c>
      <c r="I237" s="26"/>
      <c r="J237" s="15" t="s">
        <v>370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305</v>
      </c>
      <c r="D238" s="12" t="s">
        <v>406</v>
      </c>
      <c r="E238" s="12" t="s">
        <v>341</v>
      </c>
      <c r="F238" s="13">
        <v>0.35069444444444442</v>
      </c>
      <c r="G238" s="12" t="s">
        <v>306</v>
      </c>
      <c r="H238" s="13">
        <v>0.39930555555555558</v>
      </c>
      <c r="I238" s="26"/>
      <c r="J238" s="15" t="s">
        <v>370</v>
      </c>
      <c r="K238" s="22">
        <v>0</v>
      </c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407</v>
      </c>
      <c r="K274" s="11">
        <f>SUM(テーブル4[料金])</f>
        <v>1363524</v>
      </c>
    </row>
    <row r="275" spans="10:11">
      <c r="J275" t="s">
        <v>408</v>
      </c>
      <c r="K275">
        <f>COUNTA(テーブル4[料金])*5</f>
        <v>1165</v>
      </c>
    </row>
    <row r="276" spans="10:11">
      <c r="J276" t="s">
        <v>5</v>
      </c>
      <c r="K276">
        <f>COUNTA(テーブル4[料金])</f>
        <v>233</v>
      </c>
    </row>
    <row r="277" spans="10:11">
      <c r="J277" t="s">
        <v>409</v>
      </c>
      <c r="K277" s="41">
        <f>K274/K275</f>
        <v>1170.4068669527896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410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411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412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413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414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412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2026-09-08T12:13:40Z</dcterms:modified>
  <cp:category/>
  <cp:contentStatus/>
</cp:coreProperties>
</file>