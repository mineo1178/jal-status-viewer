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83EAEC79-9122-4C19-8D3D-B1B36D6C31F0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6" i="5" l="1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L348" i="5" s="1"/>
  <c r="L349" i="5" s="1"/>
  <c r="L350" i="5" s="1"/>
  <c r="L351" i="5" s="1"/>
  <c r="L352" i="5" s="1"/>
  <c r="L353" i="5" s="1"/>
  <c r="L354" i="5" s="1"/>
  <c r="L355" i="5" s="1"/>
  <c r="M347" i="5"/>
  <c r="M348" i="5" s="1"/>
  <c r="M349" i="5" s="1"/>
  <c r="M350" i="5" s="1"/>
  <c r="M351" i="5" s="1"/>
  <c r="M352" i="5" s="1"/>
  <c r="M353" i="5" s="1"/>
  <c r="M354" i="5" s="1"/>
  <c r="M355" i="5" s="1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G43" i="8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K148" i="6"/>
  <c r="K71" i="6"/>
  <c r="J11" i="8"/>
  <c r="J28" i="8"/>
  <c r="G106" i="8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65" i="8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" i="8" l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<sst xmlns="http://schemas.openxmlformats.org/spreadsheetml/2006/main" count="1790" uniqueCount="266">
  <si>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</si>
  <si>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</si>
  <si>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</si>
  <si>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</si>
  <si>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</si>
  <si>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</si>
  <si>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</si>
  <si>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</si>
  <si>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</si>
  <si>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</si>
  <si>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</si>
  <si>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</si>
  <si>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</si>
  <si>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</si>
  <si>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</si>
  <si>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</si>
  <si>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</si>
  <si>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</si>
  <si>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</si>
  <si>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</si>
  <si>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</si>
  <si>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</si>
  <si>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</si>
  <si>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</si>
  <si>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</si>
  <si>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</si>
  <si>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</si>
  <si>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</si>
  <si>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</si>
  <si>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</si>
  <si>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</si>
  <si>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</si>
  <si>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</si>
  <si>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</si>
  <si>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</si>
  <si>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</si>
  <si>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</si>
  <si>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</si>
  <si>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</si>
  <si>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</si>
  <si>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</si>
  <si>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</si>
  <si>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</si>
  <si>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</si>
  <si>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</si>
  <si>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</si>
  <si>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</si>
  <si>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</si>
  <si>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</si>
  <si>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</si>
  <si>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</si>
  <si>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</si>
  <si>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</si>
  <si>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</si>
  <si>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</si>
  <si>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</si>
  <si>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</si>
  <si>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</si>
  <si>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</si>
  <si>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</si>
  <si>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</si>
  <si>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</si>
  <si>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</si>
  <si>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</si>
  <si>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</si>
  <si>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</si>
  <si>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</si>
  <si>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</si>
  <si>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</si>
  <si>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</si>
  <si>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</si>
  <si>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</si>
  <si>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</si>
  <si>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</si>
  <si>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</si>
  <si>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</si>
  <si>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</si>
  <si>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</si>
  <si>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</si>
  <si>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</si>
  <si>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</si>
  <si>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</si>
  <si>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</si>
  <si>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</si>
  <si>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</si>
  <si>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</si>
  <si>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</si>
  <si>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</si>
  <si>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</si>
  <si>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</si>
  <si>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</si>
  <si>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</si>
  <si>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</si>
  <si>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</si>
  <si>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</si>
  <si>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</si>
  <si>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</si>
  <si>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</si>
  <si>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</si>
  <si>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</si>
  <si>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</si>
  <si>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</si>
  <si>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</si>
  <si>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</si>
  <si>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</si>
  <si>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</si>
  <si>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</si>
  <si>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</si>
  <si>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</si>
  <si>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</si>
  <si>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</si>
  <si>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</si>
  <si>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</si>
  <si>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</si>
  <si>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</si>
  <si>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</si>
  <si>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</si>
  <si>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</si>
  <si>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</si>
  <si>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</si>
  <si>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</si>
  <si>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</si>
  <si>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</si>
  <si>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</si>
  <si>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</si>
  <si>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</si>
  <si>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</si>
  <si>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</si>
  <si>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</si>
  <si>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</si>
  <si>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</si>
  <si>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</si>
  <si>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</si>
  <si>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</si>
  <si>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</si>
  <si>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</si>
  <si>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</si>
  <si>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</si>
  <si>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</si>
  <si>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</si>
  <si>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</si>
  <si>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</si>
  <si>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</si>
  <si>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</si>
  <si>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</si>
  <si>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</si>
  <si>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</si>
  <si>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</si>
  <si>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</si>
  <si>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</si>
  <si>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</si>
  <si>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</si>
  <si>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</si>
  <si>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</si>
  <si>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</si>
  <si>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</si>
  <si>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</si>
  <si>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</si>
  <si>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</si>
  <si>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</si>
  <si>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</si>
  <si>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</si>
  <si>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</si>
  <si>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</si>
  <si>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</si>
  <si>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</si>
  <si>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</si>
  <si>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</si>
  <si>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</si>
  <si>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</si>
  <si>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</si>
  <si>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 Wellness &amp; Travel利用</t>
  </si>
  <si>
    <t>JALカード利用</t>
  </si>
  <si>
    <t>JALマイレージパーク利用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</si>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</sst>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67624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4360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LSP管理!$B$3:$B$108</c:f>
              <c:numCache>
                <c:formatCode>m/d/yyyy</c:formatCode>
                <c:ptCount val="106"/>
                <c:pt idx="21">
                  <c:v>46039</c:v>
                </c:pt>
                <c:pt idx="22">
                  <c:v>46037</c:v>
                </c:pt>
                <c:pt idx="23">
                  <c:v>46035</c:v>
                </c:pt>
                <c:pt idx="24">
                  <c:v>46034</c:v>
                </c:pt>
                <c:pt idx="25">
                  <c:v>46033</c:v>
                </c:pt>
                <c:pt idx="26">
                  <c:v>46033</c:v>
                </c:pt>
                <c:pt idx="27">
                  <c:v>46032</c:v>
                </c:pt>
                <c:pt idx="28">
                  <c:v>46030</c:v>
                </c:pt>
                <c:pt idx="29">
                  <c:v>46016</c:v>
                </c:pt>
                <c:pt idx="30">
                  <c:v>46014</c:v>
                </c:pt>
                <c:pt idx="31">
                  <c:v>46012</c:v>
                </c:pt>
                <c:pt idx="32">
                  <c:v>46012</c:v>
                </c:pt>
                <c:pt idx="33">
                  <c:v>46011</c:v>
                </c:pt>
                <c:pt idx="34">
                  <c:v>46008</c:v>
                </c:pt>
                <c:pt idx="35">
                  <c:v>46006</c:v>
                </c:pt>
                <c:pt idx="36">
                  <c:v>46002</c:v>
                </c:pt>
                <c:pt idx="37">
                  <c:v>45996</c:v>
                </c:pt>
                <c:pt idx="38">
                  <c:v>45995</c:v>
                </c:pt>
                <c:pt idx="39">
                  <c:v>45994</c:v>
                </c:pt>
                <c:pt idx="40">
                  <c:v>45990</c:v>
                </c:pt>
                <c:pt idx="41">
                  <c:v>45989</c:v>
                </c:pt>
                <c:pt idx="42">
                  <c:v>45988</c:v>
                </c:pt>
                <c:pt idx="43">
                  <c:v>45988</c:v>
                </c:pt>
                <c:pt idx="44">
                  <c:v>45987</c:v>
                </c:pt>
                <c:pt idx="45">
                  <c:v>45985</c:v>
                </c:pt>
                <c:pt idx="46">
                  <c:v>45983</c:v>
                </c:pt>
                <c:pt idx="47">
                  <c:v>45982</c:v>
                </c:pt>
                <c:pt idx="48">
                  <c:v>45978</c:v>
                </c:pt>
                <c:pt idx="49">
                  <c:v>45976</c:v>
                </c:pt>
                <c:pt idx="50">
                  <c:v>45972</c:v>
                </c:pt>
                <c:pt idx="51">
                  <c:v>45960</c:v>
                </c:pt>
                <c:pt idx="52">
                  <c:v>45956</c:v>
                </c:pt>
                <c:pt idx="53">
                  <c:v>45955</c:v>
                </c:pt>
                <c:pt idx="54">
                  <c:v>45953</c:v>
                </c:pt>
                <c:pt idx="55">
                  <c:v>45952</c:v>
                </c:pt>
                <c:pt idx="56">
                  <c:v>45951</c:v>
                </c:pt>
                <c:pt idx="57">
                  <c:v>45947</c:v>
                </c:pt>
                <c:pt idx="58">
                  <c:v>45945</c:v>
                </c:pt>
                <c:pt idx="59">
                  <c:v>45943</c:v>
                </c:pt>
                <c:pt idx="60">
                  <c:v>45941</c:v>
                </c:pt>
                <c:pt idx="61">
                  <c:v>45941</c:v>
                </c:pt>
                <c:pt idx="62">
                  <c:v>45937</c:v>
                </c:pt>
                <c:pt idx="63">
                  <c:v>45936</c:v>
                </c:pt>
                <c:pt idx="64">
                  <c:v>45934</c:v>
                </c:pt>
                <c:pt idx="65">
                  <c:v>45930</c:v>
                </c:pt>
                <c:pt idx="66">
                  <c:v>45929</c:v>
                </c:pt>
                <c:pt idx="67">
                  <c:v>45928</c:v>
                </c:pt>
                <c:pt idx="68">
                  <c:v>45919</c:v>
                </c:pt>
                <c:pt idx="69">
                  <c:v>45917</c:v>
                </c:pt>
                <c:pt idx="70">
                  <c:v>45916</c:v>
                </c:pt>
                <c:pt idx="71">
                  <c:v>45915</c:v>
                </c:pt>
                <c:pt idx="72">
                  <c:v>45911</c:v>
                </c:pt>
                <c:pt idx="73">
                  <c:v>45905</c:v>
                </c:pt>
                <c:pt idx="74">
                  <c:v>45903</c:v>
                </c:pt>
                <c:pt idx="75">
                  <c:v>45893</c:v>
                </c:pt>
                <c:pt idx="76">
                  <c:v>45892</c:v>
                </c:pt>
                <c:pt idx="77">
                  <c:v>45888</c:v>
                </c:pt>
                <c:pt idx="78">
                  <c:v>45884</c:v>
                </c:pt>
                <c:pt idx="79">
                  <c:v>45877</c:v>
                </c:pt>
                <c:pt idx="80">
                  <c:v>45874</c:v>
                </c:pt>
                <c:pt idx="81">
                  <c:v>45873</c:v>
                </c:pt>
                <c:pt idx="82">
                  <c:v>45867</c:v>
                </c:pt>
                <c:pt idx="83">
                  <c:v>45862</c:v>
                </c:pt>
                <c:pt idx="84">
                  <c:v>45838</c:v>
                </c:pt>
                <c:pt idx="85">
                  <c:v>45836</c:v>
                </c:pt>
                <c:pt idx="86">
                  <c:v>45789</c:v>
                </c:pt>
                <c:pt idx="87">
                  <c:v>45786</c:v>
                </c:pt>
                <c:pt idx="88">
                  <c:v>45729</c:v>
                </c:pt>
                <c:pt idx="89">
                  <c:v>45684</c:v>
                </c:pt>
                <c:pt idx="90">
                  <c:v>45682</c:v>
                </c:pt>
                <c:pt idx="91">
                  <c:v>45652</c:v>
                </c:pt>
                <c:pt idx="92">
                  <c:v>45649</c:v>
                </c:pt>
                <c:pt idx="93">
                  <c:v>45648</c:v>
                </c:pt>
                <c:pt idx="94">
                  <c:v>45614</c:v>
                </c:pt>
                <c:pt idx="95">
                  <c:v>45613</c:v>
                </c:pt>
                <c:pt idx="96">
                  <c:v>45592</c:v>
                </c:pt>
                <c:pt idx="97">
                  <c:v>45591</c:v>
                </c:pt>
                <c:pt idx="98">
                  <c:v>45514</c:v>
                </c:pt>
                <c:pt idx="99">
                  <c:v>45513</c:v>
                </c:pt>
                <c:pt idx="100">
                  <c:v>45335</c:v>
                </c:pt>
                <c:pt idx="101">
                  <c:v>45334</c:v>
                </c:pt>
                <c:pt idx="102">
                  <c:v>45291</c:v>
                </c:pt>
                <c:pt idx="103">
                  <c:v>45291</c:v>
                </c:pt>
              </c:numCache>
            </c:numRef>
          </c:cat>
          <c:val>
            <c:numRef>
              <c:f>LSP管理!$G$3:$G$108</c:f>
              <c:numCache>
                <c:formatCode>General</c:formatCode>
                <c:ptCount val="106"/>
                <c:pt idx="0">
                  <c:v>777</c:v>
                </c:pt>
                <c:pt idx="1">
                  <c:v>777</c:v>
                </c:pt>
                <c:pt idx="2">
                  <c:v>777</c:v>
                </c:pt>
                <c:pt idx="3">
                  <c:v>777</c:v>
                </c:pt>
                <c:pt idx="4">
                  <c:v>777</c:v>
                </c:pt>
                <c:pt idx="5">
                  <c:v>777</c:v>
                </c:pt>
                <c:pt idx="6">
                  <c:v>777</c:v>
                </c:pt>
                <c:pt idx="7">
                  <c:v>777</c:v>
                </c:pt>
                <c:pt idx="8">
                  <c:v>777</c:v>
                </c:pt>
                <c:pt idx="9">
                  <c:v>777</c:v>
                </c:pt>
                <c:pt idx="10">
                  <c:v>777</c:v>
                </c:pt>
                <c:pt idx="11">
                  <c:v>777</c:v>
                </c:pt>
                <c:pt idx="12">
                  <c:v>777</c:v>
                </c:pt>
                <c:pt idx="13">
                  <c:v>777</c:v>
                </c:pt>
                <c:pt idx="14">
                  <c:v>777</c:v>
                </c:pt>
                <c:pt idx="15">
                  <c:v>777</c:v>
                </c:pt>
                <c:pt idx="16">
                  <c:v>777</c:v>
                </c:pt>
                <c:pt idx="17">
                  <c:v>777</c:v>
                </c:pt>
                <c:pt idx="18">
                  <c:v>777</c:v>
                </c:pt>
                <c:pt idx="19">
                  <c:v>777</c:v>
                </c:pt>
                <c:pt idx="20">
                  <c:v>777</c:v>
                </c:pt>
                <c:pt idx="21">
                  <c:v>777</c:v>
                </c:pt>
                <c:pt idx="22">
                  <c:v>772</c:v>
                </c:pt>
                <c:pt idx="23">
                  <c:v>771</c:v>
                </c:pt>
                <c:pt idx="24">
                  <c:v>731</c:v>
                </c:pt>
                <c:pt idx="25">
                  <c:v>711</c:v>
                </c:pt>
                <c:pt idx="26">
                  <c:v>681</c:v>
                </c:pt>
                <c:pt idx="27">
                  <c:v>641</c:v>
                </c:pt>
                <c:pt idx="28">
                  <c:v>631</c:v>
                </c:pt>
                <c:pt idx="29">
                  <c:v>626</c:v>
                </c:pt>
                <c:pt idx="30">
                  <c:v>621</c:v>
                </c:pt>
                <c:pt idx="31">
                  <c:v>616</c:v>
                </c:pt>
                <c:pt idx="32">
                  <c:v>615</c:v>
                </c:pt>
                <c:pt idx="33">
                  <c:v>610</c:v>
                </c:pt>
                <c:pt idx="34">
                  <c:v>605</c:v>
                </c:pt>
                <c:pt idx="35">
                  <c:v>604</c:v>
                </c:pt>
                <c:pt idx="36">
                  <c:v>603</c:v>
                </c:pt>
                <c:pt idx="37">
                  <c:v>593</c:v>
                </c:pt>
                <c:pt idx="38">
                  <c:v>548</c:v>
                </c:pt>
                <c:pt idx="39">
                  <c:v>543</c:v>
                </c:pt>
                <c:pt idx="40">
                  <c:v>538</c:v>
                </c:pt>
                <c:pt idx="41">
                  <c:v>533</c:v>
                </c:pt>
                <c:pt idx="42">
                  <c:v>528</c:v>
                </c:pt>
                <c:pt idx="43">
                  <c:v>510</c:v>
                </c:pt>
                <c:pt idx="44">
                  <c:v>505</c:v>
                </c:pt>
                <c:pt idx="45">
                  <c:v>500</c:v>
                </c:pt>
                <c:pt idx="46">
                  <c:v>495</c:v>
                </c:pt>
                <c:pt idx="47">
                  <c:v>490</c:v>
                </c:pt>
                <c:pt idx="48">
                  <c:v>489</c:v>
                </c:pt>
                <c:pt idx="49">
                  <c:v>488</c:v>
                </c:pt>
                <c:pt idx="50">
                  <c:v>487</c:v>
                </c:pt>
                <c:pt idx="51">
                  <c:v>467</c:v>
                </c:pt>
                <c:pt idx="52">
                  <c:v>457</c:v>
                </c:pt>
                <c:pt idx="53">
                  <c:v>452</c:v>
                </c:pt>
                <c:pt idx="54">
                  <c:v>447</c:v>
                </c:pt>
                <c:pt idx="55">
                  <c:v>442</c:v>
                </c:pt>
                <c:pt idx="56">
                  <c:v>441</c:v>
                </c:pt>
                <c:pt idx="57">
                  <c:v>431</c:v>
                </c:pt>
                <c:pt idx="58">
                  <c:v>430</c:v>
                </c:pt>
                <c:pt idx="59">
                  <c:v>429</c:v>
                </c:pt>
                <c:pt idx="60">
                  <c:v>424</c:v>
                </c:pt>
                <c:pt idx="61">
                  <c:v>409</c:v>
                </c:pt>
                <c:pt idx="62">
                  <c:v>404</c:v>
                </c:pt>
                <c:pt idx="63">
                  <c:v>369</c:v>
                </c:pt>
                <c:pt idx="64">
                  <c:v>364</c:v>
                </c:pt>
                <c:pt idx="65">
                  <c:v>359</c:v>
                </c:pt>
                <c:pt idx="66">
                  <c:v>314</c:v>
                </c:pt>
                <c:pt idx="67">
                  <c:v>269</c:v>
                </c:pt>
                <c:pt idx="68">
                  <c:v>234</c:v>
                </c:pt>
                <c:pt idx="69">
                  <c:v>229</c:v>
                </c:pt>
                <c:pt idx="70">
                  <c:v>224</c:v>
                </c:pt>
                <c:pt idx="71">
                  <c:v>223</c:v>
                </c:pt>
                <c:pt idx="72">
                  <c:v>222</c:v>
                </c:pt>
                <c:pt idx="73">
                  <c:v>217</c:v>
                </c:pt>
                <c:pt idx="74">
                  <c:v>212</c:v>
                </c:pt>
                <c:pt idx="75">
                  <c:v>207</c:v>
                </c:pt>
                <c:pt idx="76">
                  <c:v>202</c:v>
                </c:pt>
                <c:pt idx="77">
                  <c:v>197</c:v>
                </c:pt>
                <c:pt idx="78">
                  <c:v>196</c:v>
                </c:pt>
                <c:pt idx="79">
                  <c:v>195</c:v>
                </c:pt>
                <c:pt idx="80">
                  <c:v>185</c:v>
                </c:pt>
                <c:pt idx="81">
                  <c:v>180</c:v>
                </c:pt>
                <c:pt idx="82">
                  <c:v>175</c:v>
                </c:pt>
                <c:pt idx="83">
                  <c:v>170</c:v>
                </c:pt>
                <c:pt idx="84">
                  <c:v>165</c:v>
                </c:pt>
                <c:pt idx="85">
                  <c:v>160</c:v>
                </c:pt>
                <c:pt idx="86">
                  <c:v>155</c:v>
                </c:pt>
                <c:pt idx="87">
                  <c:v>150</c:v>
                </c:pt>
                <c:pt idx="88">
                  <c:v>145</c:v>
                </c:pt>
                <c:pt idx="89">
                  <c:v>135</c:v>
                </c:pt>
                <c:pt idx="90">
                  <c:v>130</c:v>
                </c:pt>
                <c:pt idx="91">
                  <c:v>125</c:v>
                </c:pt>
                <c:pt idx="92">
                  <c:v>120</c:v>
                </c:pt>
                <c:pt idx="93">
                  <c:v>115</c:v>
                </c:pt>
                <c:pt idx="94">
                  <c:v>110</c:v>
                </c:pt>
                <c:pt idx="95">
                  <c:v>105</c:v>
                </c:pt>
                <c:pt idx="96">
                  <c:v>100</c:v>
                </c:pt>
                <c:pt idx="97">
                  <c:v>95</c:v>
                </c:pt>
                <c:pt idx="98">
                  <c:v>90</c:v>
                </c:pt>
                <c:pt idx="99">
                  <c:v>85</c:v>
                </c:pt>
                <c:pt idx="100">
                  <c:v>80</c:v>
                </c:pt>
                <c:pt idx="101">
                  <c:v>60</c:v>
                </c:pt>
                <c:pt idx="102">
                  <c:v>40</c:v>
                </c:pt>
                <c:pt idx="10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585</c:v>
                </c:pt>
                <c:pt idx="1">
                  <c:v>70</c:v>
                </c:pt>
                <c:pt idx="2">
                  <c:v>80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47</xdr:row>
      <xdr:rowOff>114300</xdr:rowOff>
    </xdr:from>
    <xdr:to>
      <xdr:col>39</xdr:col>
      <xdr:colOff>323850</xdr:colOff>
      <xdr:row>81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47</xdr:row>
      <xdr:rowOff>85725</xdr:rowOff>
    </xdr:from>
    <xdr:to>
      <xdr:col>20</xdr:col>
      <xdr:colOff>238125</xdr:colOff>
      <xdr:row>82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20</xdr:row>
      <xdr:rowOff>133350</xdr:rowOff>
    </xdr:from>
    <xdr:to>
      <xdr:col>14</xdr:col>
      <xdr:colOff>209550</xdr:colOff>
      <xdr:row>36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">
      <filters blank="1">
        <dateGroupItem year="2026" month="3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drawing" Target="../drawings/drawing1.xm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66"/>
  <sheetViews>
    <sheetView tabSelected="1" workbookViewId="0">
      <pane xSplit="1" ySplit="3" topLeftCell="B348" activePane="bottomRight" state="frozen"/>
      <selection pane="bottomRight" activeCell="L354" sqref="L354:M36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67624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32672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4360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31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83687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65587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66441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49</v>
      </c>
      <c r="C331" s="75"/>
      <c r="D331" s="75"/>
      <c r="E331" s="76"/>
      <c r="F331" s="73">
        <v>0</v>
      </c>
      <c r="G331" s="73">
        <v>2</v>
      </c>
      <c r="H331" s="73">
        <v>2</v>
      </c>
      <c r="I331" s="4">
        <v>66443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46030</v>
      </c>
      <c r="B332" s="75" t="s">
        <v>33</v>
      </c>
      <c r="C332" s="75"/>
      <c r="D332" s="75"/>
      <c r="E332" s="76"/>
      <c r="F332" s="73">
        <v>0</v>
      </c>
      <c r="G332" s="73">
        <v>11</v>
      </c>
      <c r="H332" s="73">
        <v>11</v>
      </c>
      <c r="I332" s="4">
        <v>66454</v>
      </c>
      <c r="J332" s="73">
        <v>0</v>
      </c>
      <c r="K332" s="73">
        <v>0</v>
      </c>
      <c r="L332" s="73">
        <f t="shared" si="32"/>
        <v>82410</v>
      </c>
      <c r="M332" s="73">
        <f t="shared" si="33"/>
        <v>72</v>
      </c>
    </row>
    <row r="333" spans="1:13">
      <c r="A333" s="28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66708</v>
      </c>
      <c r="J333" s="73">
        <v>248</v>
      </c>
      <c r="K333" s="73">
        <v>1</v>
      </c>
      <c r="L333" s="73">
        <f t="shared" si="32"/>
        <v>82658</v>
      </c>
      <c r="M333" s="73">
        <f t="shared" si="33"/>
        <v>73</v>
      </c>
    </row>
    <row r="334" spans="1:13">
      <c r="A334" s="28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3">
        <v>124</v>
      </c>
      <c r="G334" s="29">
        <v>130</v>
      </c>
      <c r="H334" s="73">
        <v>254</v>
      </c>
      <c r="I334" s="4">
        <v>66962</v>
      </c>
      <c r="J334" s="73">
        <v>248</v>
      </c>
      <c r="K334" s="73">
        <v>1</v>
      </c>
      <c r="L334" s="73">
        <f t="shared" si="32"/>
        <v>82906</v>
      </c>
      <c r="M334" s="73">
        <f t="shared" si="33"/>
        <v>74</v>
      </c>
    </row>
    <row r="335" spans="1:13">
      <c r="A335" s="28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3">
        <v>133</v>
      </c>
      <c r="G335" s="29">
        <v>190</v>
      </c>
      <c r="H335" s="73">
        <v>323</v>
      </c>
      <c r="I335" s="4">
        <v>67285</v>
      </c>
      <c r="J335" s="73">
        <v>466</v>
      </c>
      <c r="K335" s="73">
        <v>1</v>
      </c>
      <c r="L335" s="73">
        <f t="shared" si="32"/>
        <v>83372</v>
      </c>
      <c r="M335" s="73">
        <f t="shared" si="33"/>
        <v>75</v>
      </c>
    </row>
    <row r="336" spans="1:13">
      <c r="A336" s="28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3">
        <v>89</v>
      </c>
      <c r="G336" s="29">
        <v>93</v>
      </c>
      <c r="H336" s="73">
        <v>182</v>
      </c>
      <c r="I336" s="4">
        <v>67467</v>
      </c>
      <c r="J336" s="73">
        <v>178</v>
      </c>
      <c r="K336" s="73">
        <v>1</v>
      </c>
      <c r="L336" s="73">
        <f t="shared" si="32"/>
        <v>83550</v>
      </c>
      <c r="M336" s="73">
        <f t="shared" si="33"/>
        <v>76</v>
      </c>
    </row>
    <row r="337" spans="1:13">
      <c r="A337" s="28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67529</v>
      </c>
      <c r="J337" s="73">
        <v>60</v>
      </c>
      <c r="K337" s="73">
        <v>1</v>
      </c>
      <c r="L337" s="73">
        <f t="shared" si="32"/>
        <v>83610</v>
      </c>
      <c r="M337" s="73">
        <f t="shared" si="33"/>
        <v>77</v>
      </c>
    </row>
    <row r="338" spans="1:13">
      <c r="A338" s="28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3">
        <v>30</v>
      </c>
      <c r="G338" s="29">
        <v>32</v>
      </c>
      <c r="H338" s="73">
        <v>62</v>
      </c>
      <c r="I338" s="4">
        <v>67591</v>
      </c>
      <c r="J338" s="73">
        <v>60</v>
      </c>
      <c r="K338" s="73">
        <v>1</v>
      </c>
      <c r="L338" s="73">
        <f t="shared" si="32"/>
        <v>83670</v>
      </c>
      <c r="M338" s="73">
        <f t="shared" si="33"/>
        <v>78</v>
      </c>
    </row>
    <row r="339" spans="1:13">
      <c r="A339" s="28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3">
        <v>269</v>
      </c>
      <c r="G339" s="29">
        <v>282</v>
      </c>
      <c r="H339" s="73">
        <v>551</v>
      </c>
      <c r="I339" s="4">
        <v>68142</v>
      </c>
      <c r="J339" s="73">
        <v>538</v>
      </c>
      <c r="K339" s="73">
        <v>1</v>
      </c>
      <c r="L339" s="73">
        <f t="shared" si="32"/>
        <v>84208</v>
      </c>
      <c r="M339" s="73">
        <f t="shared" si="33"/>
        <v>79</v>
      </c>
    </row>
    <row r="340" spans="1:13">
      <c r="A340" s="28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3">
        <v>403</v>
      </c>
      <c r="G340" s="29">
        <v>826</v>
      </c>
      <c r="H340" s="4">
        <v>1229</v>
      </c>
      <c r="I340" s="4">
        <v>69371</v>
      </c>
      <c r="J340" s="4">
        <v>1006</v>
      </c>
      <c r="K340" s="73">
        <v>1</v>
      </c>
      <c r="L340" s="73">
        <f t="shared" si="32"/>
        <v>85214</v>
      </c>
      <c r="M340" s="73">
        <f t="shared" si="33"/>
        <v>80</v>
      </c>
    </row>
    <row r="341" spans="1:13">
      <c r="A341" s="28">
        <v>46031</v>
      </c>
      <c r="B341" s="75" t="s">
        <v>33</v>
      </c>
      <c r="C341" s="75"/>
      <c r="D341" s="75"/>
      <c r="E341" s="76"/>
      <c r="F341" s="73">
        <v>0</v>
      </c>
      <c r="G341" s="73">
        <v>9</v>
      </c>
      <c r="H341" s="73">
        <v>9</v>
      </c>
      <c r="I341" s="4">
        <v>69380</v>
      </c>
      <c r="J341" s="73">
        <v>0</v>
      </c>
      <c r="K341" s="73">
        <v>0</v>
      </c>
      <c r="L341" s="73">
        <f t="shared" si="32"/>
        <v>85214</v>
      </c>
      <c r="M341" s="73">
        <f t="shared" si="33"/>
        <v>80</v>
      </c>
    </row>
    <row r="342" spans="1:13">
      <c r="A342" s="28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69509</v>
      </c>
      <c r="J342" s="73">
        <v>126</v>
      </c>
      <c r="K342" s="73">
        <v>1</v>
      </c>
      <c r="L342" s="73">
        <f t="shared" si="32"/>
        <v>85340</v>
      </c>
      <c r="M342" s="73">
        <f t="shared" si="33"/>
        <v>81</v>
      </c>
    </row>
    <row r="343" spans="1:13">
      <c r="A343" s="28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3">
        <v>63</v>
      </c>
      <c r="G343" s="29">
        <v>66</v>
      </c>
      <c r="H343" s="73">
        <v>129</v>
      </c>
      <c r="I343" s="4">
        <v>69638</v>
      </c>
      <c r="J343" s="73">
        <v>126</v>
      </c>
      <c r="K343" s="73">
        <v>1</v>
      </c>
      <c r="L343" s="73">
        <f t="shared" si="32"/>
        <v>85466</v>
      </c>
      <c r="M343" s="73">
        <f t="shared" si="33"/>
        <v>82</v>
      </c>
    </row>
    <row r="344" spans="1:13">
      <c r="A344" s="28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69889</v>
      </c>
      <c r="J344" s="73">
        <v>396</v>
      </c>
      <c r="K344" s="73">
        <v>1</v>
      </c>
      <c r="L344" s="73">
        <f t="shared" si="32"/>
        <v>85862</v>
      </c>
      <c r="M344" s="73">
        <f t="shared" si="33"/>
        <v>83</v>
      </c>
    </row>
    <row r="345" spans="1:13">
      <c r="A345" s="28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3">
        <v>98</v>
      </c>
      <c r="G345" s="29">
        <v>153</v>
      </c>
      <c r="H345" s="73">
        <v>251</v>
      </c>
      <c r="I345" s="4">
        <v>70140</v>
      </c>
      <c r="J345" s="73">
        <v>396</v>
      </c>
      <c r="K345" s="73">
        <v>1</v>
      </c>
      <c r="L345" s="73">
        <f t="shared" si="32"/>
        <v>86258</v>
      </c>
      <c r="M345" s="73">
        <f t="shared" si="33"/>
        <v>84</v>
      </c>
    </row>
    <row r="346" spans="1:13">
      <c r="A346" s="28">
        <v>46032</v>
      </c>
      <c r="B346" s="75" t="s">
        <v>33</v>
      </c>
      <c r="C346" s="75"/>
      <c r="D346" s="75"/>
      <c r="E346" s="76"/>
      <c r="F346" s="73">
        <v>0</v>
      </c>
      <c r="G346" s="73">
        <v>9</v>
      </c>
      <c r="H346" s="73">
        <v>9</v>
      </c>
      <c r="I346" s="4">
        <v>70149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28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3">
        <v>30</v>
      </c>
      <c r="G347" s="29">
        <v>32</v>
      </c>
      <c r="H347" s="73">
        <v>62</v>
      </c>
      <c r="I347" s="4">
        <v>70211</v>
      </c>
      <c r="J347" s="73">
        <v>60</v>
      </c>
      <c r="K347" s="73">
        <v>1</v>
      </c>
      <c r="L347" s="73">
        <f t="shared" si="32"/>
        <v>86318</v>
      </c>
      <c r="M347" s="73">
        <f t="shared" si="33"/>
        <v>85</v>
      </c>
    </row>
    <row r="348" spans="1:13">
      <c r="A348" s="28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3">
        <v>44</v>
      </c>
      <c r="G348" s="29">
        <v>96</v>
      </c>
      <c r="H348" s="73">
        <v>140</v>
      </c>
      <c r="I348" s="4">
        <v>70351</v>
      </c>
      <c r="J348" s="73">
        <v>288</v>
      </c>
      <c r="K348" s="73">
        <v>1</v>
      </c>
      <c r="L348" s="73">
        <f t="shared" ref="L348:L352" si="34">J348+L347</f>
        <v>86606</v>
      </c>
      <c r="M348" s="73">
        <f t="shared" ref="M348:M352" si="35">K348+M347</f>
        <v>86</v>
      </c>
    </row>
    <row r="349" spans="1:13">
      <c r="A349" s="28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3">
        <v>37</v>
      </c>
      <c r="G349" s="29">
        <v>39</v>
      </c>
      <c r="H349" s="73">
        <v>76</v>
      </c>
      <c r="I349" s="4">
        <v>70427</v>
      </c>
      <c r="J349" s="73">
        <v>74</v>
      </c>
      <c r="K349" s="73">
        <v>1</v>
      </c>
      <c r="L349" s="73">
        <f t="shared" si="34"/>
        <v>86680</v>
      </c>
      <c r="M349" s="73">
        <f t="shared" si="35"/>
        <v>87</v>
      </c>
    </row>
    <row r="350" spans="1:13">
      <c r="A350" s="28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3">
        <v>37</v>
      </c>
      <c r="G350" s="29">
        <v>39</v>
      </c>
      <c r="H350" s="73">
        <v>76</v>
      </c>
      <c r="I350" s="4">
        <v>70503</v>
      </c>
      <c r="J350" s="73">
        <v>74</v>
      </c>
      <c r="K350" s="73">
        <v>1</v>
      </c>
      <c r="L350" s="73">
        <f t="shared" si="34"/>
        <v>86754</v>
      </c>
      <c r="M350" s="73">
        <f t="shared" si="35"/>
        <v>88</v>
      </c>
    </row>
    <row r="351" spans="1:13">
      <c r="A351" s="28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3">
        <v>124</v>
      </c>
      <c r="G351" s="29">
        <v>130</v>
      </c>
      <c r="H351" s="73">
        <v>254</v>
      </c>
      <c r="I351" s="4">
        <v>70757</v>
      </c>
      <c r="J351" s="73">
        <v>248</v>
      </c>
      <c r="K351" s="73">
        <v>1</v>
      </c>
      <c r="L351" s="73">
        <f t="shared" si="34"/>
        <v>87002</v>
      </c>
      <c r="M351" s="73">
        <f t="shared" si="35"/>
        <v>89</v>
      </c>
    </row>
    <row r="352" spans="1:13">
      <c r="A352" s="28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3">
        <v>124</v>
      </c>
      <c r="G352" s="29">
        <v>130</v>
      </c>
      <c r="H352" s="73">
        <v>254</v>
      </c>
      <c r="I352" s="4">
        <v>71011</v>
      </c>
      <c r="J352" s="73">
        <v>248</v>
      </c>
      <c r="K352" s="73">
        <v>1</v>
      </c>
      <c r="L352" s="73">
        <f t="shared" si="34"/>
        <v>87250</v>
      </c>
      <c r="M352" s="73">
        <f t="shared" si="35"/>
        <v>90</v>
      </c>
    </row>
    <row r="353" spans="1:13">
      <c r="A353" s="28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3">
        <v>269</v>
      </c>
      <c r="G353" s="29">
        <v>282</v>
      </c>
      <c r="H353" s="73">
        <v>551</v>
      </c>
      <c r="I353" s="4">
        <v>71562</v>
      </c>
      <c r="J353" s="73">
        <v>538</v>
      </c>
      <c r="K353" s="73">
        <v>1</v>
      </c>
      <c r="L353" s="73">
        <f t="shared" ref="L353:L355" si="36">J353+L352</f>
        <v>87788</v>
      </c>
      <c r="M353" s="73">
        <f t="shared" ref="M353:M355" si="37">K353+M352</f>
        <v>91</v>
      </c>
    </row>
    <row r="354" spans="1:13">
      <c r="A354" s="28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3">
        <v>492</v>
      </c>
      <c r="G354" s="29">
        <v>517</v>
      </c>
      <c r="H354" s="4">
        <v>1009</v>
      </c>
      <c r="I354" s="4">
        <v>72571</v>
      </c>
      <c r="J354" s="73">
        <v>984</v>
      </c>
      <c r="K354" s="73">
        <v>1</v>
      </c>
      <c r="L354" s="73">
        <f t="shared" si="36"/>
        <v>88772</v>
      </c>
      <c r="M354" s="73">
        <f t="shared" si="37"/>
        <v>92</v>
      </c>
    </row>
    <row r="355" spans="1:13">
      <c r="A355" s="28">
        <v>46033</v>
      </c>
      <c r="B355" s="75" t="s">
        <v>49</v>
      </c>
      <c r="C355" s="75"/>
      <c r="D355" s="75"/>
      <c r="E355" s="76"/>
      <c r="F355" s="73">
        <v>0</v>
      </c>
      <c r="G355" s="73">
        <v>2</v>
      </c>
      <c r="H355" s="73">
        <v>2</v>
      </c>
      <c r="I355" s="4">
        <v>72573</v>
      </c>
      <c r="J355" s="73">
        <v>0</v>
      </c>
      <c r="K355" s="73">
        <v>0</v>
      </c>
      <c r="L355" s="73">
        <f t="shared" si="36"/>
        <v>88772</v>
      </c>
      <c r="M355" s="73">
        <f t="shared" si="37"/>
        <v>92</v>
      </c>
    </row>
    <row r="356" spans="1:13">
      <c r="A356" s="28">
        <v>46033</v>
      </c>
      <c r="B356" s="75" t="s">
        <v>33</v>
      </c>
      <c r="C356" s="75"/>
      <c r="D356" s="75"/>
      <c r="E356" s="76"/>
      <c r="F356" s="73">
        <v>0</v>
      </c>
      <c r="G356" s="73">
        <v>79</v>
      </c>
      <c r="H356" s="73">
        <v>79</v>
      </c>
      <c r="I356" s="4">
        <v>72652</v>
      </c>
      <c r="J356" s="73">
        <v>0</v>
      </c>
      <c r="K356" s="73">
        <v>0</v>
      </c>
      <c r="L356" s="73">
        <f t="shared" ref="L356:L366" si="38">J356+L355</f>
        <v>88772</v>
      </c>
      <c r="M356" s="73">
        <f t="shared" ref="M356:M366" si="39">K356+M355</f>
        <v>92</v>
      </c>
    </row>
    <row r="357" spans="1:13">
      <c r="A357" s="28">
        <v>46034</v>
      </c>
      <c r="B357" s="75" t="s">
        <v>33</v>
      </c>
      <c r="C357" s="75"/>
      <c r="D357" s="75"/>
      <c r="E357" s="76"/>
      <c r="F357" s="73">
        <v>0</v>
      </c>
      <c r="G357" s="73">
        <v>61</v>
      </c>
      <c r="H357" s="73">
        <v>61</v>
      </c>
      <c r="I357" s="4">
        <v>72713</v>
      </c>
      <c r="J357" s="73">
        <v>0</v>
      </c>
      <c r="K357" s="73">
        <v>0</v>
      </c>
      <c r="L357" s="73">
        <f t="shared" si="38"/>
        <v>88772</v>
      </c>
      <c r="M357" s="73">
        <f t="shared" si="39"/>
        <v>92</v>
      </c>
    </row>
    <row r="358" spans="1:13">
      <c r="A358" s="28">
        <v>46035</v>
      </c>
      <c r="B358" s="75" t="s">
        <v>65</v>
      </c>
      <c r="C358" s="75"/>
      <c r="D358" s="75"/>
      <c r="E358" s="76"/>
      <c r="F358" s="4">
        <v>12624</v>
      </c>
      <c r="G358" s="73">
        <v>0</v>
      </c>
      <c r="H358" s="4">
        <v>12624</v>
      </c>
      <c r="I358" s="4">
        <v>85337</v>
      </c>
      <c r="J358" s="73">
        <v>0</v>
      </c>
      <c r="K358" s="73">
        <v>0</v>
      </c>
      <c r="L358" s="73">
        <f t="shared" si="38"/>
        <v>88772</v>
      </c>
      <c r="M358" s="73">
        <f t="shared" si="39"/>
        <v>92</v>
      </c>
    </row>
    <row r="359" spans="1:13">
      <c r="A359" s="28">
        <v>46035</v>
      </c>
      <c r="B359" s="75" t="s">
        <v>33</v>
      </c>
      <c r="C359" s="75"/>
      <c r="D359" s="75"/>
      <c r="E359" s="76"/>
      <c r="F359" s="73">
        <v>0</v>
      </c>
      <c r="G359" s="73">
        <v>8</v>
      </c>
      <c r="H359" s="73">
        <v>8</v>
      </c>
      <c r="I359" s="4">
        <v>85345</v>
      </c>
      <c r="J359" s="73">
        <v>0</v>
      </c>
      <c r="K359" s="73">
        <v>0</v>
      </c>
      <c r="L359" s="73">
        <f t="shared" si="38"/>
        <v>88772</v>
      </c>
      <c r="M359" s="73">
        <f t="shared" si="39"/>
        <v>92</v>
      </c>
    </row>
    <row r="360" spans="1:13">
      <c r="A360" s="28">
        <v>46036</v>
      </c>
      <c r="B360" s="75" t="s">
        <v>33</v>
      </c>
      <c r="C360" s="75"/>
      <c r="D360" s="75"/>
      <c r="E360" s="76"/>
      <c r="F360" s="73">
        <v>0</v>
      </c>
      <c r="G360" s="73">
        <v>13</v>
      </c>
      <c r="H360" s="73">
        <v>13</v>
      </c>
      <c r="I360" s="4">
        <v>85358</v>
      </c>
      <c r="J360" s="73">
        <v>0</v>
      </c>
      <c r="K360" s="73">
        <v>0</v>
      </c>
      <c r="L360" s="73">
        <f t="shared" si="38"/>
        <v>88772</v>
      </c>
      <c r="M360" s="73">
        <f t="shared" si="39"/>
        <v>92</v>
      </c>
    </row>
    <row r="361" spans="1:13">
      <c r="A361" s="28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3">
        <v>232</v>
      </c>
      <c r="G361" s="29">
        <v>294</v>
      </c>
      <c r="H361" s="73">
        <v>526</v>
      </c>
      <c r="I361" s="4">
        <v>85884</v>
      </c>
      <c r="J361" s="73">
        <v>864</v>
      </c>
      <c r="K361" s="73">
        <v>1</v>
      </c>
      <c r="L361" s="73">
        <f t="shared" si="38"/>
        <v>89636</v>
      </c>
      <c r="M361" s="73">
        <f t="shared" si="39"/>
        <v>93</v>
      </c>
    </row>
    <row r="362" spans="1:13">
      <c r="A362" s="28">
        <v>46037</v>
      </c>
      <c r="B362" s="75" t="s">
        <v>33</v>
      </c>
      <c r="C362" s="75"/>
      <c r="D362" s="75"/>
      <c r="E362" s="76"/>
      <c r="F362" s="73">
        <v>0</v>
      </c>
      <c r="G362" s="73">
        <v>8</v>
      </c>
      <c r="H362" s="73">
        <v>8</v>
      </c>
      <c r="I362" s="4">
        <v>85892</v>
      </c>
      <c r="J362" s="73">
        <v>0</v>
      </c>
      <c r="K362" s="73">
        <v>0</v>
      </c>
      <c r="L362" s="73">
        <f t="shared" si="38"/>
        <v>89636</v>
      </c>
      <c r="M362" s="73">
        <f t="shared" si="39"/>
        <v>93</v>
      </c>
    </row>
    <row r="363" spans="1:13">
      <c r="A363" s="28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3">
        <v>232</v>
      </c>
      <c r="G363" s="29">
        <v>294</v>
      </c>
      <c r="H363" s="73">
        <v>526</v>
      </c>
      <c r="I363" s="4">
        <v>86418</v>
      </c>
      <c r="J363" s="73">
        <v>864</v>
      </c>
      <c r="K363" s="73">
        <v>1</v>
      </c>
      <c r="L363" s="73">
        <f t="shared" si="38"/>
        <v>90500</v>
      </c>
      <c r="M363" s="73">
        <f t="shared" si="39"/>
        <v>94</v>
      </c>
    </row>
    <row r="364" spans="1:13">
      <c r="A364" s="28">
        <v>46038</v>
      </c>
      <c r="B364" s="75" t="s">
        <v>33</v>
      </c>
      <c r="C364" s="75"/>
      <c r="D364" s="75"/>
      <c r="E364" s="76"/>
      <c r="F364" s="73">
        <v>0</v>
      </c>
      <c r="G364" s="73">
        <v>6</v>
      </c>
      <c r="H364" s="73">
        <v>6</v>
      </c>
      <c r="I364" s="4">
        <v>86424</v>
      </c>
      <c r="J364" s="73">
        <v>0</v>
      </c>
      <c r="K364" s="73">
        <v>0</v>
      </c>
      <c r="L364" s="73">
        <f t="shared" si="38"/>
        <v>90500</v>
      </c>
      <c r="M364" s="73">
        <f t="shared" si="39"/>
        <v>94</v>
      </c>
    </row>
    <row r="365" spans="1:13">
      <c r="A365" s="28">
        <v>46039</v>
      </c>
      <c r="B365" s="75" t="s">
        <v>33</v>
      </c>
      <c r="C365" s="75"/>
      <c r="D365" s="75"/>
      <c r="E365" s="76"/>
      <c r="F365" s="73">
        <v>0</v>
      </c>
      <c r="G365" s="73">
        <v>7</v>
      </c>
      <c r="H365" s="73">
        <v>7</v>
      </c>
      <c r="I365" s="4">
        <v>86431</v>
      </c>
      <c r="J365" s="73">
        <v>0</v>
      </c>
      <c r="K365" s="73">
        <v>0</v>
      </c>
      <c r="L365" s="73">
        <f t="shared" si="38"/>
        <v>90500</v>
      </c>
      <c r="M365" s="73">
        <f t="shared" si="39"/>
        <v>94</v>
      </c>
    </row>
    <row r="366" spans="1:13">
      <c r="A366" s="30">
        <v>46040</v>
      </c>
      <c r="B366" s="77" t="s">
        <v>33</v>
      </c>
      <c r="C366" s="77"/>
      <c r="D366" s="77"/>
      <c r="E366" s="78"/>
      <c r="F366" s="74">
        <v>0</v>
      </c>
      <c r="G366" s="74">
        <v>19</v>
      </c>
      <c r="H366" s="74">
        <v>19</v>
      </c>
      <c r="I366" s="31">
        <v>86450</v>
      </c>
      <c r="J366" s="74">
        <v>0</v>
      </c>
      <c r="K366" s="74">
        <v>0</v>
      </c>
      <c r="L366" s="73">
        <f t="shared" si="38"/>
        <v>90500</v>
      </c>
      <c r="M366" s="73">
        <f t="shared" si="39"/>
        <v>94</v>
      </c>
    </row>
  </sheetData>
  <mergeCells count="249">
    <mergeCell ref="B360:E360"/>
    <mergeCell ref="B362:E362"/>
    <mergeCell ref="B364:E364"/>
    <mergeCell ref="B365:E365"/>
    <mergeCell ref="B366:E366"/>
    <mergeCell ref="B355:E355"/>
    <mergeCell ref="B332:E332"/>
    <mergeCell ref="B341:E341"/>
    <mergeCell ref="B356:E356"/>
    <mergeCell ref="B357:E357"/>
    <mergeCell ref="B358:E358"/>
    <mergeCell ref="B359:E359"/>
    <mergeCell ref="B346:E346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</hyperlinks>
  <pageMargins left="0.7" right="0.7" top="0.75" bottom="0.75" header="0.3" footer="0.3"/>
  <drawing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26"/>
  <sheetViews>
    <sheetView workbookViewId="0">
      <pane xSplit="1" ySplit="2" topLeftCell="B19" activePane="bottomRight" state="frozen"/>
      <selection pane="bottomRight" activeCell="E16" sqref="E1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155</v>
      </c>
      <c r="C2" s="33" t="s">
        <v>156</v>
      </c>
      <c r="D2" s="33" t="s">
        <v>157</v>
      </c>
      <c r="E2" s="33" t="s">
        <v>1</v>
      </c>
      <c r="F2" s="33" t="s">
        <v>158</v>
      </c>
      <c r="G2" s="35" t="s">
        <v>159</v>
      </c>
    </row>
    <row r="3" spans="2:10" ht="15.75">
      <c r="B3" s="36"/>
      <c r="C3" s="33"/>
      <c r="D3" s="33"/>
      <c r="E3" s="33"/>
      <c r="F3" s="33"/>
      <c r="G3" s="35">
        <f t="shared" ref="G3:G104" si="0">G4+F3</f>
        <v>777</v>
      </c>
    </row>
    <row r="4" spans="2:10" ht="15">
      <c r="B4" s="46"/>
      <c r="C4" s="47"/>
      <c r="D4" s="47"/>
      <c r="E4" s="47"/>
      <c r="F4" s="47"/>
      <c r="G4" s="35">
        <f t="shared" si="0"/>
        <v>777</v>
      </c>
      <c r="I4" t="s">
        <v>160</v>
      </c>
      <c r="J4">
        <f>SUMIFS(F3:F30058,D3:D30058, "*JAL国内線*")</f>
        <v>585</v>
      </c>
    </row>
    <row r="5" spans="2:10" ht="15">
      <c r="B5" s="46"/>
      <c r="C5" s="47"/>
      <c r="D5" s="47"/>
      <c r="E5" s="47"/>
      <c r="F5" s="47"/>
      <c r="G5" s="35">
        <f t="shared" si="0"/>
        <v>777</v>
      </c>
      <c r="I5" t="s">
        <v>161</v>
      </c>
      <c r="J5">
        <f>SUMIFS(F3:F30058,D3:D30058,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777</v>
      </c>
      <c r="I6" t="s">
        <v>162</v>
      </c>
      <c r="J6">
        <f>SUMIFS(F3:F30058,D3:D30058,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777</v>
      </c>
      <c r="I7" t="s">
        <v>163</v>
      </c>
      <c r="J7">
        <f>SUMIFS(F3:F30058,D3:D30058, "*JALモバイル*")</f>
        <v>5</v>
      </c>
    </row>
    <row r="8" spans="2:10" ht="15">
      <c r="B8" s="46"/>
      <c r="C8" s="47"/>
      <c r="D8" s="47"/>
      <c r="E8" s="47"/>
      <c r="F8" s="47"/>
      <c r="G8" s="35">
        <f t="shared" si="0"/>
        <v>777</v>
      </c>
      <c r="I8" s="32" t="s">
        <v>164</v>
      </c>
      <c r="J8">
        <f>SUMIFS(F3:F30058,D3:D30058, "*JAL Wellness &amp; Travel*")</f>
        <v>6</v>
      </c>
    </row>
    <row r="9" spans="2:10" ht="15">
      <c r="B9" s="46"/>
      <c r="C9" s="47"/>
      <c r="D9" s="47"/>
      <c r="E9" s="47"/>
      <c r="F9" s="47"/>
      <c r="G9" s="35">
        <f t="shared" si="0"/>
        <v>777</v>
      </c>
      <c r="I9" s="32" t="s">
        <v>165</v>
      </c>
      <c r="J9">
        <f>SUMIFS(F3:F30058,D3:D30058, "*JALマイレージパーク*")</f>
        <v>3</v>
      </c>
    </row>
    <row r="10" spans="2:10" ht="15">
      <c r="B10" s="46"/>
      <c r="C10" s="47"/>
      <c r="D10" s="47"/>
      <c r="E10" s="47"/>
      <c r="F10" s="47"/>
      <c r="G10" s="35">
        <f t="shared" si="0"/>
        <v>777</v>
      </c>
      <c r="I10" s="32" t="s">
        <v>166</v>
      </c>
      <c r="J10">
        <f>SUMIFS(F3:F30058,D3:D30058,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777</v>
      </c>
      <c r="I11" s="32" t="s">
        <v>167</v>
      </c>
      <c r="J11">
        <f>SUM(J4:J10)</f>
        <v>777</v>
      </c>
    </row>
    <row r="12" spans="2:10" ht="15">
      <c r="B12" s="46"/>
      <c r="C12" s="47"/>
      <c r="D12" s="47"/>
      <c r="E12" s="47"/>
      <c r="F12" s="47"/>
      <c r="G12" s="35">
        <f t="shared" si="0"/>
        <v>777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777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777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777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777</v>
      </c>
      <c r="I16" s="32"/>
    </row>
    <row r="17" spans="2:10" ht="15">
      <c r="B17" s="46"/>
      <c r="C17" s="47"/>
      <c r="D17" s="47"/>
      <c r="E17" s="47"/>
      <c r="F17" s="47"/>
      <c r="G17" s="35">
        <f t="shared" si="0"/>
        <v>777</v>
      </c>
      <c r="I17" s="32"/>
    </row>
    <row r="18" spans="2:10" ht="15">
      <c r="B18" s="46"/>
      <c r="C18" s="47"/>
      <c r="D18" s="47"/>
      <c r="E18" s="47"/>
      <c r="F18" s="47"/>
      <c r="G18" s="35">
        <f t="shared" si="0"/>
        <v>777</v>
      </c>
      <c r="I18" s="32"/>
    </row>
    <row r="19" spans="2:10" ht="15">
      <c r="B19" s="46"/>
      <c r="C19" s="47"/>
      <c r="D19" s="47"/>
      <c r="E19" s="47"/>
      <c r="F19" s="47"/>
      <c r="G19" s="35">
        <f t="shared" si="0"/>
        <v>777</v>
      </c>
      <c r="I19" s="32"/>
    </row>
    <row r="20" spans="2:10" ht="15">
      <c r="B20" s="46"/>
      <c r="C20" s="47"/>
      <c r="D20" s="47"/>
      <c r="E20" s="47"/>
      <c r="F20" s="47"/>
      <c r="G20" s="35">
        <f t="shared" si="0"/>
        <v>777</v>
      </c>
      <c r="I20" s="32"/>
    </row>
    <row r="21" spans="2:10" ht="15">
      <c r="B21" s="46"/>
      <c r="C21" s="47"/>
      <c r="D21" s="47"/>
      <c r="E21" s="47"/>
      <c r="F21" s="47"/>
      <c r="G21" s="35">
        <f t="shared" si="0"/>
        <v>777</v>
      </c>
      <c r="I21" s="32"/>
    </row>
    <row r="22" spans="2:10" ht="15">
      <c r="B22" s="46"/>
      <c r="C22" s="47"/>
      <c r="D22" s="47"/>
      <c r="E22" s="47"/>
      <c r="F22" s="47"/>
      <c r="G22" s="35">
        <f t="shared" si="0"/>
        <v>777</v>
      </c>
      <c r="I22" s="32"/>
    </row>
    <row r="23" spans="2:10" ht="15">
      <c r="B23" s="46"/>
      <c r="C23" s="47"/>
      <c r="D23" s="47"/>
      <c r="E23" s="47"/>
      <c r="F23" s="47"/>
      <c r="G23" s="35">
        <f t="shared" si="0"/>
        <v>777</v>
      </c>
      <c r="I23" s="32"/>
    </row>
    <row r="24" spans="2:10" ht="17.25">
      <c r="B24" s="46">
        <v>46039</v>
      </c>
      <c r="C24" s="47" t="s">
        <v>168</v>
      </c>
      <c r="D24" s="47" t="s">
        <v>160</v>
      </c>
      <c r="E24" s="47" t="s">
        <v>169</v>
      </c>
      <c r="F24" s="47">
        <v>5</v>
      </c>
      <c r="G24" s="35">
        <f t="shared" si="0"/>
        <v>777</v>
      </c>
      <c r="I24" s="32"/>
    </row>
    <row r="25" spans="2:10" ht="17.25">
      <c r="B25" s="46">
        <v>46037</v>
      </c>
      <c r="C25" s="47" t="s">
        <v>170</v>
      </c>
      <c r="D25" s="47" t="s">
        <v>164</v>
      </c>
      <c r="E25" s="47" t="s">
        <v>171</v>
      </c>
      <c r="F25" s="47">
        <v>1</v>
      </c>
      <c r="G25" s="35">
        <f t="shared" si="0"/>
        <v>772</v>
      </c>
      <c r="I25" s="32"/>
    </row>
    <row r="26" spans="2:10" ht="17.25">
      <c r="B26" s="46">
        <v>46035</v>
      </c>
      <c r="C26" s="47" t="s">
        <v>168</v>
      </c>
      <c r="D26" s="47" t="s">
        <v>160</v>
      </c>
      <c r="E26" s="47" t="s">
        <v>169</v>
      </c>
      <c r="F26" s="47">
        <v>40</v>
      </c>
      <c r="G26" s="35">
        <f t="shared" si="0"/>
        <v>771</v>
      </c>
      <c r="I26" s="32"/>
    </row>
    <row r="27" spans="2:10" ht="17.25">
      <c r="B27" s="46">
        <v>46034</v>
      </c>
      <c r="C27" s="47" t="s">
        <v>168</v>
      </c>
      <c r="D27" s="47" t="s">
        <v>160</v>
      </c>
      <c r="E27" s="47" t="s">
        <v>169</v>
      </c>
      <c r="F27" s="47">
        <v>20</v>
      </c>
      <c r="G27" s="35">
        <f t="shared" si="0"/>
        <v>731</v>
      </c>
      <c r="I27" s="32"/>
    </row>
    <row r="28" spans="2:10" ht="17.25">
      <c r="B28" s="46">
        <v>46033</v>
      </c>
      <c r="C28" s="47" t="s">
        <v>170</v>
      </c>
      <c r="D28" s="47" t="s">
        <v>162</v>
      </c>
      <c r="E28" s="47" t="s">
        <v>172</v>
      </c>
      <c r="F28" s="47">
        <v>30</v>
      </c>
      <c r="G28" s="35">
        <f t="shared" si="0"/>
        <v>711</v>
      </c>
      <c r="J28">
        <f>SUM(J4:J11)</f>
        <v>1554</v>
      </c>
    </row>
    <row r="29" spans="2:10" ht="17.25">
      <c r="B29" s="46">
        <v>46033</v>
      </c>
      <c r="C29" s="47" t="s">
        <v>168</v>
      </c>
      <c r="D29" s="47" t="s">
        <v>160</v>
      </c>
      <c r="E29" s="47" t="s">
        <v>169</v>
      </c>
      <c r="F29" s="47">
        <v>40</v>
      </c>
      <c r="G29" s="35">
        <f t="shared" si="0"/>
        <v>681</v>
      </c>
    </row>
    <row r="30" spans="2:10" ht="17.25">
      <c r="B30" s="46">
        <v>46032</v>
      </c>
      <c r="C30" s="47" t="s">
        <v>168</v>
      </c>
      <c r="D30" s="47" t="s">
        <v>160</v>
      </c>
      <c r="E30" s="47" t="s">
        <v>169</v>
      </c>
      <c r="F30" s="47">
        <v>10</v>
      </c>
      <c r="G30" s="35">
        <f t="shared" si="0"/>
        <v>641</v>
      </c>
    </row>
    <row r="31" spans="2:10" ht="17.25">
      <c r="B31" s="46">
        <v>46030</v>
      </c>
      <c r="C31" s="47" t="s">
        <v>168</v>
      </c>
      <c r="D31" s="47" t="s">
        <v>160</v>
      </c>
      <c r="E31" s="47" t="s">
        <v>169</v>
      </c>
      <c r="F31" s="47">
        <v>5</v>
      </c>
      <c r="G31" s="35">
        <f t="shared" si="0"/>
        <v>631</v>
      </c>
    </row>
    <row r="32" spans="2:10" ht="17.25">
      <c r="B32" s="46">
        <v>46016</v>
      </c>
      <c r="C32" s="47" t="s">
        <v>168</v>
      </c>
      <c r="D32" s="47" t="s">
        <v>160</v>
      </c>
      <c r="E32" s="47" t="s">
        <v>169</v>
      </c>
      <c r="F32" s="47">
        <v>5</v>
      </c>
      <c r="G32" s="35">
        <f t="shared" si="0"/>
        <v>626</v>
      </c>
    </row>
    <row r="33" spans="2:7" ht="17.25">
      <c r="B33" s="46">
        <v>46014</v>
      </c>
      <c r="C33" s="47" t="s">
        <v>168</v>
      </c>
      <c r="D33" s="47" t="s">
        <v>160</v>
      </c>
      <c r="E33" s="47" t="s">
        <v>169</v>
      </c>
      <c r="F33" s="47">
        <v>5</v>
      </c>
      <c r="G33" s="35">
        <f t="shared" si="0"/>
        <v>621</v>
      </c>
    </row>
    <row r="34" spans="2:7" ht="17.25">
      <c r="B34" s="46">
        <v>46012</v>
      </c>
      <c r="C34" s="47" t="s">
        <v>170</v>
      </c>
      <c r="D34" s="47" t="s">
        <v>165</v>
      </c>
      <c r="E34" s="47" t="s">
        <v>173</v>
      </c>
      <c r="F34" s="47">
        <v>1</v>
      </c>
      <c r="G34" s="35">
        <f t="shared" si="0"/>
        <v>616</v>
      </c>
    </row>
    <row r="35" spans="2:7" ht="17.25">
      <c r="B35" s="46">
        <v>46012</v>
      </c>
      <c r="C35" s="47" t="s">
        <v>168</v>
      </c>
      <c r="D35" s="47" t="s">
        <v>160</v>
      </c>
      <c r="E35" s="47" t="s">
        <v>169</v>
      </c>
      <c r="F35" s="47">
        <v>5</v>
      </c>
      <c r="G35" s="35">
        <f t="shared" si="0"/>
        <v>615</v>
      </c>
    </row>
    <row r="36" spans="2:7" ht="17.25">
      <c r="B36" s="46">
        <v>46011</v>
      </c>
      <c r="C36" s="47" t="s">
        <v>168</v>
      </c>
      <c r="D36" s="47" t="s">
        <v>160</v>
      </c>
      <c r="E36" s="47" t="s">
        <v>169</v>
      </c>
      <c r="F36" s="47">
        <v>5</v>
      </c>
      <c r="G36" s="35">
        <f t="shared" si="0"/>
        <v>610</v>
      </c>
    </row>
    <row r="37" spans="2:7" ht="17.25">
      <c r="B37" s="46">
        <v>46008</v>
      </c>
      <c r="C37" s="47" t="s">
        <v>170</v>
      </c>
      <c r="D37" s="47" t="s">
        <v>163</v>
      </c>
      <c r="E37" s="47" t="s">
        <v>163</v>
      </c>
      <c r="F37" s="47">
        <v>1</v>
      </c>
      <c r="G37" s="35">
        <f t="shared" si="0"/>
        <v>605</v>
      </c>
    </row>
    <row r="38" spans="2:7" ht="17.25">
      <c r="B38" s="46">
        <v>46006</v>
      </c>
      <c r="C38" s="47" t="s">
        <v>170</v>
      </c>
      <c r="D38" s="47" t="s">
        <v>164</v>
      </c>
      <c r="E38" s="47" t="s">
        <v>171</v>
      </c>
      <c r="F38" s="47">
        <v>1</v>
      </c>
      <c r="G38" s="35">
        <f t="shared" si="0"/>
        <v>604</v>
      </c>
    </row>
    <row r="39" spans="2:7" ht="17.25">
      <c r="B39" s="46">
        <v>46002</v>
      </c>
      <c r="C39" s="47" t="s">
        <v>170</v>
      </c>
      <c r="D39" s="47" t="s">
        <v>162</v>
      </c>
      <c r="E39" s="47" t="s">
        <v>172</v>
      </c>
      <c r="F39" s="47">
        <v>10</v>
      </c>
      <c r="G39" s="35">
        <f t="shared" si="0"/>
        <v>603</v>
      </c>
    </row>
    <row r="40" spans="2:7" ht="17.25">
      <c r="B40" s="46">
        <v>45996</v>
      </c>
      <c r="C40" s="47" t="s">
        <v>168</v>
      </c>
      <c r="D40" s="47" t="s">
        <v>160</v>
      </c>
      <c r="E40" s="47" t="s">
        <v>169</v>
      </c>
      <c r="F40" s="47">
        <v>45</v>
      </c>
      <c r="G40" s="35">
        <f t="shared" si="0"/>
        <v>593</v>
      </c>
    </row>
    <row r="41" spans="2:7" ht="17.25">
      <c r="B41" s="46">
        <v>45995</v>
      </c>
      <c r="C41" s="47" t="s">
        <v>168</v>
      </c>
      <c r="D41" s="47" t="s">
        <v>160</v>
      </c>
      <c r="E41" s="47" t="s">
        <v>169</v>
      </c>
      <c r="F41" s="47">
        <v>5</v>
      </c>
      <c r="G41" s="35">
        <f t="shared" si="0"/>
        <v>548</v>
      </c>
    </row>
    <row r="42" spans="2:7" ht="17.25">
      <c r="B42" s="46">
        <v>45994</v>
      </c>
      <c r="C42" s="47" t="s">
        <v>168</v>
      </c>
      <c r="D42" s="47" t="s">
        <v>160</v>
      </c>
      <c r="E42" s="47" t="s">
        <v>169</v>
      </c>
      <c r="F42" s="47">
        <v>5</v>
      </c>
      <c r="G42" s="35">
        <f t="shared" si="0"/>
        <v>543</v>
      </c>
    </row>
    <row r="43" spans="2:7" ht="17.25">
      <c r="B43" s="46">
        <v>45990</v>
      </c>
      <c r="C43" s="47" t="s">
        <v>168</v>
      </c>
      <c r="D43" s="47" t="s">
        <v>160</v>
      </c>
      <c r="E43" s="47" t="s">
        <v>169</v>
      </c>
      <c r="F43" s="47">
        <v>5</v>
      </c>
      <c r="G43" s="35">
        <f t="shared" si="0"/>
        <v>538</v>
      </c>
    </row>
    <row r="44" spans="2:7" ht="17.25">
      <c r="B44" s="46">
        <v>45989</v>
      </c>
      <c r="C44" s="47" t="s">
        <v>168</v>
      </c>
      <c r="D44" s="47" t="s">
        <v>160</v>
      </c>
      <c r="E44" s="47" t="s">
        <v>169</v>
      </c>
      <c r="F44" s="47">
        <v>5</v>
      </c>
      <c r="G44" s="35">
        <f t="shared" si="0"/>
        <v>533</v>
      </c>
    </row>
    <row r="45" spans="2:7" ht="17.25">
      <c r="B45" s="46">
        <v>45988</v>
      </c>
      <c r="C45" s="47" t="s">
        <v>166</v>
      </c>
      <c r="D45" s="47" t="s">
        <v>166</v>
      </c>
      <c r="E45" s="47" t="s">
        <v>174</v>
      </c>
      <c r="F45" s="47">
        <v>18</v>
      </c>
      <c r="G45" s="35">
        <f t="shared" si="0"/>
        <v>528</v>
      </c>
    </row>
    <row r="46" spans="2:7" ht="17.25">
      <c r="B46" s="46">
        <v>45988</v>
      </c>
      <c r="C46" s="47" t="s">
        <v>168</v>
      </c>
      <c r="D46" s="47" t="s">
        <v>160</v>
      </c>
      <c r="E46" s="47" t="s">
        <v>169</v>
      </c>
      <c r="F46" s="47">
        <v>5</v>
      </c>
      <c r="G46" s="35">
        <f t="shared" si="0"/>
        <v>510</v>
      </c>
    </row>
    <row r="47" spans="2:7" ht="17.25">
      <c r="B47" s="46">
        <v>45987</v>
      </c>
      <c r="C47" s="47" t="s">
        <v>168</v>
      </c>
      <c r="D47" s="47" t="s">
        <v>160</v>
      </c>
      <c r="E47" s="47" t="s">
        <v>169</v>
      </c>
      <c r="F47" s="47">
        <v>5</v>
      </c>
      <c r="G47" s="35">
        <f>G48+F47</f>
        <v>505</v>
      </c>
    </row>
    <row r="48" spans="2:7" ht="17.25">
      <c r="B48" s="46">
        <v>45985</v>
      </c>
      <c r="C48" s="47" t="s">
        <v>168</v>
      </c>
      <c r="D48" s="47" t="s">
        <v>160</v>
      </c>
      <c r="E48" s="47" t="s">
        <v>169</v>
      </c>
      <c r="F48" s="47">
        <v>5</v>
      </c>
      <c r="G48" s="35">
        <f t="shared" si="0"/>
        <v>500</v>
      </c>
    </row>
    <row r="49" spans="2:7" ht="17.25">
      <c r="B49" s="46">
        <v>45983</v>
      </c>
      <c r="C49" s="47" t="s">
        <v>168</v>
      </c>
      <c r="D49" s="47" t="s">
        <v>160</v>
      </c>
      <c r="E49" s="47" t="s">
        <v>169</v>
      </c>
      <c r="F49" s="47">
        <v>5</v>
      </c>
      <c r="G49" s="35">
        <f t="shared" si="0"/>
        <v>495</v>
      </c>
    </row>
    <row r="50" spans="2:7" ht="17.25">
      <c r="B50" s="46">
        <v>45982</v>
      </c>
      <c r="C50" s="47" t="s">
        <v>170</v>
      </c>
      <c r="D50" s="47" t="s">
        <v>165</v>
      </c>
      <c r="E50" s="47" t="s">
        <v>173</v>
      </c>
      <c r="F50" s="47">
        <v>1</v>
      </c>
      <c r="G50" s="35">
        <f t="shared" si="0"/>
        <v>490</v>
      </c>
    </row>
    <row r="51" spans="2:7" ht="17.25">
      <c r="B51" s="46">
        <v>45978</v>
      </c>
      <c r="C51" s="47" t="s">
        <v>170</v>
      </c>
      <c r="D51" s="47" t="s">
        <v>163</v>
      </c>
      <c r="E51" s="47" t="s">
        <v>163</v>
      </c>
      <c r="F51" s="47">
        <v>1</v>
      </c>
      <c r="G51" s="35">
        <f t="shared" si="0"/>
        <v>489</v>
      </c>
    </row>
    <row r="52" spans="2:7" ht="17.25">
      <c r="B52" s="46">
        <v>45976</v>
      </c>
      <c r="C52" s="47" t="s">
        <v>170</v>
      </c>
      <c r="D52" s="47" t="s">
        <v>164</v>
      </c>
      <c r="E52" s="47" t="s">
        <v>171</v>
      </c>
      <c r="F52" s="47">
        <v>1</v>
      </c>
      <c r="G52" s="35">
        <f>G53+F52</f>
        <v>488</v>
      </c>
    </row>
    <row r="53" spans="2:7" ht="17.25">
      <c r="B53" s="46">
        <v>45972</v>
      </c>
      <c r="C53" s="47" t="s">
        <v>170</v>
      </c>
      <c r="D53" s="47" t="s">
        <v>162</v>
      </c>
      <c r="E53" s="47" t="s">
        <v>172</v>
      </c>
      <c r="F53" s="47">
        <v>20</v>
      </c>
      <c r="G53" s="35">
        <f t="shared" si="0"/>
        <v>487</v>
      </c>
    </row>
    <row r="54" spans="2:7" ht="17.25">
      <c r="B54" s="46">
        <v>45960</v>
      </c>
      <c r="C54" s="47" t="s">
        <v>166</v>
      </c>
      <c r="D54" s="47" t="s">
        <v>166</v>
      </c>
      <c r="E54" s="47" t="s">
        <v>175</v>
      </c>
      <c r="F54" s="47">
        <v>10</v>
      </c>
      <c r="G54" s="35">
        <f t="shared" si="0"/>
        <v>467</v>
      </c>
    </row>
    <row r="55" spans="2:7" ht="17.25">
      <c r="B55" s="46">
        <v>45956</v>
      </c>
      <c r="C55" s="47" t="s">
        <v>168</v>
      </c>
      <c r="D55" s="47" t="s">
        <v>160</v>
      </c>
      <c r="E55" s="47" t="s">
        <v>169</v>
      </c>
      <c r="F55" s="47">
        <v>5</v>
      </c>
      <c r="G55" s="35">
        <f t="shared" si="0"/>
        <v>457</v>
      </c>
    </row>
    <row r="56" spans="2:7" ht="17.25">
      <c r="B56" s="46">
        <v>45955</v>
      </c>
      <c r="C56" s="47" t="s">
        <v>168</v>
      </c>
      <c r="D56" s="47" t="s">
        <v>160</v>
      </c>
      <c r="E56" s="47" t="s">
        <v>169</v>
      </c>
      <c r="F56" s="47">
        <v>5</v>
      </c>
      <c r="G56" s="35">
        <f t="shared" si="0"/>
        <v>452</v>
      </c>
    </row>
    <row r="57" spans="2:7" ht="17.25">
      <c r="B57" s="46">
        <v>45953</v>
      </c>
      <c r="C57" s="47" t="s">
        <v>168</v>
      </c>
      <c r="D57" s="47" t="s">
        <v>160</v>
      </c>
      <c r="E57" s="47" t="s">
        <v>169</v>
      </c>
      <c r="F57" s="47">
        <v>5</v>
      </c>
      <c r="G57" s="35">
        <f t="shared" si="0"/>
        <v>447</v>
      </c>
    </row>
    <row r="58" spans="2:7" ht="17.25">
      <c r="B58" s="46">
        <v>45952</v>
      </c>
      <c r="C58" s="47" t="s">
        <v>170</v>
      </c>
      <c r="D58" s="47" t="s">
        <v>165</v>
      </c>
      <c r="E58" s="47" t="s">
        <v>173</v>
      </c>
      <c r="F58" s="47">
        <v>1</v>
      </c>
      <c r="G58" s="35">
        <f t="shared" si="0"/>
        <v>442</v>
      </c>
    </row>
    <row r="59" spans="2:7" ht="17.25">
      <c r="B59" s="46">
        <v>45951</v>
      </c>
      <c r="C59" s="47" t="s">
        <v>168</v>
      </c>
      <c r="D59" s="47" t="s">
        <v>160</v>
      </c>
      <c r="E59" s="47" t="s">
        <v>169</v>
      </c>
      <c r="F59" s="47">
        <v>10</v>
      </c>
      <c r="G59" s="35">
        <f t="shared" si="0"/>
        <v>441</v>
      </c>
    </row>
    <row r="60" spans="2:7" ht="17.25">
      <c r="B60" s="46">
        <v>45947</v>
      </c>
      <c r="C60" s="47" t="s">
        <v>170</v>
      </c>
      <c r="D60" s="47" t="s">
        <v>163</v>
      </c>
      <c r="E60" s="47" t="s">
        <v>163</v>
      </c>
      <c r="F60" s="47">
        <v>1</v>
      </c>
      <c r="G60" s="35">
        <f t="shared" si="0"/>
        <v>431</v>
      </c>
    </row>
    <row r="61" spans="2:7" ht="17.25">
      <c r="B61" s="46">
        <v>45945</v>
      </c>
      <c r="C61" s="47" t="s">
        <v>170</v>
      </c>
      <c r="D61" s="47" t="s">
        <v>164</v>
      </c>
      <c r="E61" s="47" t="s">
        <v>171</v>
      </c>
      <c r="F61" s="47">
        <v>1</v>
      </c>
      <c r="G61" s="35">
        <f t="shared" si="0"/>
        <v>430</v>
      </c>
    </row>
    <row r="62" spans="2:7" ht="17.25">
      <c r="B62" s="46">
        <v>45943</v>
      </c>
      <c r="C62" s="47" t="s">
        <v>168</v>
      </c>
      <c r="D62" s="47" t="s">
        <v>160</v>
      </c>
      <c r="E62" s="47" t="s">
        <v>169</v>
      </c>
      <c r="F62" s="47">
        <v>5</v>
      </c>
      <c r="G62" s="35">
        <f t="shared" si="0"/>
        <v>429</v>
      </c>
    </row>
    <row r="63" spans="2:7" ht="17.25">
      <c r="B63" s="46">
        <v>45941</v>
      </c>
      <c r="C63" s="47" t="s">
        <v>170</v>
      </c>
      <c r="D63" s="47" t="s">
        <v>162</v>
      </c>
      <c r="E63" s="47" t="s">
        <v>172</v>
      </c>
      <c r="F63" s="47">
        <v>15</v>
      </c>
      <c r="G63" s="35">
        <f t="shared" si="0"/>
        <v>424</v>
      </c>
    </row>
    <row r="64" spans="2:7" ht="17.25">
      <c r="B64" s="46">
        <v>45941</v>
      </c>
      <c r="C64" s="47" t="s">
        <v>168</v>
      </c>
      <c r="D64" s="47" t="s">
        <v>160</v>
      </c>
      <c r="E64" s="47" t="s">
        <v>169</v>
      </c>
      <c r="F64" s="47">
        <v>5</v>
      </c>
      <c r="G64" s="35">
        <f t="shared" si="0"/>
        <v>409</v>
      </c>
    </row>
    <row r="65" spans="2:7" ht="17.25">
      <c r="B65" s="46">
        <v>45937</v>
      </c>
      <c r="C65" s="47" t="s">
        <v>168</v>
      </c>
      <c r="D65" s="47" t="s">
        <v>160</v>
      </c>
      <c r="E65" s="47" t="s">
        <v>169</v>
      </c>
      <c r="F65" s="47">
        <v>35</v>
      </c>
      <c r="G65" s="35">
        <f t="shared" si="0"/>
        <v>404</v>
      </c>
    </row>
    <row r="66" spans="2:7" ht="17.25">
      <c r="B66" s="46">
        <v>45936</v>
      </c>
      <c r="C66" s="47" t="s">
        <v>168</v>
      </c>
      <c r="D66" s="47" t="s">
        <v>160</v>
      </c>
      <c r="E66" s="47" t="s">
        <v>169</v>
      </c>
      <c r="F66" s="47">
        <v>5</v>
      </c>
      <c r="G66" s="35">
        <f t="shared" si="0"/>
        <v>369</v>
      </c>
    </row>
    <row r="67" spans="2:7" ht="17.25">
      <c r="B67" s="46">
        <v>45934</v>
      </c>
      <c r="C67" s="47" t="s">
        <v>168</v>
      </c>
      <c r="D67" s="47" t="s">
        <v>160</v>
      </c>
      <c r="E67" s="47" t="s">
        <v>169</v>
      </c>
      <c r="F67" s="47">
        <v>5</v>
      </c>
      <c r="G67" s="35">
        <f t="shared" si="0"/>
        <v>364</v>
      </c>
    </row>
    <row r="68" spans="2:7" ht="17.25">
      <c r="B68" s="46">
        <v>45930</v>
      </c>
      <c r="C68" s="47" t="s">
        <v>168</v>
      </c>
      <c r="D68" s="47" t="s">
        <v>160</v>
      </c>
      <c r="E68" s="47" t="s">
        <v>169</v>
      </c>
      <c r="F68" s="47">
        <v>45</v>
      </c>
      <c r="G68" s="35">
        <f t="shared" si="0"/>
        <v>359</v>
      </c>
    </row>
    <row r="69" spans="2:7" ht="17.25">
      <c r="B69" s="46">
        <v>45929</v>
      </c>
      <c r="C69" s="47" t="s">
        <v>168</v>
      </c>
      <c r="D69" s="47" t="s">
        <v>160</v>
      </c>
      <c r="E69" s="47" t="s">
        <v>169</v>
      </c>
      <c r="F69" s="47">
        <v>45</v>
      </c>
      <c r="G69" s="35">
        <f t="shared" si="0"/>
        <v>314</v>
      </c>
    </row>
    <row r="70" spans="2:7" ht="17.25">
      <c r="B70" s="46">
        <v>45928</v>
      </c>
      <c r="C70" s="47" t="s">
        <v>168</v>
      </c>
      <c r="D70" s="47" t="s">
        <v>160</v>
      </c>
      <c r="E70" s="47" t="s">
        <v>169</v>
      </c>
      <c r="F70" s="47">
        <v>35</v>
      </c>
      <c r="G70" s="35">
        <f t="shared" si="0"/>
        <v>269</v>
      </c>
    </row>
    <row r="71" spans="2:7" ht="17.25">
      <c r="B71" s="46">
        <v>45919</v>
      </c>
      <c r="C71" s="47" t="s">
        <v>168</v>
      </c>
      <c r="D71" s="47" t="s">
        <v>160</v>
      </c>
      <c r="E71" s="47" t="s">
        <v>169</v>
      </c>
      <c r="F71" s="47">
        <v>5</v>
      </c>
      <c r="G71" s="35">
        <f t="shared" si="0"/>
        <v>234</v>
      </c>
    </row>
    <row r="72" spans="2:7" ht="17.25">
      <c r="B72" s="46">
        <v>45917</v>
      </c>
      <c r="C72" s="47" t="s">
        <v>168</v>
      </c>
      <c r="D72" s="47" t="s">
        <v>160</v>
      </c>
      <c r="E72" s="47" t="s">
        <v>169</v>
      </c>
      <c r="F72" s="47">
        <v>5</v>
      </c>
      <c r="G72" s="35">
        <f t="shared" si="0"/>
        <v>229</v>
      </c>
    </row>
    <row r="73" spans="2:7" ht="17.25">
      <c r="B73" s="46">
        <v>45916</v>
      </c>
      <c r="C73" s="47" t="s">
        <v>170</v>
      </c>
      <c r="D73" s="47" t="s">
        <v>163</v>
      </c>
      <c r="E73" s="47" t="s">
        <v>163</v>
      </c>
      <c r="F73" s="47">
        <v>1</v>
      </c>
      <c r="G73" s="35">
        <f t="shared" si="0"/>
        <v>224</v>
      </c>
    </row>
    <row r="74" spans="2:7" ht="17.25">
      <c r="B74" s="46">
        <v>45915</v>
      </c>
      <c r="C74" s="47" t="s">
        <v>170</v>
      </c>
      <c r="D74" s="47" t="s">
        <v>164</v>
      </c>
      <c r="E74" s="47" t="s">
        <v>171</v>
      </c>
      <c r="F74" s="47">
        <v>1</v>
      </c>
      <c r="G74" s="35">
        <f t="shared" si="0"/>
        <v>223</v>
      </c>
    </row>
    <row r="75" spans="2:7" ht="17.25">
      <c r="B75" s="46">
        <v>45911</v>
      </c>
      <c r="C75" s="47" t="s">
        <v>170</v>
      </c>
      <c r="D75" s="47" t="s">
        <v>162</v>
      </c>
      <c r="E75" s="47" t="s">
        <v>172</v>
      </c>
      <c r="F75" s="47">
        <v>5</v>
      </c>
      <c r="G75" s="35">
        <f t="shared" si="0"/>
        <v>222</v>
      </c>
    </row>
    <row r="76" spans="2:7" ht="17.25">
      <c r="B76" s="46">
        <v>45905</v>
      </c>
      <c r="C76" s="47" t="s">
        <v>168</v>
      </c>
      <c r="D76" s="47" t="s">
        <v>160</v>
      </c>
      <c r="E76" s="47" t="s">
        <v>169</v>
      </c>
      <c r="F76" s="47">
        <v>5</v>
      </c>
      <c r="G76" s="35">
        <f t="shared" si="0"/>
        <v>217</v>
      </c>
    </row>
    <row r="77" spans="2:7" ht="17.25">
      <c r="B77" s="46">
        <v>45903</v>
      </c>
      <c r="C77" s="47" t="s">
        <v>168</v>
      </c>
      <c r="D77" s="47" t="s">
        <v>160</v>
      </c>
      <c r="E77" s="47" t="s">
        <v>169</v>
      </c>
      <c r="F77" s="47">
        <v>5</v>
      </c>
      <c r="G77" s="35">
        <f t="shared" si="0"/>
        <v>212</v>
      </c>
    </row>
    <row r="78" spans="2:7" ht="17.25">
      <c r="B78" s="46">
        <v>45893</v>
      </c>
      <c r="C78" s="47" t="s">
        <v>168</v>
      </c>
      <c r="D78" s="47" t="s">
        <v>160</v>
      </c>
      <c r="E78" s="47" t="s">
        <v>169</v>
      </c>
      <c r="F78" s="47">
        <v>5</v>
      </c>
      <c r="G78" s="35">
        <f t="shared" si="0"/>
        <v>207</v>
      </c>
    </row>
    <row r="79" spans="2:7" ht="17.25">
      <c r="B79" s="46">
        <v>45892</v>
      </c>
      <c r="C79" s="47" t="s">
        <v>168</v>
      </c>
      <c r="D79" s="47" t="s">
        <v>160</v>
      </c>
      <c r="E79" s="47" t="s">
        <v>169</v>
      </c>
      <c r="F79" s="47">
        <v>5</v>
      </c>
      <c r="G79" s="35">
        <f t="shared" si="0"/>
        <v>202</v>
      </c>
    </row>
    <row r="80" spans="2:7" ht="17.25">
      <c r="B80" s="46">
        <v>45888</v>
      </c>
      <c r="C80" s="47" t="s">
        <v>170</v>
      </c>
      <c r="D80" s="47" t="s">
        <v>163</v>
      </c>
      <c r="E80" s="47" t="s">
        <v>163</v>
      </c>
      <c r="F80" s="47">
        <v>1</v>
      </c>
      <c r="G80" s="35">
        <f t="shared" si="0"/>
        <v>197</v>
      </c>
    </row>
    <row r="81" spans="2:7" ht="17.25">
      <c r="B81" s="46">
        <v>45884</v>
      </c>
      <c r="C81" s="47" t="s">
        <v>170</v>
      </c>
      <c r="D81" s="47" t="s">
        <v>164</v>
      </c>
      <c r="E81" s="47" t="s">
        <v>171</v>
      </c>
      <c r="F81" s="47">
        <v>1</v>
      </c>
      <c r="G81" s="35">
        <f t="shared" si="0"/>
        <v>196</v>
      </c>
    </row>
    <row r="82" spans="2:7" ht="17.25">
      <c r="B82" s="46">
        <v>45877</v>
      </c>
      <c r="C82" s="47" t="s">
        <v>168</v>
      </c>
      <c r="D82" s="47" t="s">
        <v>160</v>
      </c>
      <c r="E82" s="47" t="s">
        <v>169</v>
      </c>
      <c r="F82" s="47">
        <v>10</v>
      </c>
      <c r="G82" s="35">
        <f t="shared" si="0"/>
        <v>195</v>
      </c>
    </row>
    <row r="83" spans="2:7" ht="16.5">
      <c r="B83" s="48">
        <v>45874</v>
      </c>
      <c r="C83" s="34" t="s">
        <v>168</v>
      </c>
      <c r="D83" s="34" t="s">
        <v>160</v>
      </c>
      <c r="E83" s="34" t="s">
        <v>169</v>
      </c>
      <c r="F83" s="34">
        <v>5</v>
      </c>
      <c r="G83" s="35">
        <f t="shared" si="0"/>
        <v>185</v>
      </c>
    </row>
    <row r="84" spans="2:7" ht="16.5">
      <c r="B84" s="48">
        <v>45873</v>
      </c>
      <c r="C84" s="34" t="s">
        <v>168</v>
      </c>
      <c r="D84" s="34" t="s">
        <v>160</v>
      </c>
      <c r="E84" s="34" t="s">
        <v>169</v>
      </c>
      <c r="F84" s="34">
        <v>5</v>
      </c>
      <c r="G84" s="35">
        <f t="shared" si="0"/>
        <v>180</v>
      </c>
    </row>
    <row r="85" spans="2:7" ht="16.5">
      <c r="B85" s="48">
        <v>45867</v>
      </c>
      <c r="C85" s="34" t="s">
        <v>168</v>
      </c>
      <c r="D85" s="34" t="s">
        <v>160</v>
      </c>
      <c r="E85" s="34" t="s">
        <v>169</v>
      </c>
      <c r="F85" s="34">
        <v>5</v>
      </c>
      <c r="G85" s="35">
        <f t="shared" si="0"/>
        <v>175</v>
      </c>
    </row>
    <row r="86" spans="2:7" ht="16.5">
      <c r="B86" s="48">
        <v>45862</v>
      </c>
      <c r="C86" s="34" t="s">
        <v>168</v>
      </c>
      <c r="D86" s="34" t="s">
        <v>160</v>
      </c>
      <c r="E86" s="34" t="s">
        <v>169</v>
      </c>
      <c r="F86" s="34">
        <v>5</v>
      </c>
      <c r="G86" s="35">
        <f t="shared" si="0"/>
        <v>170</v>
      </c>
    </row>
    <row r="87" spans="2:7" ht="16.5">
      <c r="B87" s="48">
        <v>45838</v>
      </c>
      <c r="C87" s="34" t="s">
        <v>168</v>
      </c>
      <c r="D87" s="34" t="s">
        <v>160</v>
      </c>
      <c r="E87" s="34" t="s">
        <v>169</v>
      </c>
      <c r="F87" s="34">
        <v>5</v>
      </c>
      <c r="G87" s="35">
        <f t="shared" si="0"/>
        <v>165</v>
      </c>
    </row>
    <row r="88" spans="2:7" ht="16.5">
      <c r="B88" s="48">
        <v>45836</v>
      </c>
      <c r="C88" s="34" t="s">
        <v>168</v>
      </c>
      <c r="D88" s="34" t="s">
        <v>160</v>
      </c>
      <c r="E88" s="34" t="s">
        <v>169</v>
      </c>
      <c r="F88" s="34">
        <v>5</v>
      </c>
      <c r="G88" s="35">
        <f t="shared" si="0"/>
        <v>160</v>
      </c>
    </row>
    <row r="89" spans="2:7" ht="16.5">
      <c r="B89" s="48">
        <v>45789</v>
      </c>
      <c r="C89" s="34" t="s">
        <v>168</v>
      </c>
      <c r="D89" s="34" t="s">
        <v>160</v>
      </c>
      <c r="E89" s="34" t="s">
        <v>169</v>
      </c>
      <c r="F89" s="34">
        <v>5</v>
      </c>
      <c r="G89" s="35">
        <f t="shared" si="0"/>
        <v>155</v>
      </c>
    </row>
    <row r="90" spans="2:7" ht="16.5">
      <c r="B90" s="48">
        <v>45786</v>
      </c>
      <c r="C90" s="34" t="s">
        <v>168</v>
      </c>
      <c r="D90" s="34" t="s">
        <v>160</v>
      </c>
      <c r="E90" s="34" t="s">
        <v>169</v>
      </c>
      <c r="F90" s="34">
        <v>5</v>
      </c>
      <c r="G90" s="35">
        <f t="shared" si="0"/>
        <v>150</v>
      </c>
    </row>
    <row r="91" spans="2:7" ht="16.5">
      <c r="B91" s="48">
        <v>45729</v>
      </c>
      <c r="C91" s="34" t="s">
        <v>168</v>
      </c>
      <c r="D91" s="34" t="s">
        <v>160</v>
      </c>
      <c r="E91" s="34" t="s">
        <v>169</v>
      </c>
      <c r="F91" s="34">
        <v>10</v>
      </c>
      <c r="G91" s="35">
        <f t="shared" si="0"/>
        <v>145</v>
      </c>
    </row>
    <row r="92" spans="2:7" ht="16.5">
      <c r="B92" s="48">
        <v>45684</v>
      </c>
      <c r="C92" s="34" t="s">
        <v>168</v>
      </c>
      <c r="D92" s="34" t="s">
        <v>160</v>
      </c>
      <c r="E92" s="34" t="s">
        <v>169</v>
      </c>
      <c r="F92" s="34">
        <v>5</v>
      </c>
      <c r="G92" s="35">
        <f t="shared" si="0"/>
        <v>135</v>
      </c>
    </row>
    <row r="93" spans="2:7" ht="16.5">
      <c r="B93" s="48">
        <v>45682</v>
      </c>
      <c r="C93" s="34" t="s">
        <v>168</v>
      </c>
      <c r="D93" s="34" t="s">
        <v>160</v>
      </c>
      <c r="E93" s="34" t="s">
        <v>169</v>
      </c>
      <c r="F93" s="34">
        <v>5</v>
      </c>
      <c r="G93" s="35">
        <f>G94+F93</f>
        <v>130</v>
      </c>
    </row>
    <row r="94" spans="2:7" ht="16.5">
      <c r="B94" s="48">
        <v>45652</v>
      </c>
      <c r="C94" s="34" t="s">
        <v>168</v>
      </c>
      <c r="D94" s="34" t="s">
        <v>160</v>
      </c>
      <c r="E94" s="34" t="s">
        <v>169</v>
      </c>
      <c r="F94" s="34">
        <v>5</v>
      </c>
      <c r="G94" s="35">
        <f t="shared" si="0"/>
        <v>125</v>
      </c>
    </row>
    <row r="95" spans="2:7" ht="16.5">
      <c r="B95" s="48">
        <v>45649</v>
      </c>
      <c r="C95" s="34" t="s">
        <v>168</v>
      </c>
      <c r="D95" s="34" t="s">
        <v>160</v>
      </c>
      <c r="E95" s="34" t="s">
        <v>169</v>
      </c>
      <c r="F95" s="34">
        <v>5</v>
      </c>
      <c r="G95" s="35">
        <f t="shared" si="0"/>
        <v>120</v>
      </c>
    </row>
    <row r="96" spans="2:7" ht="16.5">
      <c r="B96" s="48">
        <v>45648</v>
      </c>
      <c r="C96" s="34" t="s">
        <v>168</v>
      </c>
      <c r="D96" s="34" t="s">
        <v>160</v>
      </c>
      <c r="E96" s="34" t="s">
        <v>169</v>
      </c>
      <c r="F96" s="34">
        <v>5</v>
      </c>
      <c r="G96" s="35">
        <f t="shared" si="0"/>
        <v>115</v>
      </c>
    </row>
    <row r="97" spans="2:7" ht="16.5">
      <c r="B97" s="48">
        <v>45614</v>
      </c>
      <c r="C97" s="34" t="s">
        <v>168</v>
      </c>
      <c r="D97" s="34" t="s">
        <v>160</v>
      </c>
      <c r="E97" s="34" t="s">
        <v>169</v>
      </c>
      <c r="F97" s="34">
        <v>5</v>
      </c>
      <c r="G97" s="35">
        <f t="shared" si="0"/>
        <v>110</v>
      </c>
    </row>
    <row r="98" spans="2:7" ht="16.5">
      <c r="B98" s="48">
        <v>45613</v>
      </c>
      <c r="C98" s="34" t="s">
        <v>168</v>
      </c>
      <c r="D98" s="34" t="s">
        <v>160</v>
      </c>
      <c r="E98" s="34" t="s">
        <v>169</v>
      </c>
      <c r="F98" s="34">
        <v>5</v>
      </c>
      <c r="G98" s="35">
        <f t="shared" si="0"/>
        <v>105</v>
      </c>
    </row>
    <row r="99" spans="2:7" ht="16.5">
      <c r="B99" s="48">
        <v>45592</v>
      </c>
      <c r="C99" s="34" t="s">
        <v>168</v>
      </c>
      <c r="D99" s="34" t="s">
        <v>160</v>
      </c>
      <c r="E99" s="34" t="s">
        <v>169</v>
      </c>
      <c r="F99" s="34">
        <v>5</v>
      </c>
      <c r="G99" s="35">
        <f t="shared" si="0"/>
        <v>100</v>
      </c>
    </row>
    <row r="100" spans="2:7" ht="16.5">
      <c r="B100" s="48">
        <v>45591</v>
      </c>
      <c r="C100" s="34" t="s">
        <v>168</v>
      </c>
      <c r="D100" s="34" t="s">
        <v>160</v>
      </c>
      <c r="E100" s="34" t="s">
        <v>169</v>
      </c>
      <c r="F100" s="34">
        <v>5</v>
      </c>
      <c r="G100" s="35">
        <f t="shared" si="0"/>
        <v>95</v>
      </c>
    </row>
    <row r="101" spans="2:7" ht="16.5">
      <c r="B101" s="48">
        <v>45514</v>
      </c>
      <c r="C101" s="34" t="s">
        <v>168</v>
      </c>
      <c r="D101" s="34" t="s">
        <v>160</v>
      </c>
      <c r="E101" s="34" t="s">
        <v>169</v>
      </c>
      <c r="F101" s="34">
        <v>5</v>
      </c>
      <c r="G101" s="35">
        <f t="shared" si="0"/>
        <v>90</v>
      </c>
    </row>
    <row r="102" spans="2:7" ht="16.5">
      <c r="B102" s="48">
        <v>45513</v>
      </c>
      <c r="C102" s="34" t="s">
        <v>168</v>
      </c>
      <c r="D102" s="34" t="s">
        <v>160</v>
      </c>
      <c r="E102" s="34" t="s">
        <v>169</v>
      </c>
      <c r="F102" s="34">
        <v>5</v>
      </c>
      <c r="G102" s="35">
        <f t="shared" si="0"/>
        <v>85</v>
      </c>
    </row>
    <row r="103" spans="2:7" ht="16.5">
      <c r="B103" s="48">
        <v>45335</v>
      </c>
      <c r="C103" s="34" t="s">
        <v>168</v>
      </c>
      <c r="D103" s="34" t="s">
        <v>176</v>
      </c>
      <c r="E103" s="34" t="s">
        <v>177</v>
      </c>
      <c r="F103" s="34">
        <v>20</v>
      </c>
      <c r="G103" s="35">
        <f t="shared" si="0"/>
        <v>80</v>
      </c>
    </row>
    <row r="104" spans="2:7" ht="16.5">
      <c r="B104" s="48">
        <v>45334</v>
      </c>
      <c r="C104" s="34" t="s">
        <v>168</v>
      </c>
      <c r="D104" s="34" t="s">
        <v>176</v>
      </c>
      <c r="E104" s="34" t="s">
        <v>177</v>
      </c>
      <c r="F104" s="34">
        <v>20</v>
      </c>
      <c r="G104" s="35">
        <f t="shared" si="0"/>
        <v>60</v>
      </c>
    </row>
    <row r="105" spans="2:7" ht="16.5">
      <c r="B105" s="48">
        <v>45291</v>
      </c>
      <c r="C105" s="34" t="s">
        <v>168</v>
      </c>
      <c r="D105" s="34" t="s">
        <v>176</v>
      </c>
      <c r="E105" s="34" t="s">
        <v>177</v>
      </c>
      <c r="F105" s="34">
        <v>30</v>
      </c>
      <c r="G105" s="35">
        <f>G106+F105</f>
        <v>40</v>
      </c>
    </row>
    <row r="106" spans="2:7" ht="16.5">
      <c r="B106" s="70">
        <v>45291</v>
      </c>
      <c r="C106" s="71" t="s">
        <v>168</v>
      </c>
      <c r="D106" s="71" t="s">
        <v>160</v>
      </c>
      <c r="E106" s="71" t="s">
        <v>169</v>
      </c>
      <c r="F106" s="71">
        <v>10</v>
      </c>
      <c r="G106" s="72">
        <f>F106</f>
        <v>10</v>
      </c>
    </row>
    <row r="107" spans="2:7" ht="15.75">
      <c r="B107" s="36"/>
      <c r="C107" s="33"/>
      <c r="D107" s="33"/>
      <c r="E107" s="33"/>
      <c r="F107" s="47"/>
      <c r="G107" s="35"/>
    </row>
    <row r="108" spans="2:7" ht="15.75">
      <c r="B108" s="36"/>
      <c r="C108" s="33"/>
      <c r="D108" s="33"/>
      <c r="E108" s="33"/>
      <c r="F108" s="33"/>
      <c r="G108" s="35"/>
    </row>
    <row r="109" spans="2:7">
      <c r="B109" s="35"/>
      <c r="C109" s="35"/>
      <c r="D109" s="35"/>
      <c r="E109" s="35"/>
      <c r="F109" s="35"/>
      <c r="G109" s="35"/>
    </row>
    <row r="110" spans="2:7">
      <c r="B110" s="35"/>
      <c r="C110" s="35"/>
      <c r="D110" s="35"/>
      <c r="E110" s="35"/>
      <c r="F110" s="35"/>
      <c r="G110" s="35"/>
    </row>
    <row r="111" spans="2:7">
      <c r="B111" s="35"/>
      <c r="C111" s="35"/>
      <c r="D111" s="35"/>
      <c r="E111" s="35"/>
      <c r="F111" s="35"/>
      <c r="G111" s="35"/>
    </row>
    <row r="112" spans="2:7">
      <c r="B112" s="35"/>
      <c r="C112" s="35"/>
      <c r="D112" s="35"/>
      <c r="E112" s="35"/>
      <c r="F112" s="35"/>
      <c r="G112" s="35"/>
    </row>
    <row r="113" spans="2:7">
      <c r="B113" s="35"/>
      <c r="C113" s="35"/>
      <c r="D113" s="35"/>
      <c r="E113" s="35"/>
      <c r="F113" s="35"/>
      <c r="G113" s="35"/>
    </row>
    <row r="114" spans="2:7">
      <c r="B114" s="35"/>
      <c r="C114" s="35"/>
      <c r="D114" s="35"/>
      <c r="E114" s="35"/>
      <c r="F114" s="35"/>
      <c r="G114" s="35"/>
    </row>
    <row r="115" spans="2:7">
      <c r="B115" s="35"/>
      <c r="C115" s="35"/>
      <c r="D115" s="35"/>
      <c r="E115" s="35"/>
      <c r="F115" s="35"/>
      <c r="G115" s="35"/>
    </row>
    <row r="116" spans="2:7">
      <c r="B116" s="35"/>
      <c r="C116" s="35"/>
      <c r="D116" s="35"/>
      <c r="E116" s="35"/>
      <c r="F116" s="35"/>
      <c r="G116" s="35"/>
    </row>
    <row r="117" spans="2:7">
      <c r="B117" s="35"/>
      <c r="C117" s="35"/>
      <c r="D117" s="35"/>
      <c r="E117" s="35"/>
      <c r="F117" s="35"/>
      <c r="G117" s="35"/>
    </row>
    <row r="118" spans="2:7">
      <c r="B118" s="35"/>
      <c r="C118" s="35"/>
      <c r="D118" s="35"/>
      <c r="E118" s="35"/>
      <c r="F118" s="35"/>
      <c r="G118" s="35"/>
    </row>
    <row r="119" spans="2:7">
      <c r="B119" s="35"/>
      <c r="C119" s="35"/>
      <c r="D119" s="35"/>
      <c r="E119" s="35"/>
      <c r="F119" s="35"/>
      <c r="G119" s="35"/>
    </row>
    <row r="120" spans="2:7">
      <c r="B120" s="35"/>
      <c r="C120" s="35"/>
      <c r="D120" s="35"/>
      <c r="E120" s="35"/>
      <c r="F120" s="35"/>
      <c r="G120" s="35"/>
    </row>
    <row r="121" spans="2:7">
      <c r="B121" s="35"/>
      <c r="C121" s="35"/>
      <c r="D121" s="35"/>
      <c r="E121" s="35"/>
      <c r="F121" s="35"/>
      <c r="G121" s="35"/>
    </row>
    <row r="122" spans="2:7">
      <c r="B122" s="35"/>
      <c r="C122" s="35"/>
      <c r="D122" s="35"/>
      <c r="E122" s="35"/>
      <c r="F122" s="35"/>
      <c r="G122" s="35"/>
    </row>
    <row r="123" spans="2:7">
      <c r="B123" s="35"/>
      <c r="C123" s="35"/>
      <c r="D123" s="35"/>
      <c r="E123" s="35"/>
      <c r="F123" s="35"/>
      <c r="G123" s="35"/>
    </row>
    <row r="124" spans="2:7">
      <c r="B124" s="35"/>
      <c r="C124" s="35"/>
      <c r="D124" s="35"/>
      <c r="E124" s="35"/>
      <c r="F124" s="35"/>
      <c r="G124" s="35"/>
    </row>
    <row r="125" spans="2:7">
      <c r="B125" s="35"/>
      <c r="C125" s="35"/>
      <c r="D125" s="35"/>
      <c r="E125" s="35"/>
      <c r="F125" s="35"/>
      <c r="G125" s="35"/>
    </row>
    <row r="126" spans="2:7">
      <c r="B126" s="35"/>
      <c r="C126" s="35"/>
      <c r="D126" s="35"/>
      <c r="E126" s="35"/>
      <c r="F126" s="35"/>
      <c r="G126" s="35"/>
    </row>
  </sheetData>
  <autoFilter ref="B2:G108" xr:uid="{FF582C36-6AED-433D-BA75-169649376AF6}">
    <sortState xmlns:xlrd2="http://schemas.microsoft.com/office/spreadsheetml/2017/richdata2" ref="B3:G108">
      <sortCondition ref="G2:G108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workbookViewId="0">
      <selection activeCell="C195" sqref="C195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178</v>
      </c>
      <c r="B1" s="18" t="s">
        <v>0</v>
      </c>
      <c r="C1" s="18" t="s">
        <v>179</v>
      </c>
      <c r="D1" s="18" t="s">
        <v>180</v>
      </c>
      <c r="E1" s="18" t="s">
        <v>181</v>
      </c>
      <c r="F1" s="18" t="s">
        <v>182</v>
      </c>
      <c r="G1" s="18" t="s">
        <v>183</v>
      </c>
      <c r="H1" s="18" t="s">
        <v>184</v>
      </c>
      <c r="I1" s="19" t="s">
        <v>185</v>
      </c>
      <c r="J1" s="19" t="s">
        <v>186</v>
      </c>
      <c r="K1" s="19" t="s">
        <v>187</v>
      </c>
      <c r="L1" s="19" t="s">
        <v>188</v>
      </c>
      <c r="M1" s="18" t="s">
        <v>189</v>
      </c>
    </row>
    <row r="2" spans="1:13" hidden="1">
      <c r="A2" s="15">
        <v>1</v>
      </c>
      <c r="B2" s="44">
        <v>45926</v>
      </c>
      <c r="C2" s="12" t="s">
        <v>190</v>
      </c>
      <c r="D2" s="12">
        <v>305</v>
      </c>
      <c r="E2" s="12" t="s">
        <v>191</v>
      </c>
      <c r="F2" s="13">
        <v>0.30208333333333331</v>
      </c>
      <c r="G2" s="12" t="s">
        <v>192</v>
      </c>
      <c r="H2" s="13">
        <v>0.375</v>
      </c>
      <c r="I2" s="16" t="s">
        <v>193</v>
      </c>
      <c r="J2" s="16"/>
      <c r="K2" s="23">
        <v>13320</v>
      </c>
      <c r="L2" s="16" t="s">
        <v>194</v>
      </c>
      <c r="M2" s="66"/>
    </row>
    <row r="3" spans="1:13" hidden="1">
      <c r="A3" s="15">
        <v>2</v>
      </c>
      <c r="B3" s="43">
        <v>45926</v>
      </c>
      <c r="C3" s="12" t="s">
        <v>195</v>
      </c>
      <c r="D3" s="12">
        <v>3563</v>
      </c>
      <c r="E3" s="12" t="s">
        <v>192</v>
      </c>
      <c r="F3" s="13">
        <v>0.41319444444444442</v>
      </c>
      <c r="G3" s="12" t="s">
        <v>196</v>
      </c>
      <c r="H3" s="13">
        <v>0.4548611111111111</v>
      </c>
      <c r="I3" s="16" t="s">
        <v>197</v>
      </c>
      <c r="J3" s="16"/>
      <c r="K3" s="23">
        <v>12963</v>
      </c>
      <c r="L3" s="16" t="s">
        <v>194</v>
      </c>
      <c r="M3" s="16"/>
    </row>
    <row r="4" spans="1:13" hidden="1">
      <c r="A4" s="15">
        <v>3</v>
      </c>
      <c r="B4" s="43">
        <v>45926</v>
      </c>
      <c r="C4" s="12" t="s">
        <v>195</v>
      </c>
      <c r="D4" s="12">
        <v>3564</v>
      </c>
      <c r="E4" s="12" t="s">
        <v>196</v>
      </c>
      <c r="F4" s="13">
        <v>0.47916666666666669</v>
      </c>
      <c r="G4" s="12" t="s">
        <v>192</v>
      </c>
      <c r="H4" s="13">
        <v>0.52430555555555558</v>
      </c>
      <c r="I4" s="16" t="s">
        <v>198</v>
      </c>
      <c r="J4" s="16"/>
      <c r="K4" s="23">
        <v>12963</v>
      </c>
      <c r="L4" s="16" t="s">
        <v>194</v>
      </c>
      <c r="M4" s="16"/>
    </row>
    <row r="5" spans="1:13" hidden="1">
      <c r="A5" s="15">
        <v>4</v>
      </c>
      <c r="B5" s="43">
        <v>45926</v>
      </c>
      <c r="C5" s="12" t="s">
        <v>195</v>
      </c>
      <c r="D5" s="12">
        <v>3629</v>
      </c>
      <c r="E5" s="12" t="s">
        <v>192</v>
      </c>
      <c r="F5" s="13">
        <v>0.54861111111111116</v>
      </c>
      <c r="G5" s="12" t="s">
        <v>199</v>
      </c>
      <c r="H5" s="13">
        <v>0.57986111111111116</v>
      </c>
      <c r="I5" s="16" t="s">
        <v>198</v>
      </c>
      <c r="J5" s="16"/>
      <c r="K5" s="23">
        <v>6171</v>
      </c>
      <c r="L5" s="16" t="s">
        <v>194</v>
      </c>
      <c r="M5" s="16"/>
    </row>
    <row r="6" spans="1:13" hidden="1">
      <c r="A6" s="15">
        <v>5</v>
      </c>
      <c r="B6" s="43">
        <v>45926</v>
      </c>
      <c r="C6" s="12" t="s">
        <v>195</v>
      </c>
      <c r="D6" s="12">
        <v>3630</v>
      </c>
      <c r="E6" s="12" t="s">
        <v>199</v>
      </c>
      <c r="F6" s="13">
        <v>0.60069444444444442</v>
      </c>
      <c r="G6" s="12" t="s">
        <v>192</v>
      </c>
      <c r="H6" s="13">
        <v>0.63541666666666663</v>
      </c>
      <c r="I6" s="16" t="s">
        <v>200</v>
      </c>
      <c r="J6" s="16"/>
      <c r="K6" s="23">
        <v>9410</v>
      </c>
      <c r="L6" s="16" t="s">
        <v>194</v>
      </c>
      <c r="M6" s="16"/>
    </row>
    <row r="7" spans="1:13" hidden="1">
      <c r="A7" s="15">
        <v>6</v>
      </c>
      <c r="B7" s="43">
        <v>45926</v>
      </c>
      <c r="C7" s="12" t="s">
        <v>201</v>
      </c>
      <c r="D7" s="24">
        <v>61</v>
      </c>
      <c r="E7" s="12" t="s">
        <v>192</v>
      </c>
      <c r="F7" s="13">
        <v>0.66319444444444442</v>
      </c>
      <c r="G7" s="12" t="s">
        <v>202</v>
      </c>
      <c r="H7" s="13">
        <v>0.73263888888888884</v>
      </c>
      <c r="I7" s="16" t="s">
        <v>203</v>
      </c>
      <c r="J7" s="16"/>
      <c r="K7" s="23">
        <v>10591</v>
      </c>
      <c r="L7" s="16" t="s">
        <v>194</v>
      </c>
      <c r="M7" s="16"/>
    </row>
    <row r="8" spans="1:13" hidden="1">
      <c r="A8" s="15">
        <v>7</v>
      </c>
      <c r="B8" s="43">
        <v>45926</v>
      </c>
      <c r="C8" s="12" t="s">
        <v>201</v>
      </c>
      <c r="D8" s="24">
        <v>60</v>
      </c>
      <c r="E8" s="12" t="s">
        <v>202</v>
      </c>
      <c r="F8" s="13">
        <v>0.76736111111111116</v>
      </c>
      <c r="G8" s="12" t="s">
        <v>192</v>
      </c>
      <c r="H8" s="13">
        <v>0.84027777777777779</v>
      </c>
      <c r="I8" s="16" t="s">
        <v>204</v>
      </c>
      <c r="J8" s="16"/>
      <c r="K8" s="23">
        <v>16965</v>
      </c>
      <c r="L8" s="16" t="s">
        <v>194</v>
      </c>
      <c r="M8" s="16"/>
    </row>
    <row r="9" spans="1:13" hidden="1">
      <c r="A9" s="15">
        <v>8</v>
      </c>
      <c r="B9" s="43">
        <v>45927</v>
      </c>
      <c r="C9" s="12" t="s">
        <v>201</v>
      </c>
      <c r="D9" s="12">
        <v>51</v>
      </c>
      <c r="E9" s="12" t="s">
        <v>192</v>
      </c>
      <c r="F9" s="13">
        <v>0.30208333333333331</v>
      </c>
      <c r="G9" s="12" t="s">
        <v>202</v>
      </c>
      <c r="H9" s="13">
        <v>0.36805555555555558</v>
      </c>
      <c r="I9" s="16" t="s">
        <v>193</v>
      </c>
      <c r="J9" s="16"/>
      <c r="K9" s="23">
        <v>16965</v>
      </c>
      <c r="L9" s="16" t="s">
        <v>194</v>
      </c>
      <c r="M9" s="16"/>
    </row>
    <row r="10" spans="1:13" hidden="1">
      <c r="A10" s="15">
        <v>9</v>
      </c>
      <c r="B10" s="43">
        <v>45927</v>
      </c>
      <c r="C10" s="12" t="s">
        <v>201</v>
      </c>
      <c r="D10" s="12">
        <v>605</v>
      </c>
      <c r="E10" s="12" t="s">
        <v>202</v>
      </c>
      <c r="F10" s="13">
        <v>0.39930555555555558</v>
      </c>
      <c r="G10" s="12" t="s">
        <v>205</v>
      </c>
      <c r="H10" s="13">
        <v>0.44097222222222221</v>
      </c>
      <c r="I10" s="16" t="s">
        <v>203</v>
      </c>
      <c r="J10" s="16"/>
      <c r="K10" s="23">
        <v>6180</v>
      </c>
      <c r="L10" s="16" t="s">
        <v>194</v>
      </c>
      <c r="M10" s="16"/>
    </row>
    <row r="11" spans="1:13" hidden="1">
      <c r="A11" s="15">
        <v>10</v>
      </c>
      <c r="B11" s="43">
        <v>45927</v>
      </c>
      <c r="C11" s="12" t="s">
        <v>206</v>
      </c>
      <c r="D11" s="12">
        <v>743</v>
      </c>
      <c r="E11" s="12" t="s">
        <v>205</v>
      </c>
      <c r="F11" s="13">
        <v>0.52430555555555558</v>
      </c>
      <c r="G11" s="12" t="s">
        <v>207</v>
      </c>
      <c r="H11" s="13">
        <v>0.54513888888888884</v>
      </c>
      <c r="I11" s="16" t="s">
        <v>208</v>
      </c>
      <c r="J11" s="16"/>
      <c r="K11" s="23">
        <v>6583</v>
      </c>
      <c r="L11" s="16" t="s">
        <v>194</v>
      </c>
      <c r="M11" s="16"/>
    </row>
    <row r="12" spans="1:13" hidden="1">
      <c r="A12" s="15">
        <v>11</v>
      </c>
      <c r="B12" s="43">
        <v>45927</v>
      </c>
      <c r="C12" s="12" t="s">
        <v>206</v>
      </c>
      <c r="D12" s="12">
        <v>744</v>
      </c>
      <c r="E12" s="12" t="s">
        <v>207</v>
      </c>
      <c r="F12" s="13">
        <v>0.56597222222222221</v>
      </c>
      <c r="G12" s="12" t="s">
        <v>205</v>
      </c>
      <c r="H12" s="13">
        <v>0.58680555555555558</v>
      </c>
      <c r="I12" s="16" t="s">
        <v>200</v>
      </c>
      <c r="J12" s="16"/>
      <c r="K12" s="23">
        <v>6583</v>
      </c>
      <c r="L12" s="16" t="s">
        <v>194</v>
      </c>
      <c r="M12" s="16"/>
    </row>
    <row r="13" spans="1:13" hidden="1">
      <c r="A13" s="15">
        <v>12</v>
      </c>
      <c r="B13" s="43">
        <v>45927</v>
      </c>
      <c r="C13" s="12" t="s">
        <v>206</v>
      </c>
      <c r="D13" s="12">
        <v>834</v>
      </c>
      <c r="E13" s="12" t="s">
        <v>205</v>
      </c>
      <c r="F13" s="13">
        <v>0.61111111111111116</v>
      </c>
      <c r="G13" s="12" t="s">
        <v>209</v>
      </c>
      <c r="H13" s="13">
        <v>0.63194444444444442</v>
      </c>
      <c r="I13" s="16" t="s">
        <v>198</v>
      </c>
      <c r="J13" s="16"/>
      <c r="K13" s="23">
        <v>9020</v>
      </c>
      <c r="L13" s="16" t="s">
        <v>194</v>
      </c>
      <c r="M13" s="16"/>
    </row>
    <row r="14" spans="1:13" hidden="1">
      <c r="A14" s="15">
        <v>13</v>
      </c>
      <c r="B14" s="43">
        <v>45927</v>
      </c>
      <c r="C14" s="12" t="s">
        <v>206</v>
      </c>
      <c r="D14" s="12">
        <v>897</v>
      </c>
      <c r="E14" s="12" t="s">
        <v>209</v>
      </c>
      <c r="F14" s="13">
        <v>0.65277777777777779</v>
      </c>
      <c r="G14" s="12" t="s">
        <v>210</v>
      </c>
      <c r="H14" s="13">
        <v>0.67013888888888884</v>
      </c>
      <c r="I14" s="16" t="s">
        <v>200</v>
      </c>
      <c r="J14" s="16"/>
      <c r="K14" s="23">
        <v>5434</v>
      </c>
      <c r="L14" s="16" t="s">
        <v>194</v>
      </c>
      <c r="M14" s="16"/>
    </row>
    <row r="15" spans="1:13" hidden="1">
      <c r="A15" s="15">
        <v>14</v>
      </c>
      <c r="B15" s="43">
        <v>45927</v>
      </c>
      <c r="C15" s="12" t="s">
        <v>206</v>
      </c>
      <c r="D15" s="12">
        <v>898</v>
      </c>
      <c r="E15" s="12" t="s">
        <v>210</v>
      </c>
      <c r="F15" s="13">
        <v>0.69444444444444442</v>
      </c>
      <c r="G15" s="12" t="s">
        <v>209</v>
      </c>
      <c r="H15" s="13">
        <v>0.71180555555555558</v>
      </c>
      <c r="I15" s="16" t="s">
        <v>198</v>
      </c>
      <c r="J15" s="16"/>
      <c r="K15" s="23">
        <v>5434</v>
      </c>
      <c r="L15" s="16" t="s">
        <v>194</v>
      </c>
      <c r="M15" s="16"/>
    </row>
    <row r="16" spans="1:13" hidden="1">
      <c r="A16" s="15">
        <v>15</v>
      </c>
      <c r="B16" s="43">
        <v>45927</v>
      </c>
      <c r="C16" s="12" t="s">
        <v>201</v>
      </c>
      <c r="D16" s="12">
        <v>566</v>
      </c>
      <c r="E16" s="12" t="s">
        <v>209</v>
      </c>
      <c r="F16" s="13">
        <v>0.74652777777777779</v>
      </c>
      <c r="G16" s="12" t="s">
        <v>202</v>
      </c>
      <c r="H16" s="13">
        <v>0.78472222222222221</v>
      </c>
      <c r="I16" s="16" t="s">
        <v>198</v>
      </c>
      <c r="J16" s="16"/>
      <c r="K16" s="23">
        <v>6290</v>
      </c>
      <c r="L16" s="16" t="s">
        <v>194</v>
      </c>
      <c r="M16" s="16"/>
    </row>
    <row r="17" spans="1:13" hidden="1">
      <c r="A17" s="15">
        <v>16</v>
      </c>
      <c r="B17" s="43">
        <v>45927</v>
      </c>
      <c r="C17" s="12" t="s">
        <v>201</v>
      </c>
      <c r="D17" s="12">
        <v>62</v>
      </c>
      <c r="E17" s="12" t="s">
        <v>202</v>
      </c>
      <c r="F17" s="13">
        <v>0.81597222222222221</v>
      </c>
      <c r="G17" s="12" t="s">
        <v>192</v>
      </c>
      <c r="H17" s="13">
        <v>0.89236111111111116</v>
      </c>
      <c r="I17" s="16" t="s">
        <v>211</v>
      </c>
      <c r="J17" s="16"/>
      <c r="K17" s="23">
        <v>10591</v>
      </c>
      <c r="L17" s="16" t="s">
        <v>194</v>
      </c>
      <c r="M17" s="16"/>
    </row>
    <row r="18" spans="1:13" hidden="1">
      <c r="A18" s="15">
        <v>17</v>
      </c>
      <c r="B18" s="44">
        <v>45928</v>
      </c>
      <c r="C18" s="12" t="s">
        <v>195</v>
      </c>
      <c r="D18" s="12">
        <v>3681</v>
      </c>
      <c r="E18" s="12" t="s">
        <v>192</v>
      </c>
      <c r="F18" s="13">
        <v>0.2951388888888889</v>
      </c>
      <c r="G18" s="12" t="s">
        <v>212</v>
      </c>
      <c r="H18" s="13">
        <v>0.34375</v>
      </c>
      <c r="I18" s="16" t="s">
        <v>193</v>
      </c>
      <c r="J18" s="16"/>
      <c r="K18" s="23">
        <v>13860</v>
      </c>
      <c r="L18" s="16" t="s">
        <v>194</v>
      </c>
      <c r="M18" s="16"/>
    </row>
    <row r="19" spans="1:13" hidden="1">
      <c r="A19" s="15">
        <v>18</v>
      </c>
      <c r="B19" s="43">
        <v>45928</v>
      </c>
      <c r="C19" s="12" t="s">
        <v>213</v>
      </c>
      <c r="D19" s="12">
        <v>3831</v>
      </c>
      <c r="E19" s="12" t="s">
        <v>212</v>
      </c>
      <c r="F19" s="13">
        <v>0.3923611111111111</v>
      </c>
      <c r="G19" s="12" t="s">
        <v>214</v>
      </c>
      <c r="H19" s="13">
        <v>0.40625</v>
      </c>
      <c r="I19" s="16" t="s">
        <v>215</v>
      </c>
      <c r="J19" s="16"/>
      <c r="K19" s="23">
        <v>5989</v>
      </c>
      <c r="L19" s="16" t="s">
        <v>194</v>
      </c>
      <c r="M19" s="16"/>
    </row>
    <row r="20" spans="1:13" hidden="1">
      <c r="A20" s="15">
        <v>19</v>
      </c>
      <c r="B20" s="43">
        <v>45928</v>
      </c>
      <c r="C20" s="12" t="s">
        <v>213</v>
      </c>
      <c r="D20" s="12">
        <v>3830</v>
      </c>
      <c r="E20" s="12" t="s">
        <v>214</v>
      </c>
      <c r="F20" s="13">
        <v>0.42708333333333331</v>
      </c>
      <c r="G20" s="12" t="s">
        <v>212</v>
      </c>
      <c r="H20" s="13">
        <v>0.44097222222222221</v>
      </c>
      <c r="I20" s="16" t="s">
        <v>200</v>
      </c>
      <c r="J20" s="16"/>
      <c r="K20" s="23">
        <v>5989</v>
      </c>
      <c r="L20" s="16" t="s">
        <v>194</v>
      </c>
      <c r="M20" s="16"/>
    </row>
    <row r="21" spans="1:13" hidden="1">
      <c r="A21" s="15">
        <v>20</v>
      </c>
      <c r="B21" s="43">
        <v>45928</v>
      </c>
      <c r="C21" s="12" t="s">
        <v>213</v>
      </c>
      <c r="D21" s="12">
        <v>3841</v>
      </c>
      <c r="E21" s="12" t="s">
        <v>212</v>
      </c>
      <c r="F21" s="13">
        <v>0.4548611111111111</v>
      </c>
      <c r="G21" s="12" t="s">
        <v>216</v>
      </c>
      <c r="H21" s="13">
        <v>0.47916666666666669</v>
      </c>
      <c r="I21" s="16" t="s">
        <v>217</v>
      </c>
      <c r="J21" s="16"/>
      <c r="K21" s="23">
        <v>10450</v>
      </c>
      <c r="L21" s="16" t="s">
        <v>194</v>
      </c>
      <c r="M21" s="16"/>
    </row>
    <row r="22" spans="1:13" hidden="1">
      <c r="A22" s="15">
        <v>21</v>
      </c>
      <c r="B22" s="43">
        <v>45928</v>
      </c>
      <c r="C22" s="12" t="s">
        <v>213</v>
      </c>
      <c r="D22" s="12">
        <v>3711</v>
      </c>
      <c r="E22" s="12" t="s">
        <v>216</v>
      </c>
      <c r="F22" s="13">
        <v>0.5</v>
      </c>
      <c r="G22" s="12" t="s">
        <v>218</v>
      </c>
      <c r="H22" s="13">
        <v>0.51736111111111116</v>
      </c>
      <c r="I22" s="16" t="s">
        <v>198</v>
      </c>
      <c r="J22" s="16"/>
      <c r="K22" s="23">
        <v>8580</v>
      </c>
      <c r="L22" s="16" t="s">
        <v>194</v>
      </c>
      <c r="M22" s="16"/>
    </row>
    <row r="23" spans="1:13" hidden="1">
      <c r="A23" s="15">
        <v>22</v>
      </c>
      <c r="B23" s="43">
        <v>45928</v>
      </c>
      <c r="C23" s="12" t="s">
        <v>213</v>
      </c>
      <c r="D23" s="12">
        <v>3716</v>
      </c>
      <c r="E23" s="12" t="s">
        <v>218</v>
      </c>
      <c r="F23" s="13">
        <v>0.53819444444444442</v>
      </c>
      <c r="G23" s="12" t="s">
        <v>202</v>
      </c>
      <c r="H23" s="13">
        <v>0.57291666666666663</v>
      </c>
      <c r="I23" s="16" t="s">
        <v>198</v>
      </c>
      <c r="J23" s="16"/>
      <c r="K23" s="23">
        <v>15310</v>
      </c>
      <c r="L23" s="16" t="s">
        <v>194</v>
      </c>
      <c r="M23" s="16"/>
    </row>
    <row r="24" spans="1:13" hidden="1">
      <c r="A24" s="15">
        <v>23</v>
      </c>
      <c r="B24" s="43">
        <v>45928</v>
      </c>
      <c r="C24" s="12" t="s">
        <v>201</v>
      </c>
      <c r="D24" s="12">
        <v>617</v>
      </c>
      <c r="E24" s="12" t="s">
        <v>202</v>
      </c>
      <c r="F24" s="13">
        <v>0.61458333333333337</v>
      </c>
      <c r="G24" s="12" t="s">
        <v>205</v>
      </c>
      <c r="H24" s="13">
        <v>0.65972222222222221</v>
      </c>
      <c r="I24" s="16" t="s">
        <v>204</v>
      </c>
      <c r="J24" s="16"/>
      <c r="K24" s="23">
        <v>5883</v>
      </c>
      <c r="L24" s="16" t="s">
        <v>194</v>
      </c>
      <c r="M24" s="16"/>
    </row>
    <row r="25" spans="1:13" hidden="1">
      <c r="A25" s="15">
        <v>24</v>
      </c>
      <c r="B25" s="43">
        <v>45928</v>
      </c>
      <c r="C25" s="12" t="s">
        <v>201</v>
      </c>
      <c r="D25" s="12">
        <v>622</v>
      </c>
      <c r="E25" s="12" t="s">
        <v>205</v>
      </c>
      <c r="F25" s="13">
        <v>0.68402777777777779</v>
      </c>
      <c r="G25" s="12" t="s">
        <v>202</v>
      </c>
      <c r="H25" s="13">
        <v>0.72569444444444442</v>
      </c>
      <c r="I25" s="16" t="s">
        <v>203</v>
      </c>
      <c r="J25" s="16"/>
      <c r="K25" s="23">
        <v>5883</v>
      </c>
      <c r="L25" s="16" t="s">
        <v>194</v>
      </c>
      <c r="M25" s="16"/>
    </row>
    <row r="26" spans="1:13" hidden="1">
      <c r="A26" s="15">
        <v>25</v>
      </c>
      <c r="B26" s="43">
        <v>45928</v>
      </c>
      <c r="C26" s="12" t="s">
        <v>190</v>
      </c>
      <c r="D26" s="12">
        <v>918</v>
      </c>
      <c r="E26" s="12" t="s">
        <v>202</v>
      </c>
      <c r="F26" s="13">
        <v>0.78472222222222221</v>
      </c>
      <c r="G26" s="12" t="s">
        <v>191</v>
      </c>
      <c r="H26" s="13">
        <v>0.88888888888888884</v>
      </c>
      <c r="I26" s="16" t="s">
        <v>219</v>
      </c>
      <c r="J26" s="16"/>
      <c r="K26" s="23">
        <v>22580</v>
      </c>
      <c r="L26" s="16" t="s">
        <v>194</v>
      </c>
      <c r="M26" s="16"/>
    </row>
    <row r="27" spans="1:13" hidden="1">
      <c r="A27" s="15">
        <v>26</v>
      </c>
      <c r="B27" s="43">
        <v>45934</v>
      </c>
      <c r="C27" s="12" t="s">
        <v>190</v>
      </c>
      <c r="D27" s="12">
        <v>333</v>
      </c>
      <c r="E27" s="12" t="s">
        <v>191</v>
      </c>
      <c r="F27" s="13">
        <v>0.80208333333333337</v>
      </c>
      <c r="G27" s="12" t="s">
        <v>192</v>
      </c>
      <c r="H27" s="13">
        <v>0.88194444444444442</v>
      </c>
      <c r="I27" s="16"/>
      <c r="J27" s="16"/>
      <c r="K27" s="23">
        <v>13320</v>
      </c>
      <c r="L27" s="16" t="s">
        <v>194</v>
      </c>
      <c r="M27" s="16"/>
    </row>
    <row r="28" spans="1:13" hidden="1">
      <c r="A28" s="15">
        <v>27</v>
      </c>
      <c r="B28" s="43">
        <v>45935</v>
      </c>
      <c r="C28" s="12" t="s">
        <v>201</v>
      </c>
      <c r="D28" s="12">
        <v>51</v>
      </c>
      <c r="E28" s="12" t="s">
        <v>192</v>
      </c>
      <c r="F28" s="13">
        <v>0.30208333333333331</v>
      </c>
      <c r="G28" s="12" t="s">
        <v>202</v>
      </c>
      <c r="H28" s="13">
        <v>0.37152777777777779</v>
      </c>
      <c r="I28" s="27" t="s">
        <v>193</v>
      </c>
      <c r="J28" s="16"/>
      <c r="K28" s="23">
        <v>11130</v>
      </c>
      <c r="L28" s="16" t="s">
        <v>194</v>
      </c>
      <c r="M28" s="16"/>
    </row>
    <row r="29" spans="1:13" hidden="1">
      <c r="A29" s="15">
        <v>28</v>
      </c>
      <c r="B29" s="43">
        <v>45935</v>
      </c>
      <c r="C29" s="12" t="s">
        <v>201</v>
      </c>
      <c r="D29" s="12">
        <v>605</v>
      </c>
      <c r="E29" s="12" t="s">
        <v>202</v>
      </c>
      <c r="F29" s="13">
        <v>0.40277777777777779</v>
      </c>
      <c r="G29" s="12" t="s">
        <v>205</v>
      </c>
      <c r="H29" s="13">
        <v>0.44444444444444442</v>
      </c>
      <c r="I29" s="27" t="s">
        <v>203</v>
      </c>
      <c r="J29" s="16"/>
      <c r="K29" s="23">
        <v>6180</v>
      </c>
      <c r="L29" s="16" t="s">
        <v>194</v>
      </c>
      <c r="M29" s="16"/>
    </row>
    <row r="30" spans="1:13" hidden="1">
      <c r="A30" s="15">
        <v>29</v>
      </c>
      <c r="B30" s="43">
        <v>45935</v>
      </c>
      <c r="C30" s="12" t="s">
        <v>206</v>
      </c>
      <c r="D30" s="12">
        <v>743</v>
      </c>
      <c r="E30" s="12" t="s">
        <v>205</v>
      </c>
      <c r="F30" s="13">
        <v>0.52430555555555558</v>
      </c>
      <c r="G30" s="12" t="s">
        <v>207</v>
      </c>
      <c r="H30" s="13">
        <v>0.54513888888888884</v>
      </c>
      <c r="I30" s="27" t="s">
        <v>208</v>
      </c>
      <c r="J30" s="16"/>
      <c r="K30" s="23">
        <v>6583</v>
      </c>
      <c r="L30" s="16" t="s">
        <v>194</v>
      </c>
      <c r="M30" s="16"/>
    </row>
    <row r="31" spans="1:13" hidden="1">
      <c r="A31" s="15">
        <v>30</v>
      </c>
      <c r="B31" s="43">
        <v>45935</v>
      </c>
      <c r="C31" s="12" t="s">
        <v>206</v>
      </c>
      <c r="D31" s="12">
        <v>744</v>
      </c>
      <c r="E31" s="12" t="s">
        <v>207</v>
      </c>
      <c r="F31" s="13">
        <v>0.56944444444444442</v>
      </c>
      <c r="G31" s="12" t="s">
        <v>205</v>
      </c>
      <c r="H31" s="13">
        <v>0.59027777777777779</v>
      </c>
      <c r="I31" s="27" t="s">
        <v>200</v>
      </c>
      <c r="J31" s="16"/>
      <c r="K31" s="23">
        <v>5883</v>
      </c>
      <c r="L31" s="16" t="s">
        <v>194</v>
      </c>
      <c r="M31" s="16"/>
    </row>
    <row r="32" spans="1:13" hidden="1">
      <c r="A32" s="15">
        <v>31</v>
      </c>
      <c r="B32" s="43">
        <v>45935</v>
      </c>
      <c r="C32" s="12" t="s">
        <v>206</v>
      </c>
      <c r="D32" s="12">
        <v>834</v>
      </c>
      <c r="E32" s="12" t="s">
        <v>205</v>
      </c>
      <c r="F32" s="13">
        <v>0.61805555555555558</v>
      </c>
      <c r="G32" s="12" t="s">
        <v>209</v>
      </c>
      <c r="H32" s="13">
        <v>0.63888888888888884</v>
      </c>
      <c r="I32" s="27" t="s">
        <v>198</v>
      </c>
      <c r="J32" s="16"/>
      <c r="K32" s="23">
        <v>9570</v>
      </c>
      <c r="L32" s="16" t="s">
        <v>194</v>
      </c>
      <c r="M32" s="16"/>
    </row>
    <row r="33" spans="1:13" hidden="1">
      <c r="A33" s="15">
        <v>32</v>
      </c>
      <c r="B33" s="43">
        <v>45935</v>
      </c>
      <c r="C33" s="12" t="s">
        <v>201</v>
      </c>
      <c r="D33" s="12">
        <v>564</v>
      </c>
      <c r="E33" s="12" t="s">
        <v>209</v>
      </c>
      <c r="F33" s="13">
        <v>0.70486111111111116</v>
      </c>
      <c r="G33" s="12" t="s">
        <v>202</v>
      </c>
      <c r="H33" s="13">
        <v>0.73958333333333337</v>
      </c>
      <c r="I33" s="27" t="s">
        <v>220</v>
      </c>
      <c r="J33" s="16"/>
      <c r="K33" s="23">
        <v>6290</v>
      </c>
      <c r="L33" s="16" t="s">
        <v>194</v>
      </c>
      <c r="M33" s="16"/>
    </row>
    <row r="34" spans="1:13" hidden="1">
      <c r="A34" s="15">
        <v>33</v>
      </c>
      <c r="B34" s="43">
        <v>45935</v>
      </c>
      <c r="C34" s="12" t="s">
        <v>190</v>
      </c>
      <c r="D34" s="12">
        <v>920</v>
      </c>
      <c r="E34" s="12" t="s">
        <v>202</v>
      </c>
      <c r="F34" s="13">
        <v>0.81944444444444442</v>
      </c>
      <c r="G34" s="12" t="s">
        <v>191</v>
      </c>
      <c r="H34" s="13">
        <v>0.91666666666666663</v>
      </c>
      <c r="I34" s="27" t="s">
        <v>221</v>
      </c>
      <c r="J34" s="16"/>
      <c r="K34" s="23">
        <v>22030</v>
      </c>
      <c r="L34" s="16" t="s">
        <v>194</v>
      </c>
      <c r="M34" s="16"/>
    </row>
    <row r="35" spans="1:13" hidden="1">
      <c r="A35" s="15">
        <v>34</v>
      </c>
      <c r="B35" s="43">
        <v>45890</v>
      </c>
      <c r="C35" s="12" t="s">
        <v>190</v>
      </c>
      <c r="D35" s="12">
        <v>487</v>
      </c>
      <c r="E35" s="12" t="s">
        <v>191</v>
      </c>
      <c r="F35" s="13">
        <v>0.84375</v>
      </c>
      <c r="G35" s="12" t="s">
        <v>222</v>
      </c>
      <c r="H35" s="13">
        <v>0.89583333333333337</v>
      </c>
      <c r="I35" s="27"/>
      <c r="J35" s="16"/>
      <c r="K35" s="23">
        <v>0</v>
      </c>
      <c r="L35" s="16" t="s">
        <v>194</v>
      </c>
      <c r="M35" s="16"/>
    </row>
    <row r="36" spans="1:13" hidden="1">
      <c r="A36" s="15">
        <v>35</v>
      </c>
      <c r="B36" s="43">
        <v>45891</v>
      </c>
      <c r="C36" s="12" t="s">
        <v>190</v>
      </c>
      <c r="D36" s="12">
        <v>482</v>
      </c>
      <c r="E36" s="12" t="s">
        <v>222</v>
      </c>
      <c r="F36" s="13">
        <v>0.63541666666666663</v>
      </c>
      <c r="G36" s="12" t="s">
        <v>191</v>
      </c>
      <c r="H36" s="13">
        <v>0.69791666666666663</v>
      </c>
      <c r="I36" s="27"/>
      <c r="J36" s="16"/>
      <c r="K36" s="16">
        <v>0</v>
      </c>
      <c r="L36" s="16" t="s">
        <v>194</v>
      </c>
      <c r="M36" s="16"/>
    </row>
    <row r="37" spans="1:13" hidden="1">
      <c r="A37" s="15">
        <v>36</v>
      </c>
      <c r="B37" s="43">
        <v>45902</v>
      </c>
      <c r="C37" s="12" t="s">
        <v>190</v>
      </c>
      <c r="D37" s="12">
        <v>317</v>
      </c>
      <c r="E37" s="12" t="s">
        <v>191</v>
      </c>
      <c r="F37" s="13">
        <v>0.52083333333333337</v>
      </c>
      <c r="G37" s="12" t="s">
        <v>192</v>
      </c>
      <c r="H37" s="13">
        <v>0.57638888888888884</v>
      </c>
      <c r="I37" s="27"/>
      <c r="J37" s="16"/>
      <c r="K37" s="16">
        <v>0</v>
      </c>
      <c r="L37" s="16" t="s">
        <v>194</v>
      </c>
      <c r="M37" s="16"/>
    </row>
    <row r="38" spans="1:13" hidden="1">
      <c r="A38" s="15">
        <v>37</v>
      </c>
      <c r="B38" s="43">
        <v>45903</v>
      </c>
      <c r="C38" s="12" t="s">
        <v>190</v>
      </c>
      <c r="D38" s="12">
        <v>300</v>
      </c>
      <c r="E38" s="12" t="s">
        <v>192</v>
      </c>
      <c r="F38" s="13">
        <v>0.29166666666666669</v>
      </c>
      <c r="G38" s="12" t="s">
        <v>191</v>
      </c>
      <c r="H38" s="13">
        <v>0.3611111111111111</v>
      </c>
      <c r="I38" s="27"/>
      <c r="J38" s="16"/>
      <c r="K38" s="16">
        <v>0</v>
      </c>
      <c r="L38" s="16" t="s">
        <v>194</v>
      </c>
      <c r="M38" s="16"/>
    </row>
    <row r="39" spans="1:13" hidden="1">
      <c r="A39" s="15">
        <v>38</v>
      </c>
      <c r="B39" s="43">
        <v>45949</v>
      </c>
      <c r="C39" s="12" t="s">
        <v>190</v>
      </c>
      <c r="D39" s="12">
        <v>491</v>
      </c>
      <c r="E39" s="12" t="s">
        <v>191</v>
      </c>
      <c r="F39" s="13">
        <v>0.3125</v>
      </c>
      <c r="G39" s="12" t="s">
        <v>222</v>
      </c>
      <c r="H39" s="13">
        <v>0.375</v>
      </c>
      <c r="I39" s="27"/>
      <c r="J39" s="16"/>
      <c r="K39" s="16">
        <v>20700</v>
      </c>
      <c r="L39" s="16" t="s">
        <v>194</v>
      </c>
      <c r="M39" s="16"/>
    </row>
    <row r="40" spans="1:13" hidden="1">
      <c r="A40" s="15">
        <v>39</v>
      </c>
      <c r="B40" s="43">
        <v>45949</v>
      </c>
      <c r="C40" s="12" t="s">
        <v>190</v>
      </c>
      <c r="D40" s="12">
        <v>492</v>
      </c>
      <c r="E40" s="12" t="s">
        <v>222</v>
      </c>
      <c r="F40" s="13">
        <v>0.40277777777777779</v>
      </c>
      <c r="G40" s="12" t="s">
        <v>191</v>
      </c>
      <c r="H40" s="13">
        <v>0.45833333333333331</v>
      </c>
      <c r="I40" s="27"/>
      <c r="J40" s="16"/>
      <c r="K40" s="16">
        <v>0</v>
      </c>
      <c r="L40" s="16" t="s">
        <v>194</v>
      </c>
      <c r="M40" s="16"/>
    </row>
    <row r="41" spans="1:13" hidden="1">
      <c r="A41" s="15">
        <v>40</v>
      </c>
      <c r="B41" s="43">
        <v>45589</v>
      </c>
      <c r="C41" s="12" t="s">
        <v>190</v>
      </c>
      <c r="D41" s="12">
        <v>319</v>
      </c>
      <c r="E41" s="12" t="s">
        <v>191</v>
      </c>
      <c r="F41" s="13"/>
      <c r="G41" s="12" t="s">
        <v>192</v>
      </c>
      <c r="H41" s="13"/>
      <c r="I41" s="27"/>
      <c r="J41" s="16"/>
      <c r="K41" s="16">
        <v>0</v>
      </c>
      <c r="L41" s="16" t="s">
        <v>194</v>
      </c>
      <c r="M41" s="16"/>
    </row>
    <row r="42" spans="1:13" hidden="1">
      <c r="A42" s="15">
        <v>41</v>
      </c>
      <c r="B42" s="43">
        <v>45590</v>
      </c>
      <c r="C42" s="12" t="s">
        <v>190</v>
      </c>
      <c r="D42" s="12">
        <v>318</v>
      </c>
      <c r="E42" s="12" t="s">
        <v>192</v>
      </c>
      <c r="F42" s="13"/>
      <c r="G42" s="12" t="s">
        <v>191</v>
      </c>
      <c r="H42" s="13"/>
      <c r="I42" s="27"/>
      <c r="J42" s="16"/>
      <c r="K42" s="16">
        <v>0</v>
      </c>
      <c r="L42" s="16" t="s">
        <v>194</v>
      </c>
      <c r="M42" s="16"/>
    </row>
    <row r="43" spans="1:13" hidden="1">
      <c r="A43" s="15">
        <v>42</v>
      </c>
      <c r="B43" s="43">
        <v>45611</v>
      </c>
      <c r="C43" s="12" t="s">
        <v>190</v>
      </c>
      <c r="D43" s="12">
        <v>434</v>
      </c>
      <c r="E43" s="12" t="s">
        <v>191</v>
      </c>
      <c r="F43" s="13"/>
      <c r="G43" s="12" t="s">
        <v>223</v>
      </c>
      <c r="H43" s="13"/>
      <c r="I43" s="27"/>
      <c r="J43" s="16"/>
      <c r="K43" s="16">
        <v>0</v>
      </c>
      <c r="L43" s="16" t="s">
        <v>194</v>
      </c>
      <c r="M43" s="16"/>
    </row>
    <row r="44" spans="1:13" hidden="1">
      <c r="A44" s="15">
        <v>43</v>
      </c>
      <c r="B44" s="43">
        <v>45612</v>
      </c>
      <c r="C44" s="12" t="s">
        <v>190</v>
      </c>
      <c r="D44" s="12">
        <v>431</v>
      </c>
      <c r="E44" s="12" t="s">
        <v>223</v>
      </c>
      <c r="F44" s="13"/>
      <c r="G44" s="12" t="s">
        <v>191</v>
      </c>
      <c r="H44" s="13"/>
      <c r="I44" s="27"/>
      <c r="J44" s="16"/>
      <c r="K44" s="16">
        <v>0</v>
      </c>
      <c r="L44" s="16" t="s">
        <v>194</v>
      </c>
      <c r="M44" s="16"/>
    </row>
    <row r="45" spans="1:13" hidden="1">
      <c r="A45" s="15">
        <v>44</v>
      </c>
      <c r="B45" s="43">
        <v>45650</v>
      </c>
      <c r="C45" s="12" t="s">
        <v>190</v>
      </c>
      <c r="D45" s="12">
        <v>335</v>
      </c>
      <c r="E45" s="12" t="s">
        <v>191</v>
      </c>
      <c r="F45" s="13"/>
      <c r="G45" s="12" t="s">
        <v>192</v>
      </c>
      <c r="H45" s="13"/>
      <c r="I45" s="27"/>
      <c r="J45" s="16"/>
      <c r="K45" s="23">
        <v>17640</v>
      </c>
      <c r="L45" s="16" t="s">
        <v>194</v>
      </c>
      <c r="M45" s="16"/>
    </row>
    <row r="46" spans="1:13" hidden="1">
      <c r="A46" s="15">
        <v>45</v>
      </c>
      <c r="B46" s="43">
        <v>45646</v>
      </c>
      <c r="C46" s="12" t="s">
        <v>190</v>
      </c>
      <c r="D46" s="12">
        <v>431</v>
      </c>
      <c r="E46" s="12" t="s">
        <v>191</v>
      </c>
      <c r="F46" s="13"/>
      <c r="G46" s="12" t="s">
        <v>223</v>
      </c>
      <c r="H46" s="13"/>
      <c r="I46" s="27"/>
      <c r="J46" s="16"/>
      <c r="K46" s="16">
        <v>0</v>
      </c>
      <c r="L46" s="16" t="s">
        <v>194</v>
      </c>
      <c r="M46" s="16"/>
    </row>
    <row r="47" spans="1:13" hidden="1">
      <c r="A47" s="15">
        <v>46</v>
      </c>
      <c r="B47" s="43">
        <v>45647</v>
      </c>
      <c r="C47" s="12" t="s">
        <v>190</v>
      </c>
      <c r="D47" s="12">
        <v>432</v>
      </c>
      <c r="E47" s="12" t="s">
        <v>223</v>
      </c>
      <c r="F47" s="13"/>
      <c r="G47" s="12" t="s">
        <v>191</v>
      </c>
      <c r="H47" s="13"/>
      <c r="I47" s="27"/>
      <c r="J47" s="16"/>
      <c r="K47" s="16">
        <v>0</v>
      </c>
      <c r="L47" s="16" t="s">
        <v>194</v>
      </c>
      <c r="M47" s="16"/>
    </row>
    <row r="48" spans="1:13" hidden="1">
      <c r="A48" s="15">
        <v>47</v>
      </c>
      <c r="B48" s="43">
        <v>45680</v>
      </c>
      <c r="C48" s="12" t="s">
        <v>190</v>
      </c>
      <c r="D48" s="12">
        <v>307</v>
      </c>
      <c r="E48" s="12" t="s">
        <v>191</v>
      </c>
      <c r="F48" s="13"/>
      <c r="G48" s="12" t="s">
        <v>192</v>
      </c>
      <c r="H48" s="13"/>
      <c r="I48" s="27"/>
      <c r="J48" s="16"/>
      <c r="K48" s="16">
        <v>0</v>
      </c>
      <c r="L48" s="16" t="s">
        <v>194</v>
      </c>
      <c r="M48" s="16"/>
    </row>
    <row r="49" spans="1:13" hidden="1">
      <c r="A49" s="15">
        <v>48</v>
      </c>
      <c r="B49" s="43">
        <v>45682</v>
      </c>
      <c r="C49" s="12" t="s">
        <v>190</v>
      </c>
      <c r="D49" s="12">
        <v>306</v>
      </c>
      <c r="E49" s="12" t="s">
        <v>192</v>
      </c>
      <c r="F49" s="13"/>
      <c r="G49" s="12" t="s">
        <v>191</v>
      </c>
      <c r="H49" s="13"/>
      <c r="I49" s="27"/>
      <c r="J49" s="16"/>
      <c r="K49" s="16">
        <v>0</v>
      </c>
      <c r="L49" s="16" t="s">
        <v>194</v>
      </c>
      <c r="M49" s="16"/>
    </row>
    <row r="50" spans="1:13" hidden="1">
      <c r="A50" s="15">
        <v>49</v>
      </c>
      <c r="B50" s="43">
        <v>45727</v>
      </c>
      <c r="C50" s="12" t="s">
        <v>190</v>
      </c>
      <c r="D50" s="12">
        <v>330</v>
      </c>
      <c r="E50" s="12" t="s">
        <v>191</v>
      </c>
      <c r="F50" s="13"/>
      <c r="G50" s="12" t="s">
        <v>192</v>
      </c>
      <c r="H50" s="13"/>
      <c r="I50" s="27"/>
      <c r="J50" s="16"/>
      <c r="K50" s="16">
        <v>0</v>
      </c>
      <c r="L50" s="16" t="s">
        <v>194</v>
      </c>
      <c r="M50" s="16"/>
    </row>
    <row r="51" spans="1:13" hidden="1">
      <c r="A51" s="15">
        <v>50</v>
      </c>
      <c r="B51" s="43">
        <v>45727</v>
      </c>
      <c r="C51" s="12" t="s">
        <v>190</v>
      </c>
      <c r="D51" s="12">
        <v>305</v>
      </c>
      <c r="E51" s="12" t="s">
        <v>192</v>
      </c>
      <c r="F51" s="13"/>
      <c r="G51" s="12" t="s">
        <v>191</v>
      </c>
      <c r="H51" s="13"/>
      <c r="I51" s="27"/>
      <c r="J51" s="16"/>
      <c r="K51" s="16">
        <v>0</v>
      </c>
      <c r="L51" s="16" t="s">
        <v>194</v>
      </c>
      <c r="M51" s="16"/>
    </row>
    <row r="52" spans="1:13" hidden="1">
      <c r="A52" s="15">
        <v>51</v>
      </c>
      <c r="B52" s="43">
        <v>45860</v>
      </c>
      <c r="C52" s="12" t="s">
        <v>190</v>
      </c>
      <c r="D52" s="12">
        <v>307</v>
      </c>
      <c r="E52" s="12" t="s">
        <v>191</v>
      </c>
      <c r="F52" s="13"/>
      <c r="G52" s="12" t="s">
        <v>192</v>
      </c>
      <c r="H52" s="13"/>
      <c r="I52" s="27"/>
      <c r="J52" s="16"/>
      <c r="K52" s="23">
        <v>13320</v>
      </c>
      <c r="L52" s="16" t="s">
        <v>194</v>
      </c>
      <c r="M52" s="16"/>
    </row>
    <row r="53" spans="1:13" hidden="1">
      <c r="A53" s="15">
        <v>52</v>
      </c>
      <c r="B53" s="43">
        <v>45865</v>
      </c>
      <c r="C53" s="12" t="s">
        <v>190</v>
      </c>
      <c r="D53" s="12">
        <v>300</v>
      </c>
      <c r="E53" s="12" t="s">
        <v>192</v>
      </c>
      <c r="F53" s="13"/>
      <c r="G53" s="12" t="s">
        <v>191</v>
      </c>
      <c r="H53" s="13"/>
      <c r="I53" s="27"/>
      <c r="J53" s="16"/>
      <c r="K53" s="23">
        <v>13320</v>
      </c>
      <c r="L53" s="16" t="s">
        <v>194</v>
      </c>
      <c r="M53" s="16"/>
    </row>
    <row r="54" spans="1:13" hidden="1">
      <c r="A54" s="15">
        <v>53</v>
      </c>
      <c r="B54" s="43">
        <v>45871</v>
      </c>
      <c r="C54" s="12" t="s">
        <v>190</v>
      </c>
      <c r="D54" s="12">
        <v>307</v>
      </c>
      <c r="E54" s="12" t="s">
        <v>191</v>
      </c>
      <c r="F54" s="13"/>
      <c r="G54" s="12" t="s">
        <v>224</v>
      </c>
      <c r="H54" s="13"/>
      <c r="I54" s="27"/>
      <c r="J54" s="16"/>
      <c r="K54" s="23">
        <v>22845</v>
      </c>
      <c r="L54" s="16" t="s">
        <v>194</v>
      </c>
      <c r="M54" s="16"/>
    </row>
    <row r="55" spans="1:13" hidden="1">
      <c r="A55" s="15">
        <v>54</v>
      </c>
      <c r="B55" s="43">
        <v>45872</v>
      </c>
      <c r="C55" s="12" t="s">
        <v>190</v>
      </c>
      <c r="D55" s="12">
        <v>300</v>
      </c>
      <c r="E55" s="12" t="s">
        <v>224</v>
      </c>
      <c r="F55" s="13"/>
      <c r="G55" s="12" t="s">
        <v>191</v>
      </c>
      <c r="H55" s="13"/>
      <c r="I55" s="27"/>
      <c r="J55" s="16"/>
      <c r="K55" s="23">
        <v>0</v>
      </c>
      <c r="L55" s="16" t="s">
        <v>194</v>
      </c>
      <c r="M55" s="16"/>
    </row>
    <row r="56" spans="1:13" hidden="1">
      <c r="A56" s="15">
        <v>55</v>
      </c>
      <c r="B56" s="43">
        <v>45875</v>
      </c>
      <c r="C56" s="12" t="s">
        <v>190</v>
      </c>
      <c r="D56" s="12">
        <v>307</v>
      </c>
      <c r="E56" s="12" t="s">
        <v>191</v>
      </c>
      <c r="F56" s="13"/>
      <c r="G56" s="12" t="s">
        <v>225</v>
      </c>
      <c r="H56" s="13"/>
      <c r="I56" s="27"/>
      <c r="J56" s="16"/>
      <c r="K56" s="23">
        <v>0</v>
      </c>
      <c r="L56" s="16" t="s">
        <v>194</v>
      </c>
      <c r="M56" s="16"/>
    </row>
    <row r="57" spans="1:13" hidden="1">
      <c r="A57" s="15">
        <v>56</v>
      </c>
      <c r="B57" s="43">
        <v>45875</v>
      </c>
      <c r="C57" s="12" t="s">
        <v>190</v>
      </c>
      <c r="D57" s="12">
        <v>300</v>
      </c>
      <c r="E57" s="12" t="s">
        <v>226</v>
      </c>
      <c r="F57" s="13"/>
      <c r="G57" s="12" t="s">
        <v>191</v>
      </c>
      <c r="H57" s="13"/>
      <c r="I57" s="27"/>
      <c r="J57" s="16"/>
      <c r="K57" s="23">
        <v>0</v>
      </c>
      <c r="L57" s="16" t="s">
        <v>194</v>
      </c>
      <c r="M57" s="16"/>
    </row>
    <row r="58" spans="1:13" hidden="1">
      <c r="A58" s="15">
        <v>57</v>
      </c>
      <c r="B58" s="43">
        <v>45916</v>
      </c>
      <c r="C58" s="12" t="s">
        <v>190</v>
      </c>
      <c r="D58" s="12">
        <v>307</v>
      </c>
      <c r="E58" s="12" t="s">
        <v>191</v>
      </c>
      <c r="F58" s="13"/>
      <c r="G58" s="12" t="s">
        <v>192</v>
      </c>
      <c r="H58" s="13"/>
      <c r="I58" s="27"/>
      <c r="J58" s="16"/>
      <c r="K58" s="23">
        <v>0</v>
      </c>
      <c r="L58" s="16" t="s">
        <v>194</v>
      </c>
      <c r="M58" s="16"/>
    </row>
    <row r="59" spans="1:13" hidden="1">
      <c r="A59" s="15">
        <v>58</v>
      </c>
      <c r="B59" s="43">
        <v>45918</v>
      </c>
      <c r="C59" s="12" t="s">
        <v>190</v>
      </c>
      <c r="D59" s="12">
        <v>302</v>
      </c>
      <c r="E59" s="12" t="s">
        <v>192</v>
      </c>
      <c r="F59" s="13"/>
      <c r="G59" s="12" t="s">
        <v>191</v>
      </c>
      <c r="H59" s="13"/>
      <c r="I59" s="27"/>
      <c r="J59" s="16"/>
      <c r="K59" s="23">
        <v>0</v>
      </c>
      <c r="L59" s="16" t="s">
        <v>194</v>
      </c>
      <c r="M59" s="16"/>
    </row>
    <row r="60" spans="1:13" hidden="1">
      <c r="A60" s="15">
        <v>59</v>
      </c>
      <c r="B60" s="43">
        <v>45994</v>
      </c>
      <c r="C60" s="12" t="s">
        <v>190</v>
      </c>
      <c r="D60" s="12">
        <v>901</v>
      </c>
      <c r="E60" s="12" t="s">
        <v>191</v>
      </c>
      <c r="F60" s="13">
        <v>0.2638888888888889</v>
      </c>
      <c r="G60" s="12" t="s">
        <v>202</v>
      </c>
      <c r="H60" s="13">
        <v>0.38541666666666669</v>
      </c>
      <c r="I60" s="27"/>
      <c r="J60" s="16"/>
      <c r="K60" s="23">
        <v>10590</v>
      </c>
      <c r="L60" s="16" t="s">
        <v>194</v>
      </c>
      <c r="M60" s="16"/>
    </row>
    <row r="61" spans="1:13" hidden="1">
      <c r="A61" s="15">
        <v>60</v>
      </c>
      <c r="B61" s="43">
        <v>45994</v>
      </c>
      <c r="C61" s="12" t="s">
        <v>190</v>
      </c>
      <c r="D61" s="12" t="s">
        <v>227</v>
      </c>
      <c r="E61" s="12" t="s">
        <v>202</v>
      </c>
      <c r="F61" s="13">
        <v>0.41319444444444442</v>
      </c>
      <c r="G61" s="12" t="s">
        <v>228</v>
      </c>
      <c r="H61" s="13">
        <v>0.43402777777777779</v>
      </c>
      <c r="I61" s="27"/>
      <c r="J61" s="16"/>
      <c r="K61" s="49">
        <v>4640</v>
      </c>
      <c r="L61" s="16" t="s">
        <v>194</v>
      </c>
      <c r="M61" s="16"/>
    </row>
    <row r="62" spans="1:13" hidden="1">
      <c r="A62" s="15">
        <v>61</v>
      </c>
      <c r="B62" s="43">
        <v>45994</v>
      </c>
      <c r="C62" s="12" t="s">
        <v>190</v>
      </c>
      <c r="D62" s="12" t="s">
        <v>229</v>
      </c>
      <c r="E62" s="12" t="s">
        <v>228</v>
      </c>
      <c r="F62" s="13">
        <v>0.4548611111111111</v>
      </c>
      <c r="G62" s="12" t="s">
        <v>202</v>
      </c>
      <c r="H62" s="13">
        <v>0.47916666666666669</v>
      </c>
      <c r="I62" s="27"/>
      <c r="J62" s="16"/>
      <c r="K62" s="49">
        <v>6400</v>
      </c>
      <c r="L62" s="16" t="s">
        <v>194</v>
      </c>
      <c r="M62" s="16"/>
    </row>
    <row r="63" spans="1:13" hidden="1">
      <c r="A63" s="15">
        <v>62</v>
      </c>
      <c r="B63" s="43">
        <v>45994</v>
      </c>
      <c r="C63" s="12" t="s">
        <v>190</v>
      </c>
      <c r="D63" s="12" t="s">
        <v>230</v>
      </c>
      <c r="E63" s="12" t="s">
        <v>202</v>
      </c>
      <c r="F63" s="13">
        <v>0.52777777777777779</v>
      </c>
      <c r="G63" s="12" t="s">
        <v>205</v>
      </c>
      <c r="H63" s="13">
        <v>0.57291666666666663</v>
      </c>
      <c r="I63" s="27"/>
      <c r="J63" s="16"/>
      <c r="K63" s="23">
        <v>4640</v>
      </c>
      <c r="L63" s="16" t="s">
        <v>194</v>
      </c>
      <c r="M63" s="16"/>
    </row>
    <row r="64" spans="1:13" hidden="1">
      <c r="A64" s="15">
        <v>63</v>
      </c>
      <c r="B64" s="43">
        <v>45994</v>
      </c>
      <c r="C64" s="12" t="s">
        <v>190</v>
      </c>
      <c r="D64" s="12" t="s">
        <v>231</v>
      </c>
      <c r="E64" s="12" t="s">
        <v>205</v>
      </c>
      <c r="F64" s="13">
        <v>0.61805555555555558</v>
      </c>
      <c r="G64" s="12" t="s">
        <v>209</v>
      </c>
      <c r="H64" s="13">
        <v>0.63888888888888884</v>
      </c>
      <c r="I64" s="27"/>
      <c r="J64" s="16"/>
      <c r="K64" s="49">
        <v>4400</v>
      </c>
      <c r="L64" s="16" t="s">
        <v>194</v>
      </c>
      <c r="M64" s="16"/>
    </row>
    <row r="65" spans="1:13" hidden="1">
      <c r="A65" s="15">
        <v>64</v>
      </c>
      <c r="B65" s="43">
        <v>45994</v>
      </c>
      <c r="C65" s="12" t="s">
        <v>190</v>
      </c>
      <c r="D65" s="12" t="s">
        <v>232</v>
      </c>
      <c r="E65" s="12" t="s">
        <v>209</v>
      </c>
      <c r="F65" s="13">
        <v>0.65972222222222221</v>
      </c>
      <c r="G65" s="12" t="s">
        <v>210</v>
      </c>
      <c r="H65" s="13">
        <v>0.67708333333333337</v>
      </c>
      <c r="I65" s="27"/>
      <c r="J65" s="16"/>
      <c r="K65" s="23">
        <v>5500</v>
      </c>
      <c r="L65" s="16" t="s">
        <v>194</v>
      </c>
      <c r="M65" s="16"/>
    </row>
    <row r="66" spans="1:13" hidden="1">
      <c r="A66" s="15">
        <v>65</v>
      </c>
      <c r="B66" s="43">
        <v>45994</v>
      </c>
      <c r="C66" s="12" t="s">
        <v>190</v>
      </c>
      <c r="D66" s="12" t="s">
        <v>233</v>
      </c>
      <c r="E66" s="12" t="s">
        <v>210</v>
      </c>
      <c r="F66" s="13">
        <v>0.70138888888888884</v>
      </c>
      <c r="G66" s="12" t="s">
        <v>209</v>
      </c>
      <c r="H66" s="13">
        <v>0.71875</v>
      </c>
      <c r="I66" s="27"/>
      <c r="J66" s="16"/>
      <c r="K66" s="23">
        <v>5500</v>
      </c>
      <c r="L66" s="16" t="s">
        <v>194</v>
      </c>
      <c r="M66" s="16"/>
    </row>
    <row r="67" spans="1:13" hidden="1">
      <c r="A67" s="15">
        <v>66</v>
      </c>
      <c r="B67" s="43">
        <v>45994</v>
      </c>
      <c r="C67" s="12" t="s">
        <v>190</v>
      </c>
      <c r="D67" s="12" t="s">
        <v>234</v>
      </c>
      <c r="E67" s="12" t="s">
        <v>209</v>
      </c>
      <c r="F67" s="13">
        <v>0.76041666666666663</v>
      </c>
      <c r="G67" s="12" t="s">
        <v>202</v>
      </c>
      <c r="H67" s="13">
        <v>0.79513888888888884</v>
      </c>
      <c r="I67" s="27"/>
      <c r="J67" s="16"/>
      <c r="K67" s="23">
        <v>4640</v>
      </c>
      <c r="L67" s="16" t="s">
        <v>194</v>
      </c>
      <c r="M67" s="16"/>
    </row>
    <row r="68" spans="1:13" hidden="1">
      <c r="A68" s="15">
        <v>67</v>
      </c>
      <c r="B68" s="43">
        <v>45994</v>
      </c>
      <c r="C68" s="12" t="s">
        <v>190</v>
      </c>
      <c r="D68" s="12">
        <v>920</v>
      </c>
      <c r="E68" s="12" t="s">
        <v>202</v>
      </c>
      <c r="F68" s="13">
        <v>0.82986111111111116</v>
      </c>
      <c r="G68" s="12" t="s">
        <v>191</v>
      </c>
      <c r="H68" s="13">
        <v>0.92013888888888884</v>
      </c>
      <c r="I68" s="27"/>
      <c r="J68" s="16"/>
      <c r="K68" s="23">
        <v>10590</v>
      </c>
      <c r="L68" s="16" t="s">
        <v>194</v>
      </c>
      <c r="M68" s="16"/>
    </row>
    <row r="69" spans="1:13" hidden="1">
      <c r="A69" s="15">
        <v>68</v>
      </c>
      <c r="B69" s="43">
        <v>45939</v>
      </c>
      <c r="C69" s="12" t="s">
        <v>190</v>
      </c>
      <c r="D69" s="12">
        <v>325</v>
      </c>
      <c r="E69" s="12" t="s">
        <v>191</v>
      </c>
      <c r="F69" s="13"/>
      <c r="G69" s="12" t="s">
        <v>192</v>
      </c>
      <c r="H69" s="13"/>
      <c r="I69" s="27"/>
      <c r="J69" s="16"/>
      <c r="K69" s="23">
        <v>0</v>
      </c>
      <c r="L69" s="16" t="s">
        <v>194</v>
      </c>
      <c r="M69" s="16"/>
    </row>
    <row r="70" spans="1:13" hidden="1">
      <c r="A70" s="15">
        <v>69</v>
      </c>
      <c r="B70" s="43">
        <v>45941</v>
      </c>
      <c r="C70" s="12" t="s">
        <v>190</v>
      </c>
      <c r="D70" s="12">
        <v>310</v>
      </c>
      <c r="E70" s="12" t="s">
        <v>192</v>
      </c>
      <c r="F70" s="13"/>
      <c r="G70" s="12" t="s">
        <v>191</v>
      </c>
      <c r="H70" s="13"/>
      <c r="I70" s="27"/>
      <c r="J70" s="16"/>
      <c r="K70" s="23">
        <v>0</v>
      </c>
      <c r="L70" s="16" t="s">
        <v>194</v>
      </c>
      <c r="M70" s="16"/>
    </row>
    <row r="71" spans="1:13" hidden="1">
      <c r="A71" s="15">
        <v>70</v>
      </c>
      <c r="B71" s="43">
        <v>46052</v>
      </c>
      <c r="C71" s="12" t="s">
        <v>190</v>
      </c>
      <c r="D71" s="12">
        <v>325</v>
      </c>
      <c r="E71" s="12" t="s">
        <v>191</v>
      </c>
      <c r="F71" s="13">
        <v>0.2638888888888889</v>
      </c>
      <c r="G71" s="12" t="s">
        <v>202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 hidden="1">
      <c r="A72" s="15">
        <v>71</v>
      </c>
      <c r="B72" s="43">
        <v>46054</v>
      </c>
      <c r="C72" s="12" t="s">
        <v>190</v>
      </c>
      <c r="D72" s="12">
        <v>310</v>
      </c>
      <c r="E72" s="12" t="s">
        <v>202</v>
      </c>
      <c r="F72" s="13">
        <v>0.51736111111111116</v>
      </c>
      <c r="G72" s="12" t="s">
        <v>191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190</v>
      </c>
      <c r="D73" s="12"/>
      <c r="E73" s="12" t="s">
        <v>191</v>
      </c>
      <c r="F73" s="13"/>
      <c r="G73" s="12" t="s">
        <v>235</v>
      </c>
      <c r="H73" s="13"/>
      <c r="I73" s="27"/>
      <c r="J73" s="16"/>
      <c r="K73" s="23">
        <v>0</v>
      </c>
      <c r="L73" s="16" t="s">
        <v>194</v>
      </c>
      <c r="M73" s="16"/>
    </row>
    <row r="74" spans="1:13" hidden="1">
      <c r="A74" s="15">
        <v>73</v>
      </c>
      <c r="B74" s="43">
        <v>45951</v>
      </c>
      <c r="C74" s="12" t="s">
        <v>190</v>
      </c>
      <c r="D74" s="12"/>
      <c r="E74" s="12" t="s">
        <v>191</v>
      </c>
      <c r="F74" s="13"/>
      <c r="G74" s="12" t="s">
        <v>236</v>
      </c>
      <c r="H74" s="13"/>
      <c r="I74" s="27"/>
      <c r="J74" s="16"/>
      <c r="K74" s="23">
        <v>0</v>
      </c>
      <c r="L74" s="16" t="s">
        <v>194</v>
      </c>
      <c r="M74" s="16"/>
    </row>
    <row r="75" spans="1:13" hidden="1">
      <c r="A75" s="15">
        <v>74</v>
      </c>
      <c r="B75" s="43">
        <v>45953</v>
      </c>
      <c r="C75" s="12" t="s">
        <v>190</v>
      </c>
      <c r="D75" s="12"/>
      <c r="E75" s="12" t="s">
        <v>223</v>
      </c>
      <c r="F75" s="13"/>
      <c r="G75" s="12" t="s">
        <v>192</v>
      </c>
      <c r="H75" s="13"/>
      <c r="I75" s="27"/>
      <c r="J75" s="16"/>
      <c r="K75" s="23">
        <v>0</v>
      </c>
      <c r="L75" s="16" t="s">
        <v>194</v>
      </c>
      <c r="M75" s="16"/>
    </row>
    <row r="76" spans="1:13" hidden="1">
      <c r="A76" s="15">
        <v>75</v>
      </c>
      <c r="B76" s="43">
        <v>45953</v>
      </c>
      <c r="C76" s="12" t="s">
        <v>190</v>
      </c>
      <c r="D76" s="12"/>
      <c r="E76" s="12" t="s">
        <v>192</v>
      </c>
      <c r="F76" s="13"/>
      <c r="G76" s="12" t="s">
        <v>191</v>
      </c>
      <c r="H76" s="13"/>
      <c r="I76" s="27"/>
      <c r="J76" s="16"/>
      <c r="K76" s="23">
        <v>0</v>
      </c>
      <c r="L76" s="16" t="s">
        <v>194</v>
      </c>
      <c r="M76" s="16"/>
    </row>
    <row r="77" spans="1:13" hidden="1">
      <c r="A77" s="15">
        <v>76</v>
      </c>
      <c r="B77" s="43">
        <v>46030</v>
      </c>
      <c r="C77" s="12" t="s">
        <v>190</v>
      </c>
      <c r="D77" s="12"/>
      <c r="E77" s="12" t="s">
        <v>191</v>
      </c>
      <c r="F77" s="13">
        <v>0.78819444444444442</v>
      </c>
      <c r="G77" s="12" t="s">
        <v>192</v>
      </c>
      <c r="H77" s="13">
        <v>0.87847222222222221</v>
      </c>
      <c r="I77" s="27"/>
      <c r="J77" s="16"/>
      <c r="K77" s="49">
        <v>8810</v>
      </c>
      <c r="L77" s="16" t="s">
        <v>194</v>
      </c>
      <c r="M77" s="16"/>
    </row>
    <row r="78" spans="1:13" hidden="1">
      <c r="A78" s="15">
        <v>77</v>
      </c>
      <c r="B78" s="43">
        <v>46031</v>
      </c>
      <c r="C78" s="12" t="s">
        <v>190</v>
      </c>
      <c r="D78" s="12"/>
      <c r="E78" s="12" t="s">
        <v>192</v>
      </c>
      <c r="F78" s="13">
        <v>0.30208333333333331</v>
      </c>
      <c r="G78" s="12" t="s">
        <v>202</v>
      </c>
      <c r="H78" s="13">
        <v>0.375</v>
      </c>
      <c r="I78" s="27"/>
      <c r="J78" s="16"/>
      <c r="K78" s="23">
        <v>10800</v>
      </c>
      <c r="L78" s="16" t="s">
        <v>194</v>
      </c>
      <c r="M78" s="16"/>
    </row>
    <row r="79" spans="1:13" hidden="1">
      <c r="A79" s="15">
        <v>78</v>
      </c>
      <c r="B79" s="43">
        <v>46031</v>
      </c>
      <c r="C79" s="12" t="s">
        <v>190</v>
      </c>
      <c r="D79" s="12"/>
      <c r="E79" s="12" t="s">
        <v>202</v>
      </c>
      <c r="F79" s="13">
        <v>0.40625</v>
      </c>
      <c r="G79" s="12" t="s">
        <v>205</v>
      </c>
      <c r="H79" s="13">
        <v>0.4513888888888889</v>
      </c>
      <c r="I79" s="27"/>
      <c r="J79" s="16"/>
      <c r="K79" s="23">
        <v>4640</v>
      </c>
      <c r="L79" s="16" t="s">
        <v>194</v>
      </c>
      <c r="M79" s="16"/>
    </row>
    <row r="80" spans="1:13" hidden="1">
      <c r="A80" s="15">
        <v>79</v>
      </c>
      <c r="B80" s="43">
        <v>46031</v>
      </c>
      <c r="C80" s="12" t="s">
        <v>190</v>
      </c>
      <c r="D80" s="12"/>
      <c r="E80" s="12" t="s">
        <v>205</v>
      </c>
      <c r="F80" s="13">
        <v>0.47916666666666669</v>
      </c>
      <c r="G80" s="12" t="s">
        <v>237</v>
      </c>
      <c r="H80" s="13">
        <v>0.52083333333333337</v>
      </c>
      <c r="I80" s="27"/>
      <c r="J80" s="16"/>
      <c r="K80" s="23">
        <v>4640</v>
      </c>
      <c r="L80" s="16" t="s">
        <v>194</v>
      </c>
      <c r="M80" s="16"/>
    </row>
    <row r="81" spans="1:13" hidden="1">
      <c r="A81" s="15">
        <v>80</v>
      </c>
      <c r="B81" s="43">
        <v>46031</v>
      </c>
      <c r="C81" s="12" t="s">
        <v>190</v>
      </c>
      <c r="D81" s="12"/>
      <c r="E81" s="12" t="s">
        <v>237</v>
      </c>
      <c r="F81" s="13">
        <v>0.58333333333333337</v>
      </c>
      <c r="G81" s="12" t="s">
        <v>228</v>
      </c>
      <c r="H81" s="13">
        <v>0.60763888888888884</v>
      </c>
      <c r="I81" s="27"/>
      <c r="J81" s="16"/>
      <c r="K81" s="23">
        <v>4640</v>
      </c>
      <c r="L81" s="16" t="s">
        <v>194</v>
      </c>
      <c r="M81" s="16"/>
    </row>
    <row r="82" spans="1:13" hidden="1">
      <c r="A82" s="15">
        <v>81</v>
      </c>
      <c r="B82" s="43">
        <v>46031</v>
      </c>
      <c r="C82" s="12" t="s">
        <v>190</v>
      </c>
      <c r="D82" s="12"/>
      <c r="E82" s="12" t="s">
        <v>228</v>
      </c>
      <c r="F82" s="13">
        <v>0.63541666666666663</v>
      </c>
      <c r="G82" s="12" t="s">
        <v>237</v>
      </c>
      <c r="H82" s="13">
        <v>0.66319444444444442</v>
      </c>
      <c r="I82" s="27"/>
      <c r="J82" s="16"/>
      <c r="K82" s="23">
        <v>4640</v>
      </c>
      <c r="L82" s="16" t="s">
        <v>194</v>
      </c>
      <c r="M82" s="16"/>
    </row>
    <row r="83" spans="1:13" hidden="1">
      <c r="A83" s="15">
        <v>82</v>
      </c>
      <c r="B83" s="43">
        <v>46031</v>
      </c>
      <c r="C83" s="12" t="s">
        <v>190</v>
      </c>
      <c r="D83" s="12"/>
      <c r="E83" s="12" t="s">
        <v>237</v>
      </c>
      <c r="F83" s="13">
        <v>0.69444444444444442</v>
      </c>
      <c r="G83" s="12" t="s">
        <v>209</v>
      </c>
      <c r="H83" s="13">
        <v>0.73263888888888884</v>
      </c>
      <c r="I83" s="27"/>
      <c r="J83" s="16"/>
      <c r="K83" s="23">
        <v>4640</v>
      </c>
      <c r="L83" s="16" t="s">
        <v>194</v>
      </c>
      <c r="M83" s="16"/>
    </row>
    <row r="84" spans="1:13" hidden="1">
      <c r="A84" s="15">
        <v>83</v>
      </c>
      <c r="B84" s="43">
        <v>46031</v>
      </c>
      <c r="C84" s="12" t="s">
        <v>190</v>
      </c>
      <c r="D84" s="12"/>
      <c r="E84" s="12" t="s">
        <v>209</v>
      </c>
      <c r="F84" s="13">
        <v>0.76041666666666663</v>
      </c>
      <c r="G84" s="12" t="s">
        <v>237</v>
      </c>
      <c r="H84" s="13">
        <v>0.79513888888888884</v>
      </c>
      <c r="I84" s="27"/>
      <c r="J84" s="16"/>
      <c r="K84" s="23">
        <v>7500</v>
      </c>
      <c r="L84" s="16" t="s">
        <v>194</v>
      </c>
      <c r="M84" s="16"/>
    </row>
    <row r="85" spans="1:13" hidden="1">
      <c r="A85" s="15">
        <v>84</v>
      </c>
      <c r="B85" s="43">
        <v>46031</v>
      </c>
      <c r="C85" s="12" t="s">
        <v>190</v>
      </c>
      <c r="D85" s="12"/>
      <c r="E85" s="12" t="s">
        <v>237</v>
      </c>
      <c r="F85" s="13">
        <v>0.82291666666666663</v>
      </c>
      <c r="G85" s="12" t="s">
        <v>192</v>
      </c>
      <c r="H85" s="13">
        <v>0.89236111111111116</v>
      </c>
      <c r="I85" s="27"/>
      <c r="J85" s="16"/>
      <c r="K85" s="23">
        <v>8050</v>
      </c>
      <c r="L85" s="16" t="s">
        <v>194</v>
      </c>
      <c r="M85" s="16"/>
    </row>
    <row r="86" spans="1:13" hidden="1">
      <c r="A86" s="15">
        <v>85</v>
      </c>
      <c r="B86" s="43">
        <v>46032</v>
      </c>
      <c r="C86" s="12" t="s">
        <v>190</v>
      </c>
      <c r="D86" s="12"/>
      <c r="E86" s="12" t="s">
        <v>192</v>
      </c>
      <c r="F86" s="13">
        <v>0.30555555555555558</v>
      </c>
      <c r="G86" s="12" t="s">
        <v>199</v>
      </c>
      <c r="H86" s="13">
        <v>0.33333333333333331</v>
      </c>
      <c r="I86" s="27"/>
      <c r="J86" s="16"/>
      <c r="K86" s="23">
        <v>6490</v>
      </c>
      <c r="L86" s="16" t="s">
        <v>194</v>
      </c>
      <c r="M86" s="16"/>
    </row>
    <row r="87" spans="1:13" hidden="1">
      <c r="A87" s="15">
        <v>86</v>
      </c>
      <c r="B87" s="43">
        <v>46032</v>
      </c>
      <c r="C87" s="12" t="s">
        <v>190</v>
      </c>
      <c r="D87" s="12"/>
      <c r="E87" s="12" t="s">
        <v>199</v>
      </c>
      <c r="F87" s="13">
        <v>0.54861111111111116</v>
      </c>
      <c r="G87" s="12" t="s">
        <v>192</v>
      </c>
      <c r="H87" s="13">
        <v>0.58333333333333337</v>
      </c>
      <c r="I87" s="27"/>
      <c r="J87" s="16"/>
      <c r="K87" s="23">
        <v>6490</v>
      </c>
      <c r="L87" s="16" t="s">
        <v>194</v>
      </c>
      <c r="M87" s="16"/>
    </row>
    <row r="88" spans="1:13" hidden="1">
      <c r="A88" s="15">
        <v>87</v>
      </c>
      <c r="B88" s="43">
        <v>46032</v>
      </c>
      <c r="C88" s="12" t="s">
        <v>190</v>
      </c>
      <c r="D88" s="12"/>
      <c r="E88" s="12" t="s">
        <v>192</v>
      </c>
      <c r="F88" s="13">
        <v>0.59722222222222221</v>
      </c>
      <c r="G88" s="12" t="s">
        <v>238</v>
      </c>
      <c r="H88" s="13">
        <v>0.63541666666666663</v>
      </c>
      <c r="I88" s="27"/>
      <c r="J88" s="16"/>
      <c r="K88" s="23">
        <v>6710</v>
      </c>
      <c r="L88" s="16" t="s">
        <v>194</v>
      </c>
      <c r="M88" s="16"/>
    </row>
    <row r="89" spans="1:13" hidden="1">
      <c r="A89" s="15">
        <v>88</v>
      </c>
      <c r="B89" s="43">
        <v>46032</v>
      </c>
      <c r="C89" s="12" t="s">
        <v>190</v>
      </c>
      <c r="D89" s="12"/>
      <c r="E89" s="12" t="s">
        <v>238</v>
      </c>
      <c r="F89" s="13">
        <v>0.66319444444444442</v>
      </c>
      <c r="G89" s="12" t="s">
        <v>192</v>
      </c>
      <c r="H89" s="13">
        <v>0.70486111111111116</v>
      </c>
      <c r="I89" s="27"/>
      <c r="J89" s="16"/>
      <c r="K89" s="23">
        <v>6710</v>
      </c>
      <c r="L89" s="16" t="s">
        <v>194</v>
      </c>
      <c r="M89" s="16"/>
    </row>
    <row r="90" spans="1:13" hidden="1">
      <c r="A90" s="15">
        <v>89</v>
      </c>
      <c r="B90" s="43">
        <v>46033</v>
      </c>
      <c r="C90" s="12" t="s">
        <v>190</v>
      </c>
      <c r="D90" s="12"/>
      <c r="E90" s="12" t="s">
        <v>192</v>
      </c>
      <c r="F90" s="13">
        <v>0.30208333333333331</v>
      </c>
      <c r="G90" s="12" t="s">
        <v>202</v>
      </c>
      <c r="H90" s="13">
        <v>0.375</v>
      </c>
      <c r="I90" s="27"/>
      <c r="J90" s="16"/>
      <c r="K90" s="23">
        <v>9150</v>
      </c>
      <c r="L90" s="16" t="s">
        <v>194</v>
      </c>
      <c r="M90" s="16"/>
    </row>
    <row r="91" spans="1:13" hidden="1">
      <c r="A91" s="15">
        <v>90</v>
      </c>
      <c r="B91" s="43">
        <v>46033</v>
      </c>
      <c r="C91" s="12" t="s">
        <v>190</v>
      </c>
      <c r="D91" s="12"/>
      <c r="E91" s="12" t="s">
        <v>202</v>
      </c>
      <c r="F91" s="13">
        <v>0.40625</v>
      </c>
      <c r="G91" s="12" t="s">
        <v>205</v>
      </c>
      <c r="H91" s="13">
        <v>0.4513888888888889</v>
      </c>
      <c r="I91" s="27"/>
      <c r="J91" s="16"/>
      <c r="K91" s="23">
        <v>5740</v>
      </c>
      <c r="L91" s="16" t="s">
        <v>194</v>
      </c>
      <c r="M91" s="16"/>
    </row>
    <row r="92" spans="1:13" hidden="1">
      <c r="A92" s="15">
        <v>91</v>
      </c>
      <c r="B92" s="43">
        <v>46033</v>
      </c>
      <c r="C92" s="12" t="s">
        <v>190</v>
      </c>
      <c r="D92" s="12"/>
      <c r="E92" s="12" t="s">
        <v>205</v>
      </c>
      <c r="F92" s="13">
        <v>0.47916666666666669</v>
      </c>
      <c r="G92" s="12" t="s">
        <v>237</v>
      </c>
      <c r="H92" s="13">
        <v>0.52083333333333337</v>
      </c>
      <c r="I92" s="27"/>
      <c r="J92" s="16"/>
      <c r="K92" s="23">
        <v>5740</v>
      </c>
      <c r="L92" s="16" t="s">
        <v>194</v>
      </c>
      <c r="M92" s="16"/>
    </row>
    <row r="93" spans="1:13" hidden="1">
      <c r="A93" s="15">
        <v>92</v>
      </c>
      <c r="B93" s="43">
        <v>46033</v>
      </c>
      <c r="C93" s="12" t="s">
        <v>190</v>
      </c>
      <c r="D93" s="12"/>
      <c r="E93" s="12" t="s">
        <v>237</v>
      </c>
      <c r="F93" s="13">
        <v>0.55208333333333337</v>
      </c>
      <c r="G93" s="12" t="s">
        <v>239</v>
      </c>
      <c r="H93" s="13">
        <v>0.57986111111111116</v>
      </c>
      <c r="I93" s="27"/>
      <c r="J93" s="16"/>
      <c r="K93" s="23">
        <v>12340</v>
      </c>
      <c r="L93" s="16" t="s">
        <v>194</v>
      </c>
      <c r="M93" s="16"/>
    </row>
    <row r="94" spans="1:13" hidden="1">
      <c r="A94" s="15">
        <v>93</v>
      </c>
      <c r="B94" s="43">
        <v>46033</v>
      </c>
      <c r="C94" s="12" t="s">
        <v>190</v>
      </c>
      <c r="D94" s="12"/>
      <c r="E94" s="12" t="s">
        <v>239</v>
      </c>
      <c r="F94" s="13">
        <v>0.60069444444444442</v>
      </c>
      <c r="G94" s="12" t="s">
        <v>237</v>
      </c>
      <c r="H94" s="13">
        <v>0.625</v>
      </c>
      <c r="I94" s="27"/>
      <c r="J94" s="16"/>
      <c r="K94" s="23">
        <v>12340</v>
      </c>
      <c r="L94" s="16" t="s">
        <v>194</v>
      </c>
      <c r="M94" s="16"/>
    </row>
    <row r="95" spans="1:13" hidden="1">
      <c r="A95" s="15">
        <v>94</v>
      </c>
      <c r="B95" s="43">
        <v>46033</v>
      </c>
      <c r="C95" s="12" t="s">
        <v>190</v>
      </c>
      <c r="D95" s="12"/>
      <c r="E95" s="12" t="s">
        <v>237</v>
      </c>
      <c r="F95" s="13">
        <v>0.65277777777777779</v>
      </c>
      <c r="G95" s="12" t="s">
        <v>228</v>
      </c>
      <c r="H95" s="13">
        <v>0.67708333333333337</v>
      </c>
      <c r="I95" s="27"/>
      <c r="J95" s="16"/>
      <c r="K95" s="23">
        <v>10910</v>
      </c>
      <c r="L95" s="16" t="s">
        <v>194</v>
      </c>
      <c r="M95" s="16"/>
    </row>
    <row r="96" spans="1:13" hidden="1">
      <c r="A96" s="15">
        <v>95</v>
      </c>
      <c r="B96" s="43">
        <v>46033</v>
      </c>
      <c r="C96" s="12" t="s">
        <v>190</v>
      </c>
      <c r="D96" s="12"/>
      <c r="E96" s="12" t="s">
        <v>228</v>
      </c>
      <c r="F96" s="13">
        <v>0.69791666666666663</v>
      </c>
      <c r="G96" s="12" t="s">
        <v>237</v>
      </c>
      <c r="H96" s="13">
        <v>0.72222222222222221</v>
      </c>
      <c r="I96" s="27"/>
      <c r="J96" s="16"/>
      <c r="K96" s="23">
        <v>4640</v>
      </c>
      <c r="L96" s="16" t="s">
        <v>194</v>
      </c>
      <c r="M96" s="16"/>
    </row>
    <row r="97" spans="1:13" hidden="1">
      <c r="A97" s="15">
        <v>96</v>
      </c>
      <c r="B97" s="43">
        <v>46033</v>
      </c>
      <c r="C97" s="12" t="s">
        <v>190</v>
      </c>
      <c r="D97" s="12"/>
      <c r="E97" s="12" t="s">
        <v>237</v>
      </c>
      <c r="F97" s="13">
        <v>0.79166666666666663</v>
      </c>
      <c r="G97" s="12" t="s">
        <v>191</v>
      </c>
      <c r="H97" s="13">
        <v>0.88194444444444442</v>
      </c>
      <c r="I97" s="27"/>
      <c r="J97" s="16"/>
      <c r="K97" s="23">
        <v>10590</v>
      </c>
      <c r="L97" s="16" t="s">
        <v>194</v>
      </c>
      <c r="M97" s="16"/>
    </row>
    <row r="98" spans="1:13" hidden="1">
      <c r="A98" s="15">
        <v>97</v>
      </c>
      <c r="B98" s="43">
        <v>46046</v>
      </c>
      <c r="C98" s="12" t="s">
        <v>190</v>
      </c>
      <c r="D98" s="12"/>
      <c r="E98" s="12" t="s">
        <v>191</v>
      </c>
      <c r="F98" s="13">
        <v>0.2638888888888889</v>
      </c>
      <c r="G98" s="12" t="s">
        <v>237</v>
      </c>
      <c r="H98" s="13">
        <v>0.38541666666666669</v>
      </c>
      <c r="I98" s="27"/>
      <c r="J98" s="16"/>
      <c r="K98" s="23">
        <v>10590</v>
      </c>
      <c r="L98" s="16"/>
      <c r="M98" s="16"/>
    </row>
    <row r="99" spans="1:13" hidden="1">
      <c r="A99" s="15">
        <v>98</v>
      </c>
      <c r="B99" s="43">
        <v>46046</v>
      </c>
      <c r="C99" s="12" t="s">
        <v>190</v>
      </c>
      <c r="D99" s="12"/>
      <c r="E99" s="12" t="s">
        <v>237</v>
      </c>
      <c r="F99" s="13">
        <v>0.4548611111111111</v>
      </c>
      <c r="G99" s="12" t="s">
        <v>209</v>
      </c>
      <c r="H99" s="13">
        <v>0.49305555555555558</v>
      </c>
      <c r="I99" s="27"/>
      <c r="J99" s="16"/>
      <c r="K99" s="23">
        <v>5740</v>
      </c>
      <c r="L99" s="16"/>
      <c r="M99" s="16"/>
    </row>
    <row r="100" spans="1:13" hidden="1">
      <c r="A100" s="15">
        <v>99</v>
      </c>
      <c r="B100" s="43">
        <v>46046</v>
      </c>
      <c r="C100" s="12" t="s">
        <v>190</v>
      </c>
      <c r="D100" s="12"/>
      <c r="E100" s="12" t="s">
        <v>209</v>
      </c>
      <c r="F100" s="13">
        <v>0.52083333333333337</v>
      </c>
      <c r="G100" s="12" t="s">
        <v>237</v>
      </c>
      <c r="H100" s="13">
        <v>0.55555555555555558</v>
      </c>
      <c r="I100" s="27"/>
      <c r="J100" s="16"/>
      <c r="K100" s="23">
        <v>5740</v>
      </c>
      <c r="L100" s="16"/>
      <c r="M100" s="16"/>
    </row>
    <row r="101" spans="1:13" hidden="1">
      <c r="A101" s="15">
        <v>100</v>
      </c>
      <c r="B101" s="43">
        <v>46046</v>
      </c>
      <c r="C101" s="12" t="s">
        <v>190</v>
      </c>
      <c r="D101" s="12"/>
      <c r="E101" s="12" t="s">
        <v>237</v>
      </c>
      <c r="F101" s="13">
        <v>0.59375</v>
      </c>
      <c r="G101" s="12" t="s">
        <v>240</v>
      </c>
      <c r="H101" s="13">
        <v>0.63541666666666663</v>
      </c>
      <c r="I101" s="27"/>
      <c r="J101" s="16"/>
      <c r="K101" s="23">
        <v>9040</v>
      </c>
      <c r="L101" s="16"/>
      <c r="M101" s="16"/>
    </row>
    <row r="102" spans="1:13" hidden="1">
      <c r="A102" s="15">
        <v>101</v>
      </c>
      <c r="B102" s="43">
        <v>46046</v>
      </c>
      <c r="C102" s="12" t="s">
        <v>190</v>
      </c>
      <c r="D102" s="12"/>
      <c r="E102" s="12" t="s">
        <v>240</v>
      </c>
      <c r="F102" s="13">
        <v>0.65625</v>
      </c>
      <c r="G102" s="12" t="s">
        <v>237</v>
      </c>
      <c r="H102" s="13">
        <v>0.70138888888888884</v>
      </c>
      <c r="I102" s="27"/>
      <c r="J102" s="16"/>
      <c r="K102" s="23">
        <v>9040</v>
      </c>
      <c r="L102" s="16"/>
      <c r="M102" s="16"/>
    </row>
    <row r="103" spans="1:13" hidden="1">
      <c r="A103" s="15">
        <v>102</v>
      </c>
      <c r="B103" s="43">
        <v>46046</v>
      </c>
      <c r="C103" s="12" t="s">
        <v>190</v>
      </c>
      <c r="D103" s="12"/>
      <c r="E103" s="12" t="s">
        <v>237</v>
      </c>
      <c r="F103" s="13">
        <v>0.87152777777777779</v>
      </c>
      <c r="G103" s="12" t="s">
        <v>191</v>
      </c>
      <c r="H103" s="13">
        <v>0.96180555555555558</v>
      </c>
      <c r="I103" s="27"/>
      <c r="J103" s="16"/>
      <c r="K103" s="23">
        <v>10590</v>
      </c>
      <c r="L103" s="16"/>
      <c r="M103" s="16"/>
    </row>
    <row r="104" spans="1:13" hidden="1">
      <c r="A104" s="15">
        <v>103</v>
      </c>
      <c r="B104" s="43">
        <v>45981</v>
      </c>
      <c r="C104" s="12" t="s">
        <v>190</v>
      </c>
      <c r="D104" s="12"/>
      <c r="E104" s="12" t="s">
        <v>191</v>
      </c>
      <c r="F104" s="13"/>
      <c r="G104" s="12" t="s">
        <v>241</v>
      </c>
      <c r="H104" s="13"/>
      <c r="I104" s="27"/>
      <c r="J104" s="16"/>
      <c r="K104" s="23">
        <v>0</v>
      </c>
      <c r="L104" s="16" t="s">
        <v>194</v>
      </c>
      <c r="M104" s="16"/>
    </row>
    <row r="105" spans="1:13" hidden="1">
      <c r="A105" s="15">
        <v>104</v>
      </c>
      <c r="B105" s="43">
        <v>45983</v>
      </c>
      <c r="C105" s="12" t="s">
        <v>190</v>
      </c>
      <c r="D105" s="12"/>
      <c r="E105" s="12" t="s">
        <v>241</v>
      </c>
      <c r="F105" s="13"/>
      <c r="G105" s="12" t="s">
        <v>191</v>
      </c>
      <c r="H105" s="13"/>
      <c r="I105" s="27"/>
      <c r="J105" s="16"/>
      <c r="K105" s="23">
        <v>0</v>
      </c>
      <c r="L105" s="16" t="s">
        <v>194</v>
      </c>
      <c r="M105" s="16"/>
    </row>
    <row r="106" spans="1:13" hidden="1">
      <c r="A106" s="15">
        <v>105</v>
      </c>
      <c r="B106" s="43">
        <v>45985</v>
      </c>
      <c r="C106" s="12" t="s">
        <v>190</v>
      </c>
      <c r="D106" s="12"/>
      <c r="E106" s="12" t="s">
        <v>191</v>
      </c>
      <c r="F106" s="13"/>
      <c r="G106" s="12" t="s">
        <v>192</v>
      </c>
      <c r="H106" s="13"/>
      <c r="I106" s="27"/>
      <c r="J106" s="16"/>
      <c r="K106" s="23">
        <v>0</v>
      </c>
      <c r="L106" s="16" t="s">
        <v>194</v>
      </c>
      <c r="M106" s="16"/>
    </row>
    <row r="107" spans="1:13" hidden="1">
      <c r="A107" s="15">
        <v>106</v>
      </c>
      <c r="B107" s="43">
        <v>45986</v>
      </c>
      <c r="C107" s="12" t="s">
        <v>190</v>
      </c>
      <c r="D107" s="12"/>
      <c r="E107" s="12" t="s">
        <v>192</v>
      </c>
      <c r="F107" s="13"/>
      <c r="G107" s="12" t="s">
        <v>191</v>
      </c>
      <c r="H107" s="13"/>
      <c r="I107" s="27"/>
      <c r="J107" s="16"/>
      <c r="K107" s="23">
        <v>0</v>
      </c>
      <c r="L107" s="16" t="s">
        <v>194</v>
      </c>
      <c r="M107" s="16"/>
    </row>
    <row r="108" spans="1:13" hidden="1">
      <c r="A108" s="15">
        <v>107</v>
      </c>
      <c r="B108" s="43">
        <v>45987</v>
      </c>
      <c r="C108" s="12" t="s">
        <v>190</v>
      </c>
      <c r="D108" s="12"/>
      <c r="E108" s="12" t="s">
        <v>191</v>
      </c>
      <c r="F108" s="13"/>
      <c r="G108" s="12" t="s">
        <v>224</v>
      </c>
      <c r="H108" s="13"/>
      <c r="I108" s="27"/>
      <c r="J108" s="16"/>
      <c r="K108" s="23">
        <v>0</v>
      </c>
      <c r="L108" s="16" t="s">
        <v>194</v>
      </c>
      <c r="M108" s="16"/>
    </row>
    <row r="109" spans="1:13" hidden="1">
      <c r="A109" s="15">
        <v>108</v>
      </c>
      <c r="B109" s="43">
        <v>45988</v>
      </c>
      <c r="C109" s="12" t="s">
        <v>190</v>
      </c>
      <c r="D109" s="12"/>
      <c r="E109" s="12" t="s">
        <v>224</v>
      </c>
      <c r="F109" s="13"/>
      <c r="G109" s="12" t="s">
        <v>191</v>
      </c>
      <c r="H109" s="13"/>
      <c r="I109" s="27"/>
      <c r="J109" s="16"/>
      <c r="K109" s="23">
        <v>0</v>
      </c>
      <c r="L109" s="16" t="s">
        <v>194</v>
      </c>
      <c r="M109" s="16"/>
    </row>
    <row r="110" spans="1:13" hidden="1">
      <c r="A110" s="15">
        <v>109</v>
      </c>
      <c r="B110" s="43">
        <v>45992</v>
      </c>
      <c r="C110" s="12" t="s">
        <v>190</v>
      </c>
      <c r="D110" s="12"/>
      <c r="E110" s="12" t="s">
        <v>191</v>
      </c>
      <c r="F110" s="13"/>
      <c r="G110" s="12" t="s">
        <v>192</v>
      </c>
      <c r="H110" s="13"/>
      <c r="I110" s="27"/>
      <c r="J110" s="16"/>
      <c r="K110" s="23">
        <v>0</v>
      </c>
      <c r="L110" s="16" t="s">
        <v>194</v>
      </c>
      <c r="M110" s="16"/>
    </row>
    <row r="111" spans="1:13" hidden="1">
      <c r="A111" s="15">
        <v>110</v>
      </c>
      <c r="B111" s="43">
        <v>45993</v>
      </c>
      <c r="C111" s="12" t="s">
        <v>190</v>
      </c>
      <c r="D111" s="12"/>
      <c r="E111" s="12" t="s">
        <v>192</v>
      </c>
      <c r="F111" s="13"/>
      <c r="G111" s="12" t="s">
        <v>191</v>
      </c>
      <c r="H111" s="13"/>
      <c r="I111" s="27"/>
      <c r="J111" s="16"/>
      <c r="K111" s="23">
        <v>0</v>
      </c>
      <c r="L111" s="16" t="s">
        <v>194</v>
      </c>
      <c r="M111" s="16"/>
    </row>
    <row r="112" spans="1:13" hidden="1">
      <c r="A112" s="15">
        <v>111</v>
      </c>
      <c r="B112" s="43">
        <v>46059</v>
      </c>
      <c r="C112" s="12" t="s">
        <v>190</v>
      </c>
      <c r="D112" s="12">
        <v>303</v>
      </c>
      <c r="E112" s="12" t="s">
        <v>242</v>
      </c>
      <c r="F112" s="13">
        <v>0.2673611111111111</v>
      </c>
      <c r="G112" s="12" t="s">
        <v>192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 hidden="1">
      <c r="A113" s="15">
        <v>112</v>
      </c>
      <c r="B113" s="43">
        <v>46059</v>
      </c>
      <c r="C113" s="12" t="s">
        <v>190</v>
      </c>
      <c r="D113" s="12">
        <v>3581</v>
      </c>
      <c r="E113" s="12" t="s">
        <v>192</v>
      </c>
      <c r="F113" s="13">
        <v>0.37847222222222221</v>
      </c>
      <c r="G113" s="12" t="s">
        <v>222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 hidden="1">
      <c r="A114" s="15">
        <v>113</v>
      </c>
      <c r="B114" s="43">
        <v>46059</v>
      </c>
      <c r="C114" s="12" t="s">
        <v>190</v>
      </c>
      <c r="D114" s="12">
        <v>3582</v>
      </c>
      <c r="E114" s="12" t="s">
        <v>222</v>
      </c>
      <c r="F114" s="13">
        <v>0.43402777777777779</v>
      </c>
      <c r="G114" s="12" t="s">
        <v>192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 hidden="1">
      <c r="A115" s="15">
        <v>114</v>
      </c>
      <c r="B115" s="43">
        <v>46059</v>
      </c>
      <c r="C115" s="12" t="s">
        <v>190</v>
      </c>
      <c r="D115" s="12"/>
      <c r="E115" s="12" t="s">
        <v>192</v>
      </c>
      <c r="F115" s="13">
        <v>0.49305555555555558</v>
      </c>
      <c r="G115" s="12" t="s">
        <v>199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 hidden="1">
      <c r="A116" s="15">
        <v>115</v>
      </c>
      <c r="B116" s="43">
        <v>46059</v>
      </c>
      <c r="C116" s="12" t="s">
        <v>190</v>
      </c>
      <c r="D116" s="12"/>
      <c r="E116" s="12" t="s">
        <v>199</v>
      </c>
      <c r="F116" s="13">
        <v>0.54861111111111116</v>
      </c>
      <c r="G116" s="12" t="s">
        <v>192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 hidden="1">
      <c r="A117" s="15">
        <v>116</v>
      </c>
      <c r="B117" s="43">
        <v>46059</v>
      </c>
      <c r="C117" s="12" t="s">
        <v>190</v>
      </c>
      <c r="D117" s="12">
        <v>3653</v>
      </c>
      <c r="E117" s="12" t="s">
        <v>192</v>
      </c>
      <c r="F117" s="13">
        <v>0.59722222222222221</v>
      </c>
      <c r="G117" s="12" t="s">
        <v>238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 hidden="1">
      <c r="A118" s="15">
        <v>117</v>
      </c>
      <c r="B118" s="43">
        <v>46059</v>
      </c>
      <c r="C118" s="12" t="s">
        <v>190</v>
      </c>
      <c r="D118" s="12">
        <v>3654</v>
      </c>
      <c r="E118" s="12" t="s">
        <v>238</v>
      </c>
      <c r="F118" s="13">
        <v>0.66319444444444442</v>
      </c>
      <c r="G118" s="12" t="s">
        <v>192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 hidden="1">
      <c r="A119" s="15">
        <v>118</v>
      </c>
      <c r="B119" s="43">
        <v>46059</v>
      </c>
      <c r="C119" s="12" t="s">
        <v>201</v>
      </c>
      <c r="D119" s="12">
        <v>63</v>
      </c>
      <c r="E119" s="12" t="s">
        <v>192</v>
      </c>
      <c r="F119" s="13">
        <v>0.73263888888888884</v>
      </c>
      <c r="G119" s="12" t="s">
        <v>243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 hidden="1">
      <c r="A120" s="15">
        <v>119</v>
      </c>
      <c r="B120" s="43">
        <v>46059</v>
      </c>
      <c r="C120" s="12" t="s">
        <v>201</v>
      </c>
      <c r="D120" s="12">
        <v>62</v>
      </c>
      <c r="E120" s="12" t="s">
        <v>243</v>
      </c>
      <c r="F120" s="13">
        <v>0.82291666666666663</v>
      </c>
      <c r="G120" s="12" t="s">
        <v>192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 hidden="1">
      <c r="A121" s="15">
        <v>120</v>
      </c>
      <c r="B121" s="43">
        <v>46060</v>
      </c>
      <c r="C121" s="12"/>
      <c r="D121" s="12"/>
      <c r="E121" s="12" t="s">
        <v>192</v>
      </c>
      <c r="F121" s="13">
        <v>0.2951388888888889</v>
      </c>
      <c r="G121" s="12" t="s">
        <v>212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 hidden="1">
      <c r="A122" s="15">
        <v>121</v>
      </c>
      <c r="B122" s="43">
        <v>46060</v>
      </c>
      <c r="C122" s="12" t="s">
        <v>190</v>
      </c>
      <c r="D122" s="12">
        <v>3831</v>
      </c>
      <c r="E122" s="12" t="s">
        <v>212</v>
      </c>
      <c r="F122" s="13">
        <v>0.3923611111111111</v>
      </c>
      <c r="G122" s="12" t="s">
        <v>214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 hidden="1">
      <c r="A123" s="15">
        <v>122</v>
      </c>
      <c r="B123" s="43">
        <v>46060</v>
      </c>
      <c r="C123" s="12" t="s">
        <v>190</v>
      </c>
      <c r="D123" s="12">
        <v>3830</v>
      </c>
      <c r="E123" s="12" t="s">
        <v>214</v>
      </c>
      <c r="F123" s="13">
        <v>0.42708333333333331</v>
      </c>
      <c r="G123" s="12" t="s">
        <v>212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 hidden="1">
      <c r="A124" s="15">
        <v>123</v>
      </c>
      <c r="B124" s="43">
        <v>46060</v>
      </c>
      <c r="C124" s="12"/>
      <c r="D124" s="12"/>
      <c r="E124" s="12" t="s">
        <v>212</v>
      </c>
      <c r="F124" s="13">
        <v>0.4548611111111111</v>
      </c>
      <c r="G124" s="12" t="s">
        <v>216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 hidden="1">
      <c r="A125" s="15">
        <v>124</v>
      </c>
      <c r="B125" s="43">
        <v>46060</v>
      </c>
      <c r="C125" s="12"/>
      <c r="D125" s="12"/>
      <c r="E125" s="12" t="s">
        <v>216</v>
      </c>
      <c r="F125" s="13">
        <v>0.5</v>
      </c>
      <c r="G125" s="12" t="s">
        <v>218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 hidden="1">
      <c r="A126" s="15">
        <v>125</v>
      </c>
      <c r="B126" s="43">
        <v>46060</v>
      </c>
      <c r="C126" s="12"/>
      <c r="D126" s="12"/>
      <c r="E126" s="12" t="s">
        <v>218</v>
      </c>
      <c r="F126" s="13">
        <v>0.53819444444444442</v>
      </c>
      <c r="G126" s="12" t="s">
        <v>243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 hidden="1">
      <c r="A127" s="15">
        <v>126</v>
      </c>
      <c r="B127" s="43">
        <v>46060</v>
      </c>
      <c r="C127" s="12"/>
      <c r="D127" s="12"/>
      <c r="E127" s="12" t="s">
        <v>243</v>
      </c>
      <c r="F127" s="13">
        <v>0.60069444444444442</v>
      </c>
      <c r="G127" s="12" t="s">
        <v>209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 hidden="1">
      <c r="A128" s="15">
        <v>127</v>
      </c>
      <c r="B128" s="43">
        <v>46060</v>
      </c>
      <c r="C128" s="12"/>
      <c r="D128" s="12"/>
      <c r="E128" s="12" t="s">
        <v>209</v>
      </c>
      <c r="F128" s="13">
        <v>0.67013888888888884</v>
      </c>
      <c r="G128" s="12" t="s">
        <v>243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 hidden="1">
      <c r="A129" s="15">
        <v>128</v>
      </c>
      <c r="B129" s="43">
        <v>46060</v>
      </c>
      <c r="C129" s="12"/>
      <c r="D129" s="12"/>
      <c r="E129" s="12" t="s">
        <v>202</v>
      </c>
      <c r="F129" s="13">
        <v>0.72222222222222221</v>
      </c>
      <c r="G129" s="12" t="s">
        <v>228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 hidden="1">
      <c r="A130" s="15">
        <v>129</v>
      </c>
      <c r="B130" s="43">
        <v>46060</v>
      </c>
      <c r="C130" s="12"/>
      <c r="D130" s="12"/>
      <c r="E130" s="12" t="s">
        <v>228</v>
      </c>
      <c r="F130" s="13">
        <v>0.76736111111111116</v>
      </c>
      <c r="G130" s="12" t="s">
        <v>202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 hidden="1">
      <c r="A131" s="15">
        <v>130</v>
      </c>
      <c r="B131" s="43">
        <v>46060</v>
      </c>
      <c r="C131" s="12" t="s">
        <v>201</v>
      </c>
      <c r="D131" s="12">
        <v>62</v>
      </c>
      <c r="E131" s="12" t="s">
        <v>243</v>
      </c>
      <c r="F131" s="13">
        <v>0.82291666666666663</v>
      </c>
      <c r="G131" s="12" t="s">
        <v>192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 hidden="1">
      <c r="A132" s="15">
        <v>131</v>
      </c>
      <c r="B132" s="43">
        <v>46061</v>
      </c>
      <c r="C132" s="12"/>
      <c r="D132" s="12"/>
      <c r="E132" s="12" t="s">
        <v>192</v>
      </c>
      <c r="F132" s="13">
        <v>0.30208333333333331</v>
      </c>
      <c r="G132" s="12" t="s">
        <v>243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 hidden="1">
      <c r="A133" s="15">
        <v>132</v>
      </c>
      <c r="B133" s="43">
        <v>46061</v>
      </c>
      <c r="C133" s="12" t="s">
        <v>206</v>
      </c>
      <c r="D133" s="12">
        <v>873</v>
      </c>
      <c r="E133" s="12" t="s">
        <v>243</v>
      </c>
      <c r="F133" s="13">
        <v>0.41319444444444442</v>
      </c>
      <c r="G133" s="12" t="s">
        <v>228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 hidden="1">
      <c r="A134" s="15">
        <v>133</v>
      </c>
      <c r="B134" s="43">
        <v>46061</v>
      </c>
      <c r="C134" s="12" t="s">
        <v>206</v>
      </c>
      <c r="D134" s="12">
        <v>874</v>
      </c>
      <c r="E134" s="12" t="s">
        <v>228</v>
      </c>
      <c r="F134" s="13">
        <v>0.4548611111111111</v>
      </c>
      <c r="G134" s="12" t="s">
        <v>243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 hidden="1">
      <c r="A135" s="15">
        <v>134</v>
      </c>
      <c r="B135" s="43">
        <v>46061</v>
      </c>
      <c r="C135" s="12" t="s">
        <v>201</v>
      </c>
      <c r="D135" s="12">
        <v>559</v>
      </c>
      <c r="E135" s="12" t="s">
        <v>243</v>
      </c>
      <c r="F135" s="13">
        <v>0.50694444444444442</v>
      </c>
      <c r="G135" s="12" t="s">
        <v>209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 hidden="1">
      <c r="A136" s="15">
        <v>135</v>
      </c>
      <c r="B136" s="43">
        <v>46061</v>
      </c>
      <c r="C136" s="12"/>
      <c r="D136" s="12"/>
      <c r="E136" s="12" t="s">
        <v>209</v>
      </c>
      <c r="F136" s="13">
        <v>0.57291666666666663</v>
      </c>
      <c r="G136" s="12" t="s">
        <v>243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 hidden="1">
      <c r="A137" s="15">
        <v>136</v>
      </c>
      <c r="B137" s="43">
        <v>46061</v>
      </c>
      <c r="C137" s="12"/>
      <c r="D137" s="12"/>
      <c r="E137" s="12" t="s">
        <v>243</v>
      </c>
      <c r="F137" s="13">
        <v>0.625</v>
      </c>
      <c r="G137" s="12" t="s">
        <v>205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 hidden="1">
      <c r="A138" s="15">
        <v>137</v>
      </c>
      <c r="B138" s="43">
        <v>46061</v>
      </c>
      <c r="C138" s="12"/>
      <c r="D138" s="12"/>
      <c r="E138" s="12" t="s">
        <v>205</v>
      </c>
      <c r="F138" s="13">
        <v>0.73958333333333337</v>
      </c>
      <c r="G138" s="12" t="s">
        <v>207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 hidden="1">
      <c r="A139" s="15">
        <v>138</v>
      </c>
      <c r="B139" s="43">
        <v>46061</v>
      </c>
      <c r="C139" s="12"/>
      <c r="D139" s="12"/>
      <c r="E139" s="12" t="s">
        <v>207</v>
      </c>
      <c r="F139" s="13">
        <v>0.78472222222222221</v>
      </c>
      <c r="G139" s="12" t="s">
        <v>243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 hidden="1">
      <c r="A140" s="15">
        <v>139</v>
      </c>
      <c r="B140" s="43">
        <v>46061</v>
      </c>
      <c r="C140" s="12"/>
      <c r="D140" s="12"/>
      <c r="E140" s="12" t="s">
        <v>243</v>
      </c>
      <c r="F140" s="13">
        <v>0.87152777777777779</v>
      </c>
      <c r="G140" s="12" t="s">
        <v>191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 hidden="1">
      <c r="A141" s="15">
        <v>140</v>
      </c>
      <c r="B141" s="43">
        <v>46063</v>
      </c>
      <c r="C141" s="12" t="s">
        <v>190</v>
      </c>
      <c r="D141" s="12">
        <v>331</v>
      </c>
      <c r="E141" s="12" t="s">
        <v>242</v>
      </c>
      <c r="F141" s="13">
        <v>0.77777777777777779</v>
      </c>
      <c r="G141" s="12" t="s">
        <v>192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 hidden="1">
      <c r="A142" s="15">
        <v>141</v>
      </c>
      <c r="B142" s="43">
        <v>46064</v>
      </c>
      <c r="C142" s="12" t="s">
        <v>201</v>
      </c>
      <c r="D142" s="12">
        <v>51</v>
      </c>
      <c r="E142" s="12" t="s">
        <v>192</v>
      </c>
      <c r="F142" s="13">
        <v>0.30208333333333331</v>
      </c>
      <c r="G142" s="12" t="s">
        <v>243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 hidden="1">
      <c r="A143" s="15">
        <v>142</v>
      </c>
      <c r="B143" s="43">
        <v>46064</v>
      </c>
      <c r="C143" s="12"/>
      <c r="D143" s="12"/>
      <c r="E143" s="12" t="s">
        <v>243</v>
      </c>
      <c r="F143" s="13">
        <v>0.41319444444444442</v>
      </c>
      <c r="G143" s="12" t="s">
        <v>205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 hidden="1">
      <c r="A144" s="15">
        <v>143</v>
      </c>
      <c r="B144" s="43">
        <v>46064</v>
      </c>
      <c r="C144" s="12"/>
      <c r="D144" s="12"/>
      <c r="E144" s="12" t="s">
        <v>205</v>
      </c>
      <c r="F144" s="13">
        <v>0.4826388888888889</v>
      </c>
      <c r="G144" s="12" t="s">
        <v>243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 hidden="1">
      <c r="A145" s="15">
        <v>144</v>
      </c>
      <c r="B145" s="43">
        <v>46064</v>
      </c>
      <c r="C145" s="12" t="s">
        <v>206</v>
      </c>
      <c r="D145" s="12">
        <v>727</v>
      </c>
      <c r="E145" s="12" t="s">
        <v>243</v>
      </c>
      <c r="F145" s="13">
        <v>0.61805555555555558</v>
      </c>
      <c r="G145" s="12" t="s">
        <v>207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 hidden="1">
      <c r="A146" s="15">
        <v>145</v>
      </c>
      <c r="B146" s="43">
        <v>46064</v>
      </c>
      <c r="C146" s="12"/>
      <c r="D146" s="12"/>
      <c r="E146" s="12" t="s">
        <v>207</v>
      </c>
      <c r="F146" s="13">
        <v>0.69791666666666663</v>
      </c>
      <c r="G146" s="12" t="s">
        <v>205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 hidden="1">
      <c r="A147" s="15">
        <v>146</v>
      </c>
      <c r="B147" s="43">
        <v>46064</v>
      </c>
      <c r="C147" s="12" t="s">
        <v>190</v>
      </c>
      <c r="D147" s="12">
        <v>974</v>
      </c>
      <c r="E147" s="12" t="s">
        <v>205</v>
      </c>
      <c r="F147" s="13">
        <v>0.80902777777777779</v>
      </c>
      <c r="G147" s="12" t="s">
        <v>242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 hidden="1">
      <c r="A148" s="15">
        <v>147</v>
      </c>
      <c r="B148" s="43">
        <v>46074</v>
      </c>
      <c r="C148" s="12" t="s">
        <v>190</v>
      </c>
      <c r="D148" s="12">
        <v>325</v>
      </c>
      <c r="E148" s="12" t="s">
        <v>242</v>
      </c>
      <c r="F148" s="13">
        <v>0.65972222222222221</v>
      </c>
      <c r="G148" s="12" t="s">
        <v>192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244</v>
      </c>
    </row>
    <row r="149" spans="1:13" hidden="1">
      <c r="A149" s="15">
        <v>148</v>
      </c>
      <c r="B149" s="43">
        <v>46074</v>
      </c>
      <c r="C149" s="12" t="s">
        <v>190</v>
      </c>
      <c r="D149" s="12">
        <v>3639</v>
      </c>
      <c r="E149" s="12" t="s">
        <v>192</v>
      </c>
      <c r="F149" s="13">
        <v>0.80208333333333337</v>
      </c>
      <c r="G149" s="12" t="s">
        <v>199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 hidden="1">
      <c r="A150" s="15">
        <v>149</v>
      </c>
      <c r="B150" s="43">
        <v>46074</v>
      </c>
      <c r="C150" s="12" t="s">
        <v>190</v>
      </c>
      <c r="D150" s="12">
        <v>3642</v>
      </c>
      <c r="E150" s="12" t="s">
        <v>199</v>
      </c>
      <c r="F150" s="13">
        <v>0.85763888888888884</v>
      </c>
      <c r="G150" s="12" t="s">
        <v>192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 hidden="1">
      <c r="A151" s="15">
        <v>150</v>
      </c>
      <c r="B151" s="43">
        <v>46075</v>
      </c>
      <c r="C151" s="12" t="s">
        <v>201</v>
      </c>
      <c r="D151" s="12">
        <v>51</v>
      </c>
      <c r="E151" s="12" t="s">
        <v>192</v>
      </c>
      <c r="F151" s="13">
        <v>0.30208333333333331</v>
      </c>
      <c r="G151" s="12" t="s">
        <v>243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 hidden="1">
      <c r="A152" s="15">
        <v>151</v>
      </c>
      <c r="B152" s="43">
        <v>46075</v>
      </c>
      <c r="C152" s="12"/>
      <c r="D152" s="12"/>
      <c r="E152" s="12" t="s">
        <v>243</v>
      </c>
      <c r="F152" s="13">
        <v>0.44791666666666669</v>
      </c>
      <c r="G152" s="12" t="s">
        <v>205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 hidden="1">
      <c r="A153" s="15">
        <v>152</v>
      </c>
      <c r="B153" s="43">
        <v>46075</v>
      </c>
      <c r="C153" s="12"/>
      <c r="D153" s="12"/>
      <c r="E153" s="12" t="s">
        <v>205</v>
      </c>
      <c r="F153" s="13">
        <v>0.52083333333333337</v>
      </c>
      <c r="G153" s="12" t="s">
        <v>243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 hidden="1">
      <c r="A154" s="15">
        <v>153</v>
      </c>
      <c r="B154" s="43">
        <v>46075</v>
      </c>
      <c r="C154" s="12" t="s">
        <v>201</v>
      </c>
      <c r="D154" s="12">
        <v>563</v>
      </c>
      <c r="E154" s="12" t="s">
        <v>243</v>
      </c>
      <c r="F154" s="13">
        <v>0.60069444444444442</v>
      </c>
      <c r="G154" s="12" t="s">
        <v>209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 hidden="1">
      <c r="A155" s="15">
        <v>154</v>
      </c>
      <c r="B155" s="43">
        <v>46075</v>
      </c>
      <c r="C155" s="12" t="s">
        <v>206</v>
      </c>
      <c r="D155" s="12">
        <v>897</v>
      </c>
      <c r="E155" s="12" t="s">
        <v>209</v>
      </c>
      <c r="F155" s="13">
        <v>0.65972222222222221</v>
      </c>
      <c r="G155" s="12" t="s">
        <v>210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 hidden="1">
      <c r="A156" s="15">
        <v>155</v>
      </c>
      <c r="B156" s="43">
        <v>46075</v>
      </c>
      <c r="C156" s="12" t="s">
        <v>206</v>
      </c>
      <c r="D156" s="12">
        <v>898</v>
      </c>
      <c r="E156" s="12" t="s">
        <v>210</v>
      </c>
      <c r="F156" s="13">
        <v>0.70138888888888884</v>
      </c>
      <c r="G156" s="12" t="s">
        <v>209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 hidden="1">
      <c r="A157" s="15">
        <v>156</v>
      </c>
      <c r="B157" s="43">
        <v>46075</v>
      </c>
      <c r="C157" s="12" t="s">
        <v>206</v>
      </c>
      <c r="D157" s="12">
        <v>839</v>
      </c>
      <c r="E157" s="12" t="s">
        <v>209</v>
      </c>
      <c r="F157" s="13">
        <v>0.73958333333333337</v>
      </c>
      <c r="G157" s="12" t="s">
        <v>205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 hidden="1">
      <c r="A158" s="15">
        <v>157</v>
      </c>
      <c r="B158" s="43">
        <v>46075</v>
      </c>
      <c r="C158" s="12" t="s">
        <v>190</v>
      </c>
      <c r="D158" s="12">
        <v>974</v>
      </c>
      <c r="E158" s="12" t="s">
        <v>205</v>
      </c>
      <c r="F158" s="13">
        <v>0.80902777777777779</v>
      </c>
      <c r="G158" s="12" t="s">
        <v>242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 hidden="1">
      <c r="A159" s="15">
        <v>158</v>
      </c>
      <c r="B159" s="43">
        <v>46078</v>
      </c>
      <c r="C159" s="12" t="s">
        <v>190</v>
      </c>
      <c r="D159" s="12">
        <v>303</v>
      </c>
      <c r="E159" s="12" t="s">
        <v>242</v>
      </c>
      <c r="F159" s="13">
        <v>0.2673611111111111</v>
      </c>
      <c r="G159" s="12" t="s">
        <v>192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 hidden="1">
      <c r="A160" s="15">
        <v>159</v>
      </c>
      <c r="B160" s="43">
        <v>46078</v>
      </c>
      <c r="C160" s="12" t="s">
        <v>190</v>
      </c>
      <c r="D160" s="12">
        <v>3581</v>
      </c>
      <c r="E160" s="12" t="s">
        <v>192</v>
      </c>
      <c r="F160" s="13">
        <v>0.37847222222222221</v>
      </c>
      <c r="G160" s="12" t="s">
        <v>222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 hidden="1">
      <c r="A161" s="15">
        <v>160</v>
      </c>
      <c r="B161" s="43">
        <v>46078</v>
      </c>
      <c r="C161" s="12" t="s">
        <v>190</v>
      </c>
      <c r="D161" s="12">
        <v>3582</v>
      </c>
      <c r="E161" s="12" t="s">
        <v>222</v>
      </c>
      <c r="F161" s="13">
        <v>0.43402777777777779</v>
      </c>
      <c r="G161" s="12" t="s">
        <v>192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 hidden="1">
      <c r="A162" s="15">
        <v>161</v>
      </c>
      <c r="B162" s="43">
        <v>46078</v>
      </c>
      <c r="C162" s="12" t="s">
        <v>201</v>
      </c>
      <c r="D162" s="12">
        <v>57</v>
      </c>
      <c r="E162" s="12" t="s">
        <v>192</v>
      </c>
      <c r="F162" s="13">
        <v>0.54166666666666663</v>
      </c>
      <c r="G162" s="12" t="s">
        <v>243</v>
      </c>
      <c r="H162" s="13">
        <v>0.625</v>
      </c>
      <c r="I162" s="27"/>
      <c r="J162" s="16"/>
      <c r="K162" s="23">
        <v>9150</v>
      </c>
      <c r="L162" s="16"/>
      <c r="M162" s="16"/>
    </row>
    <row r="163" spans="1:13" hidden="1">
      <c r="A163" s="15">
        <v>162</v>
      </c>
      <c r="B163" s="43">
        <v>46078</v>
      </c>
      <c r="C163" s="12" t="s">
        <v>201</v>
      </c>
      <c r="D163" s="12">
        <v>565</v>
      </c>
      <c r="E163" s="12" t="s">
        <v>243</v>
      </c>
      <c r="F163" s="13">
        <v>0.65277777777777779</v>
      </c>
      <c r="G163" s="12" t="s">
        <v>209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 hidden="1">
      <c r="A164" s="15">
        <v>163</v>
      </c>
      <c r="B164" s="43">
        <v>46078</v>
      </c>
      <c r="C164" s="12" t="s">
        <v>201</v>
      </c>
      <c r="D164" s="12">
        <v>564</v>
      </c>
      <c r="E164" s="12" t="s">
        <v>209</v>
      </c>
      <c r="F164" s="13">
        <v>0.71875</v>
      </c>
      <c r="G164" s="12" t="s">
        <v>243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 hidden="1">
      <c r="A165" s="15">
        <v>164</v>
      </c>
      <c r="B165" s="43">
        <v>46078</v>
      </c>
      <c r="C165" s="12" t="s">
        <v>190</v>
      </c>
      <c r="D165" s="12">
        <v>920</v>
      </c>
      <c r="E165" s="12" t="s">
        <v>243</v>
      </c>
      <c r="F165" s="13">
        <v>0.82986111111111116</v>
      </c>
      <c r="G165" s="12" t="s">
        <v>242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190</v>
      </c>
      <c r="D166" s="12"/>
      <c r="E166" s="12" t="s">
        <v>191</v>
      </c>
      <c r="F166" s="13"/>
      <c r="G166" s="12" t="s">
        <v>192</v>
      </c>
      <c r="H166" s="13"/>
      <c r="I166" s="27"/>
      <c r="J166" s="16"/>
      <c r="K166" s="23">
        <v>0</v>
      </c>
      <c r="L166" s="16" t="s">
        <v>194</v>
      </c>
      <c r="M166" s="16"/>
    </row>
    <row r="167" spans="1:13" hidden="1">
      <c r="A167" s="15">
        <v>166</v>
      </c>
      <c r="B167" s="43">
        <v>46013</v>
      </c>
      <c r="C167" s="12" t="s">
        <v>190</v>
      </c>
      <c r="D167" s="12"/>
      <c r="E167" s="12" t="s">
        <v>192</v>
      </c>
      <c r="F167" s="13"/>
      <c r="G167" s="12" t="s">
        <v>191</v>
      </c>
      <c r="H167" s="13"/>
      <c r="I167" s="27"/>
      <c r="J167" s="16"/>
      <c r="K167" s="23">
        <v>0</v>
      </c>
      <c r="L167" s="16" t="s">
        <v>194</v>
      </c>
      <c r="M167" s="16"/>
    </row>
    <row r="168" spans="1:13" hidden="1">
      <c r="A168" s="15">
        <v>167</v>
      </c>
      <c r="B168" s="43">
        <v>46009</v>
      </c>
      <c r="C168" s="12" t="s">
        <v>190</v>
      </c>
      <c r="D168" s="12"/>
      <c r="E168" s="12" t="s">
        <v>191</v>
      </c>
      <c r="F168" s="13"/>
      <c r="G168" s="12" t="s">
        <v>245</v>
      </c>
      <c r="H168" s="13"/>
      <c r="I168" s="27"/>
      <c r="J168" s="16"/>
      <c r="K168" s="23">
        <v>0</v>
      </c>
      <c r="L168" s="16" t="s">
        <v>194</v>
      </c>
      <c r="M168" s="16"/>
    </row>
    <row r="169" spans="1:13" hidden="1">
      <c r="A169" s="15">
        <v>168</v>
      </c>
      <c r="B169" s="43">
        <v>46010</v>
      </c>
      <c r="C169" s="12" t="s">
        <v>190</v>
      </c>
      <c r="D169" s="12"/>
      <c r="E169" s="12" t="s">
        <v>245</v>
      </c>
      <c r="F169" s="13"/>
      <c r="G169" s="12" t="s">
        <v>191</v>
      </c>
      <c r="H169" s="13"/>
      <c r="I169" s="27"/>
      <c r="J169" s="16"/>
      <c r="K169" s="23">
        <v>0</v>
      </c>
      <c r="L169" s="16" t="s">
        <v>194</v>
      </c>
      <c r="M169" s="16"/>
    </row>
    <row r="170" spans="1:13" hidden="1">
      <c r="A170" s="15">
        <v>169</v>
      </c>
      <c r="B170" s="43">
        <v>46037</v>
      </c>
      <c r="C170" s="12" t="s">
        <v>190</v>
      </c>
      <c r="D170" s="12"/>
      <c r="E170" s="12" t="s">
        <v>191</v>
      </c>
      <c r="F170" s="13"/>
      <c r="G170" s="12" t="s">
        <v>246</v>
      </c>
      <c r="H170" s="13"/>
      <c r="I170" s="27"/>
      <c r="J170" s="16"/>
      <c r="K170" s="23">
        <v>0</v>
      </c>
      <c r="L170" s="16" t="s">
        <v>194</v>
      </c>
      <c r="M170" s="16"/>
    </row>
    <row r="171" spans="1:13" hidden="1">
      <c r="A171" s="15">
        <v>170</v>
      </c>
      <c r="B171" s="43">
        <v>46037</v>
      </c>
      <c r="C171" s="12" t="s">
        <v>190</v>
      </c>
      <c r="D171" s="12"/>
      <c r="E171" s="12" t="s">
        <v>246</v>
      </c>
      <c r="F171" s="13"/>
      <c r="G171" s="12" t="s">
        <v>191</v>
      </c>
      <c r="H171" s="13"/>
      <c r="I171" s="27"/>
      <c r="J171" s="16"/>
      <c r="K171" s="23">
        <v>0</v>
      </c>
      <c r="L171" s="16" t="s">
        <v>194</v>
      </c>
      <c r="M171" s="16"/>
    </row>
    <row r="172" spans="1:13" hidden="1">
      <c r="A172" s="15">
        <v>171</v>
      </c>
      <c r="B172" s="43">
        <v>46028</v>
      </c>
      <c r="C172" s="12" t="s">
        <v>190</v>
      </c>
      <c r="D172" s="12"/>
      <c r="E172" s="12" t="s">
        <v>191</v>
      </c>
      <c r="F172" s="13"/>
      <c r="G172" s="12" t="s">
        <v>247</v>
      </c>
      <c r="H172" s="13"/>
      <c r="I172" s="27"/>
      <c r="J172" s="16"/>
      <c r="K172" s="23">
        <v>0</v>
      </c>
      <c r="L172" s="16" t="s">
        <v>194</v>
      </c>
      <c r="M172" s="16"/>
    </row>
    <row r="173" spans="1:13" hidden="1">
      <c r="A173" s="15">
        <v>172</v>
      </c>
      <c r="B173" s="43">
        <v>46030</v>
      </c>
      <c r="C173" s="12" t="s">
        <v>190</v>
      </c>
      <c r="D173" s="12"/>
      <c r="E173" s="12" t="s">
        <v>247</v>
      </c>
      <c r="F173" s="13"/>
      <c r="G173" s="12" t="s">
        <v>191</v>
      </c>
      <c r="H173" s="13"/>
      <c r="I173" s="27"/>
      <c r="J173" s="16"/>
      <c r="K173" s="23">
        <v>0</v>
      </c>
      <c r="L173" s="16" t="s">
        <v>194</v>
      </c>
      <c r="M173" s="16"/>
    </row>
    <row r="174" spans="1:13">
      <c r="A174" s="15">
        <v>173</v>
      </c>
      <c r="B174" s="14">
        <v>46091</v>
      </c>
      <c r="C174" s="12" t="s">
        <v>190</v>
      </c>
      <c r="D174" s="12" t="s">
        <v>248</v>
      </c>
      <c r="E174" s="12" t="s">
        <v>242</v>
      </c>
      <c r="F174" s="13">
        <v>0.2638888888888889</v>
      </c>
      <c r="G174" s="12" t="s">
        <v>243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>
      <c r="A175" s="15">
        <v>174</v>
      </c>
      <c r="B175" s="14">
        <v>46091</v>
      </c>
      <c r="C175" s="12" t="s">
        <v>201</v>
      </c>
      <c r="D175" s="12" t="s">
        <v>249</v>
      </c>
      <c r="E175" s="12" t="s">
        <v>243</v>
      </c>
      <c r="F175" s="13">
        <v>0.40625</v>
      </c>
      <c r="G175" s="12" t="s">
        <v>205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>
      <c r="A176" s="15">
        <v>175</v>
      </c>
      <c r="B176" s="14">
        <v>46091</v>
      </c>
      <c r="C176" s="12" t="s">
        <v>206</v>
      </c>
      <c r="D176" s="12" t="s">
        <v>250</v>
      </c>
      <c r="E176" s="12" t="s">
        <v>205</v>
      </c>
      <c r="F176" s="13">
        <v>0.52430555555555558</v>
      </c>
      <c r="G176" s="12" t="s">
        <v>207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>
      <c r="A177" s="15">
        <v>176</v>
      </c>
      <c r="B177" s="14">
        <v>46091</v>
      </c>
      <c r="C177" s="12" t="s">
        <v>206</v>
      </c>
      <c r="D177" s="12" t="s">
        <v>251</v>
      </c>
      <c r="E177" s="12" t="s">
        <v>207</v>
      </c>
      <c r="F177" s="13">
        <v>0.56597222222222221</v>
      </c>
      <c r="G177" s="12" t="s">
        <v>205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>
      <c r="A178" s="15">
        <v>177</v>
      </c>
      <c r="B178" s="14">
        <v>46091</v>
      </c>
      <c r="C178" s="12" t="s">
        <v>206</v>
      </c>
      <c r="D178" s="12" t="s">
        <v>252</v>
      </c>
      <c r="E178" s="12" t="s">
        <v>205</v>
      </c>
      <c r="F178" s="13">
        <v>0.61111111111111116</v>
      </c>
      <c r="G178" s="12" t="s">
        <v>209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>
      <c r="A179" s="15">
        <v>178</v>
      </c>
      <c r="B179" s="14">
        <v>46091</v>
      </c>
      <c r="C179" s="12" t="s">
        <v>206</v>
      </c>
      <c r="D179" s="12" t="s">
        <v>253</v>
      </c>
      <c r="E179" s="12" t="s">
        <v>209</v>
      </c>
      <c r="F179" s="13">
        <v>0.65625</v>
      </c>
      <c r="G179" s="12" t="s">
        <v>210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>
      <c r="A180" s="15">
        <v>179</v>
      </c>
      <c r="B180" s="14">
        <v>46091</v>
      </c>
      <c r="C180" s="12" t="s">
        <v>206</v>
      </c>
      <c r="D180" s="12" t="s">
        <v>254</v>
      </c>
      <c r="E180" s="12" t="s">
        <v>210</v>
      </c>
      <c r="F180" s="13">
        <v>0.69791666666666663</v>
      </c>
      <c r="G180" s="12" t="s">
        <v>209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>
      <c r="A181" s="15">
        <v>180</v>
      </c>
      <c r="B181" s="14">
        <v>46091</v>
      </c>
      <c r="C181" s="12" t="s">
        <v>206</v>
      </c>
      <c r="D181" s="12" t="s">
        <v>255</v>
      </c>
      <c r="E181" s="12" t="s">
        <v>209</v>
      </c>
      <c r="F181" s="13">
        <v>0.73611111111111116</v>
      </c>
      <c r="G181" s="12" t="s">
        <v>205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>
      <c r="A182" s="15">
        <v>181</v>
      </c>
      <c r="B182" s="14">
        <v>46091</v>
      </c>
      <c r="C182" s="12" t="s">
        <v>201</v>
      </c>
      <c r="D182" s="12" t="s">
        <v>256</v>
      </c>
      <c r="E182" s="12" t="s">
        <v>205</v>
      </c>
      <c r="F182" s="13">
        <v>0.78472222222222221</v>
      </c>
      <c r="G182" s="12" t="s">
        <v>243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>
      <c r="A183" s="15">
        <v>182</v>
      </c>
      <c r="B183" s="14">
        <v>46091</v>
      </c>
      <c r="C183" s="12" t="s">
        <v>190</v>
      </c>
      <c r="D183" s="12" t="s">
        <v>257</v>
      </c>
      <c r="E183" s="12" t="s">
        <v>243</v>
      </c>
      <c r="F183" s="13">
        <v>0.86805555555555558</v>
      </c>
      <c r="G183" s="12" t="s">
        <v>242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>
      <c r="A184" s="15">
        <v>183</v>
      </c>
      <c r="B184" s="14"/>
      <c r="C184" s="12"/>
      <c r="D184" s="12"/>
      <c r="E184" s="12"/>
      <c r="F184" s="13"/>
      <c r="G184" s="12"/>
      <c r="H184" s="13"/>
      <c r="I184" s="27"/>
      <c r="J184" s="16"/>
      <c r="K184" s="23"/>
      <c r="L184" s="16"/>
      <c r="M184" s="16"/>
    </row>
    <row r="185" spans="1:13">
      <c r="A185" s="15">
        <v>184</v>
      </c>
      <c r="B185" s="14"/>
      <c r="C185" s="12"/>
      <c r="D185" s="12"/>
      <c r="E185" s="12"/>
      <c r="F185" s="13"/>
      <c r="G185" s="12"/>
      <c r="H185" s="13"/>
      <c r="I185" s="27"/>
      <c r="J185" s="16"/>
      <c r="K185" s="23"/>
      <c r="L185" s="16"/>
      <c r="M185" s="16"/>
    </row>
    <row r="186" spans="1:13">
      <c r="A186" s="15">
        <v>185</v>
      </c>
      <c r="B186" s="14"/>
      <c r="C186" s="12"/>
      <c r="D186" s="12"/>
      <c r="E186" s="12"/>
      <c r="F186" s="13"/>
      <c r="G186" s="12"/>
      <c r="H186" s="13"/>
      <c r="I186" s="27"/>
      <c r="J186" s="16"/>
      <c r="K186" s="23"/>
      <c r="L186" s="16"/>
      <c r="M186" s="16"/>
    </row>
    <row r="187" spans="1:13">
      <c r="A187" s="15">
        <v>186</v>
      </c>
      <c r="B187" s="14"/>
      <c r="C187" s="12"/>
      <c r="D187" s="12"/>
      <c r="E187" s="12"/>
      <c r="F187" s="13"/>
      <c r="G187" s="12"/>
      <c r="H187" s="13"/>
      <c r="I187" s="27"/>
      <c r="J187" s="16"/>
      <c r="K187" s="23"/>
      <c r="L187" s="16"/>
      <c r="M187" s="16"/>
    </row>
    <row r="188" spans="1:13">
      <c r="A188" s="15">
        <v>187</v>
      </c>
      <c r="B188" s="14"/>
      <c r="C188" s="12"/>
      <c r="D188" s="12"/>
      <c r="E188" s="12"/>
      <c r="F188" s="13"/>
      <c r="G188" s="12"/>
      <c r="H188" s="13"/>
      <c r="I188" s="27"/>
      <c r="J188" s="16"/>
      <c r="K188" s="23"/>
      <c r="L188" s="16"/>
      <c r="M188" s="16"/>
    </row>
    <row r="189" spans="1:13">
      <c r="A189" s="15">
        <v>188</v>
      </c>
      <c r="B189" s="14"/>
      <c r="C189" s="12"/>
      <c r="D189" s="12"/>
      <c r="E189" s="12"/>
      <c r="F189" s="13"/>
      <c r="G189" s="12"/>
      <c r="H189" s="13"/>
      <c r="I189" s="27"/>
      <c r="J189" s="16"/>
      <c r="K189" s="23"/>
      <c r="L189" s="16"/>
      <c r="M189" s="16"/>
    </row>
    <row r="190" spans="1:13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258</v>
      </c>
      <c r="K290" s="11">
        <f>SUM(テーブル4[料金])</f>
        <v>1253928</v>
      </c>
    </row>
    <row r="291" spans="10:11">
      <c r="J291" t="s">
        <v>259</v>
      </c>
      <c r="K291">
        <f>COUNTA(テーブル4[料金])*5</f>
        <v>910</v>
      </c>
    </row>
    <row r="292" spans="10:11">
      <c r="J292" t="s">
        <v>5</v>
      </c>
      <c r="K292">
        <f>COUNTA(テーブル4[料金])</f>
        <v>182</v>
      </c>
    </row>
    <row r="293" spans="10:11">
      <c r="J293" t="s">
        <v>260</v>
      </c>
      <c r="K293" s="42">
        <f>K290/K291</f>
        <v>1377.9428571428571</v>
      </c>
    </row>
    <row r="305" spans="1:8">
      <c r="A305" s="25" t="s">
        <v>178</v>
      </c>
      <c r="B305" s="25" t="s">
        <v>179</v>
      </c>
      <c r="C305" s="25" t="s">
        <v>180</v>
      </c>
      <c r="D305" s="25" t="s">
        <v>181</v>
      </c>
      <c r="E305" s="25" t="s">
        <v>182</v>
      </c>
      <c r="F305" s="25" t="s">
        <v>183</v>
      </c>
      <c r="G305" s="25" t="s">
        <v>184</v>
      </c>
      <c r="H305" s="25" t="s">
        <v>185</v>
      </c>
    </row>
    <row r="306" spans="1:8">
      <c r="A306">
        <v>1</v>
      </c>
      <c r="B306" t="s">
        <v>201</v>
      </c>
      <c r="C306">
        <v>51</v>
      </c>
      <c r="D306" t="s">
        <v>192</v>
      </c>
      <c r="E306" s="26">
        <v>0.2986111111111111</v>
      </c>
      <c r="F306" t="s">
        <v>202</v>
      </c>
      <c r="G306" s="26">
        <v>0.36805555555555558</v>
      </c>
      <c r="H306" t="s">
        <v>193</v>
      </c>
    </row>
    <row r="307" spans="1:8">
      <c r="A307">
        <v>2</v>
      </c>
      <c r="B307" t="s">
        <v>206</v>
      </c>
      <c r="C307">
        <v>873</v>
      </c>
      <c r="D307" t="s">
        <v>202</v>
      </c>
      <c r="E307" s="26">
        <v>0.41319444444444442</v>
      </c>
      <c r="F307" t="s">
        <v>228</v>
      </c>
      <c r="G307" s="26">
        <v>0.43402777777777779</v>
      </c>
      <c r="H307" t="s">
        <v>261</v>
      </c>
    </row>
    <row r="308" spans="1:8">
      <c r="A308">
        <v>3</v>
      </c>
      <c r="B308" t="s">
        <v>206</v>
      </c>
      <c r="C308">
        <v>874</v>
      </c>
      <c r="D308" t="s">
        <v>228</v>
      </c>
      <c r="E308" s="26">
        <v>0.45833333333333331</v>
      </c>
      <c r="F308" t="s">
        <v>202</v>
      </c>
      <c r="G308" s="26">
        <v>0.4826388888888889</v>
      </c>
      <c r="H308" t="s">
        <v>198</v>
      </c>
    </row>
    <row r="309" spans="1:8">
      <c r="A309">
        <v>4</v>
      </c>
      <c r="B309" t="s">
        <v>201</v>
      </c>
      <c r="C309">
        <v>609</v>
      </c>
      <c r="D309" t="s">
        <v>202</v>
      </c>
      <c r="E309" s="26">
        <v>0.53472222222222221</v>
      </c>
      <c r="F309" t="s">
        <v>205</v>
      </c>
      <c r="G309" s="26">
        <v>0.57291666666666663</v>
      </c>
      <c r="H309" t="s">
        <v>262</v>
      </c>
    </row>
    <row r="310" spans="1:8">
      <c r="A310">
        <v>5</v>
      </c>
      <c r="B310" t="s">
        <v>201</v>
      </c>
      <c r="C310">
        <v>614</v>
      </c>
      <c r="D310" t="s">
        <v>205</v>
      </c>
      <c r="E310" s="26">
        <v>0.60069444444444442</v>
      </c>
      <c r="F310" t="s">
        <v>202</v>
      </c>
      <c r="G310" s="26">
        <v>0.64583333333333337</v>
      </c>
      <c r="H310" t="s">
        <v>203</v>
      </c>
    </row>
    <row r="311" spans="1:8">
      <c r="A311">
        <v>6</v>
      </c>
      <c r="B311" t="s">
        <v>201</v>
      </c>
      <c r="C311">
        <v>567</v>
      </c>
      <c r="D311" t="s">
        <v>202</v>
      </c>
      <c r="E311" s="26">
        <v>0.67361111111111116</v>
      </c>
      <c r="F311" t="s">
        <v>209</v>
      </c>
      <c r="G311" s="26">
        <v>0.70833333333333337</v>
      </c>
      <c r="H311" t="s">
        <v>203</v>
      </c>
    </row>
    <row r="312" spans="1:8">
      <c r="A312">
        <v>7</v>
      </c>
      <c r="B312" t="s">
        <v>201</v>
      </c>
      <c r="C312">
        <v>566</v>
      </c>
      <c r="D312" t="s">
        <v>209</v>
      </c>
      <c r="E312" s="26">
        <v>0.73611111111111116</v>
      </c>
      <c r="F312" t="s">
        <v>202</v>
      </c>
      <c r="G312" s="26">
        <v>0.77430555555555558</v>
      </c>
      <c r="H312" t="s">
        <v>203</v>
      </c>
    </row>
    <row r="313" spans="1:8">
      <c r="A313">
        <v>8</v>
      </c>
      <c r="B313" t="s">
        <v>190</v>
      </c>
      <c r="C313">
        <v>920</v>
      </c>
      <c r="D313" t="s">
        <v>202</v>
      </c>
      <c r="E313" s="26">
        <v>0.80902777777777779</v>
      </c>
      <c r="F313" t="s">
        <v>191</v>
      </c>
      <c r="G313" s="26">
        <v>0.91666666666666663</v>
      </c>
      <c r="H313" t="s">
        <v>263</v>
      </c>
    </row>
    <row r="316" spans="1:8">
      <c r="A316" s="25" t="s">
        <v>178</v>
      </c>
      <c r="B316" s="25" t="s">
        <v>179</v>
      </c>
      <c r="C316" s="25" t="s">
        <v>180</v>
      </c>
      <c r="D316" s="25" t="s">
        <v>181</v>
      </c>
      <c r="E316" s="25" t="s">
        <v>182</v>
      </c>
      <c r="F316" s="25" t="s">
        <v>183</v>
      </c>
      <c r="G316" s="25" t="s">
        <v>184</v>
      </c>
      <c r="H316" s="25" t="s">
        <v>185</v>
      </c>
    </row>
    <row r="317" spans="1:8">
      <c r="A317">
        <v>1</v>
      </c>
      <c r="B317" t="s">
        <v>201</v>
      </c>
      <c r="C317">
        <v>51</v>
      </c>
      <c r="D317" t="s">
        <v>192</v>
      </c>
      <c r="E317" s="26">
        <v>0.2986111111111111</v>
      </c>
      <c r="F317" t="s">
        <v>202</v>
      </c>
      <c r="G317" s="26">
        <v>0.36805555555555558</v>
      </c>
      <c r="H317" t="s">
        <v>193</v>
      </c>
    </row>
    <row r="318" spans="1:8">
      <c r="A318">
        <v>2</v>
      </c>
      <c r="B318" t="s">
        <v>201</v>
      </c>
      <c r="C318">
        <v>605</v>
      </c>
      <c r="D318" t="s">
        <v>202</v>
      </c>
      <c r="E318" s="26">
        <v>0.39583333333333331</v>
      </c>
      <c r="F318" t="s">
        <v>205</v>
      </c>
      <c r="G318" s="26">
        <v>0.43402777777777779</v>
      </c>
      <c r="H318" t="s">
        <v>203</v>
      </c>
    </row>
    <row r="319" spans="1:8">
      <c r="A319">
        <v>3</v>
      </c>
      <c r="B319" t="s">
        <v>206</v>
      </c>
      <c r="C319">
        <v>743</v>
      </c>
      <c r="D319" t="s">
        <v>205</v>
      </c>
      <c r="E319" s="26">
        <v>0.52430555555555558</v>
      </c>
      <c r="F319" t="s">
        <v>207</v>
      </c>
      <c r="G319" s="26">
        <v>0.54513888888888884</v>
      </c>
      <c r="H319" t="s">
        <v>208</v>
      </c>
    </row>
    <row r="320" spans="1:8">
      <c r="A320">
        <v>4</v>
      </c>
      <c r="B320" t="s">
        <v>206</v>
      </c>
      <c r="C320">
        <v>744</v>
      </c>
      <c r="D320" t="s">
        <v>207</v>
      </c>
      <c r="E320" s="26">
        <v>0.56597222222222221</v>
      </c>
      <c r="F320" t="s">
        <v>205</v>
      </c>
      <c r="G320" s="26">
        <v>0.58680555555555558</v>
      </c>
      <c r="H320" t="s">
        <v>200</v>
      </c>
    </row>
    <row r="321" spans="1:9">
      <c r="A321">
        <v>5</v>
      </c>
      <c r="B321" t="s">
        <v>206</v>
      </c>
      <c r="C321">
        <v>834</v>
      </c>
      <c r="D321" t="s">
        <v>205</v>
      </c>
      <c r="E321" s="26">
        <v>0.61111111111111116</v>
      </c>
      <c r="F321" t="s">
        <v>209</v>
      </c>
      <c r="G321" s="26">
        <v>0.63194444444444442</v>
      </c>
      <c r="H321" t="s">
        <v>198</v>
      </c>
    </row>
    <row r="322" spans="1:9">
      <c r="A322">
        <v>6</v>
      </c>
      <c r="B322" t="s">
        <v>201</v>
      </c>
      <c r="C322">
        <v>564</v>
      </c>
      <c r="D322" t="s">
        <v>209</v>
      </c>
      <c r="E322" s="26">
        <v>0.69791666666666663</v>
      </c>
      <c r="F322" t="s">
        <v>202</v>
      </c>
      <c r="G322" s="26">
        <v>0.73611111111111116</v>
      </c>
      <c r="H322" t="s">
        <v>220</v>
      </c>
    </row>
    <row r="323" spans="1:9">
      <c r="A323">
        <v>7</v>
      </c>
      <c r="B323" t="s">
        <v>190</v>
      </c>
      <c r="C323">
        <v>920</v>
      </c>
      <c r="D323" t="s">
        <v>202</v>
      </c>
      <c r="E323" s="26">
        <v>0.80902777777777779</v>
      </c>
      <c r="F323" t="s">
        <v>191</v>
      </c>
      <c r="G323" s="26">
        <v>0.91666666666666663</v>
      </c>
      <c r="H323" t="s">
        <v>221</v>
      </c>
    </row>
    <row r="325" spans="1:9" ht="14.25">
      <c r="A325" s="50">
        <v>1</v>
      </c>
      <c r="B325" s="51" t="s">
        <v>190</v>
      </c>
      <c r="C325" s="51">
        <v>901</v>
      </c>
      <c r="D325" s="51" t="s">
        <v>242</v>
      </c>
      <c r="E325" s="52">
        <v>0.27083333333333331</v>
      </c>
      <c r="F325" s="51" t="s">
        <v>243</v>
      </c>
      <c r="G325" s="52">
        <v>0.375</v>
      </c>
      <c r="H325" s="53" t="s">
        <v>264</v>
      </c>
      <c r="I325" s="54"/>
    </row>
    <row r="326" spans="1:9" ht="14.25">
      <c r="A326" s="55">
        <v>2</v>
      </c>
      <c r="B326" s="56" t="s">
        <v>201</v>
      </c>
      <c r="C326" s="56">
        <v>605</v>
      </c>
      <c r="D326" s="56" t="s">
        <v>243</v>
      </c>
      <c r="E326" s="57">
        <v>0.39930555555555558</v>
      </c>
      <c r="F326" s="56" t="s">
        <v>205</v>
      </c>
      <c r="G326" s="57">
        <v>0.44097222222222221</v>
      </c>
      <c r="H326" s="56" t="s">
        <v>198</v>
      </c>
      <c r="I326" s="58"/>
    </row>
    <row r="327" spans="1:9" ht="14.25">
      <c r="A327" s="50">
        <v>3</v>
      </c>
      <c r="B327" s="51" t="s">
        <v>206</v>
      </c>
      <c r="C327" s="51">
        <v>743</v>
      </c>
      <c r="D327" s="51" t="s">
        <v>205</v>
      </c>
      <c r="E327" s="52">
        <v>0.52430555555555558</v>
      </c>
      <c r="F327" s="51" t="s">
        <v>207</v>
      </c>
      <c r="G327" s="52">
        <v>0.54513888888888884</v>
      </c>
      <c r="H327" s="51" t="s">
        <v>265</v>
      </c>
      <c r="I327" s="54"/>
    </row>
    <row r="328" spans="1:9" ht="14.25">
      <c r="A328" s="55">
        <v>4</v>
      </c>
      <c r="B328" s="56" t="s">
        <v>206</v>
      </c>
      <c r="C328" s="56">
        <v>744</v>
      </c>
      <c r="D328" s="56" t="s">
        <v>207</v>
      </c>
      <c r="E328" s="57">
        <v>0.56597222222222221</v>
      </c>
      <c r="F328" s="56" t="s">
        <v>205</v>
      </c>
      <c r="G328" s="57">
        <v>0.58680555555555558</v>
      </c>
      <c r="H328" s="56" t="s">
        <v>200</v>
      </c>
      <c r="I328" s="58"/>
    </row>
    <row r="329" spans="1:9" ht="14.25">
      <c r="A329" s="50">
        <v>5</v>
      </c>
      <c r="B329" s="51" t="s">
        <v>206</v>
      </c>
      <c r="C329" s="51">
        <v>834</v>
      </c>
      <c r="D329" s="51" t="s">
        <v>205</v>
      </c>
      <c r="E329" s="52">
        <v>0.61111111111111116</v>
      </c>
      <c r="F329" s="51" t="s">
        <v>209</v>
      </c>
      <c r="G329" s="52">
        <v>0.63194444444444442</v>
      </c>
      <c r="H329" s="51" t="s">
        <v>198</v>
      </c>
      <c r="I329" s="54"/>
    </row>
    <row r="330" spans="1:9" ht="14.25">
      <c r="A330" s="55">
        <v>6</v>
      </c>
      <c r="B330" s="56" t="s">
        <v>206</v>
      </c>
      <c r="C330" s="56">
        <v>897</v>
      </c>
      <c r="D330" s="56" t="s">
        <v>209</v>
      </c>
      <c r="E330" s="57">
        <v>0.65277777777777779</v>
      </c>
      <c r="F330" s="56" t="s">
        <v>210</v>
      </c>
      <c r="G330" s="57">
        <v>0.67013888888888884</v>
      </c>
      <c r="H330" s="56" t="s">
        <v>200</v>
      </c>
      <c r="I330" s="58"/>
    </row>
    <row r="331" spans="1:9" ht="14.25">
      <c r="A331" s="50">
        <v>7</v>
      </c>
      <c r="B331" s="51" t="s">
        <v>206</v>
      </c>
      <c r="C331" s="51">
        <v>898</v>
      </c>
      <c r="D331" s="51" t="s">
        <v>210</v>
      </c>
      <c r="E331" s="52">
        <v>0.69444444444444442</v>
      </c>
      <c r="F331" s="51" t="s">
        <v>209</v>
      </c>
      <c r="G331" s="52">
        <v>0.71180555555555558</v>
      </c>
      <c r="H331" s="51" t="s">
        <v>198</v>
      </c>
      <c r="I331" s="54"/>
    </row>
    <row r="332" spans="1:9" ht="14.25">
      <c r="A332" s="55">
        <v>8</v>
      </c>
      <c r="B332" s="56" t="s">
        <v>201</v>
      </c>
      <c r="C332" s="56">
        <v>572</v>
      </c>
      <c r="D332" s="56" t="s">
        <v>209</v>
      </c>
      <c r="E332" s="57">
        <v>0.74652777777777779</v>
      </c>
      <c r="F332" s="56" t="s">
        <v>243</v>
      </c>
      <c r="G332" s="57">
        <v>0.78472222222222221</v>
      </c>
      <c r="H332" s="56" t="s">
        <v>263</v>
      </c>
      <c r="I332" s="58"/>
    </row>
    <row r="333" spans="1:9" ht="14.25">
      <c r="A333" s="59">
        <v>9</v>
      </c>
      <c r="B333" s="60" t="s">
        <v>190</v>
      </c>
      <c r="C333" s="60">
        <v>920</v>
      </c>
      <c r="D333" s="60" t="s">
        <v>243</v>
      </c>
      <c r="E333" s="61">
        <v>0.8125</v>
      </c>
      <c r="F333" s="60" t="s">
        <v>242</v>
      </c>
      <c r="G333" s="61">
        <v>0.91666666666666663</v>
      </c>
      <c r="H333" s="60" t="s">
        <v>203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2026-01-18T02:51:37Z</dcterms:modified>
  <cp:category/>
  <cp:contentStatus/>
</cp:coreProperties>
</file>