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0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2B592611-7B57-4FEE-ADA9-0BF62941FEDB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05" i="5" l="1"/>
  <c r="M605" i="5"/>
  <c r="L606" i="5"/>
  <c r="M606" i="5"/>
  <c r="L607" i="5"/>
  <c r="M607" i="5"/>
  <c r="L608" i="5"/>
  <c r="M608" i="5"/>
  <c r="L609" i="5"/>
  <c r="M609" i="5"/>
  <c r="L610" i="5"/>
  <c r="M610" i="5"/>
  <c r="L611" i="5"/>
  <c r="M611" i="5"/>
  <c r="L612" i="5"/>
  <c r="M612" i="5"/>
  <c r="L613" i="5"/>
  <c r="M613" i="5"/>
  <c r="L614" i="5"/>
  <c r="M614" i="5"/>
  <c r="L599" i="5"/>
  <c r="M599" i="5"/>
  <c r="L600" i="5"/>
  <c r="M600" i="5"/>
  <c r="L601" i="5"/>
  <c r="M601" i="5"/>
  <c r="L602" i="5"/>
  <c r="M602" i="5"/>
  <c r="L603" i="5"/>
  <c r="M603" i="5"/>
  <c r="L604" i="5"/>
  <c r="M604" i="5"/>
  <c r="L582" i="5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<sst xmlns="http://schemas.openxmlformats.org/spreadsheetml/2006/main" count="2704" uniqueCount="371">
  <si>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</si>
  <si>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</si>
  <si>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</si>
  <si>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</si>
  <si>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</si>
  <si>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</si>
  <si>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</si>
  <si>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</si>
  <si>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</si>
  <si>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</si>
  <si>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</si>
  <si>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</si>
  <si>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</si>
  <si>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</si>
  <si>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</si>
  <si>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</si>
  <si>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</si>
  <si>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</si>
  <si>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</si>
  <si>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</si>
  <si>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</si>
  <si>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</si>
  <si>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</si>
  <si>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</si>
  <si>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</si>
  <si>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</si>
  <si>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</si>
  <si>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</si>
  <si>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</si>
  <si>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</si>
  <si>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</si>
  <si>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</si>
  <si>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</si>
  <si>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</si>
  <si>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</si>
  <si>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</si>
  <si>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</si>
  <si>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</si>
  <si>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</si>
  <si>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</si>
  <si>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</si>
  <si>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</si>
  <si>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</si>
  <si>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</si>
  <si>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</si>
  <si>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</si>
  <si>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</si>
  <si>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</si>
  <si>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</si>
  <si>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</si>
  <si>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</si>
  <si>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</si>
  <si>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</si>
  <si>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</si>
  <si>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</si>
  <si>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</si>
  <si>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</si>
  <si>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</si>
  <si>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</si>
  <si>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</si>
  <si>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</si>
  <si>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</si>
  <si>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</si>
  <si>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</si>
  <si>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</si>
  <si>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</si>
  <si>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</si>
  <si>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</si>
  <si>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</si>
  <si>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</si>
  <si>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</si>
  <si>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</si>
  <si>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</si>
  <si>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</si>
  <si>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</si>
  <si>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</si>
  <si>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</si>
  <si>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</si>
  <si>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</si>
  <si>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</si>
  <si>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</si>
  <si>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</si>
  <si>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</si>
  <si>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</si>
  <si>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</si>
  <si>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</si>
  <si>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</si>
  <si>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</si>
  <si>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</si>
  <si>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</si>
  <si>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</si>
  <si>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</si>
  <si>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</si>
  <si>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</si>
  <si>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</si>
  <si>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</si>
  <si>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</si>
  <si>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</si>
  <si>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</si>
  <si>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</si>
  <si>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</si>
  <si>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</si>
  <si>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</si>
  <si>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</si>
  <si>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</si>
  <si>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</si>
  <si>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</si>
  <si>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</si>
  <si>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</si>
  <si>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</si>
  <si>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</si>
  <si>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</si>
  <si>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</si>
  <si>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</si>
  <si>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</si>
  <si>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</si>
  <si>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</si>
  <si>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</si>
  <si>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</si>
  <si>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</si>
  <si>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</si>
  <si>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</si>
  <si>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</si>
  <si>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</si>
  <si>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</si>
  <si>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</si>
  <si>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</si>
  <si>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</si>
  <si>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</si>
  <si>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</si>
  <si>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</si>
  <si>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</si>
  <si>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</si>
  <si>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</si>
  <si>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</si>
  <si>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</si>
  <si>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</si>
  <si>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</si>
  <si>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</si>
  <si>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</si>
  <si>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</si>
  <si>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</si>
  <si>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</si>
  <si>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</si>
  <si>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</si>
  <si>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</si>
  <si>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</si>
  <si>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</si>
  <si>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</si>
  <si>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</si>
  <si>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</si>
  <si>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</si>
  <si>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</si>
  <si>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</si>
  <si>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</si>
  <si>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</si>
  <si>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</si>
  <si>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</si>
  <si>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</si>
  <si>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</si>
  <si>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</si>
  <si>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</si>
  <si>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</si>
  <si>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</si>
  <si>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</si>
  <si>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</si>
  <si>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</si>
  <si>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</si>
  <si>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</si>
  <si>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</si>
  <si>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</si>
  <si>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</si>
  <si>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</si>
  <si>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</si>
  <si>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</si>
  <si>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</si>
  <si>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</si>
  <si>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</si>
  <si>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</si>
  <si>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</si>
  <si>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</si>
  <si>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</si>
  <si>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</si>
  <si>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</si>
  <si>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</si>
  <si>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</si>
  <si>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</si>
  <si>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</si>
  <si>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</si>
  <si>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</si>
  <si>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</si>
  <si>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</si>
  <si>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</si>
  <si>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</si>
  <si>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</si>
  <si>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</si>
  <si>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</si>
  <si>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</si>
  <si>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</si>
  <si>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</si>
  <si>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</si>
  <si>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</si>
  <si>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</si>
  <si>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</si>
  <si>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</si>
  <si>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</si>
  <si>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</si>
  <si>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</si>
  <si>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</si>
  <si>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</si>
  <si>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</si>
  <si>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</si>
  <si>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</si>
  <si>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JL0115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</si>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</sst>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116946</c:v>
                </c:pt>
                <c:pt idx="1">
                  <c:v>52462</c:v>
                </c:pt>
                <c:pt idx="2">
                  <c:v>5000</c:v>
                </c:pt>
                <c:pt idx="3">
                  <c:v>2000</c:v>
                </c:pt>
                <c:pt idx="4">
                  <c:v>6000</c:v>
                </c:pt>
                <c:pt idx="5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1611</c:v>
                </c:pt>
                <c:pt idx="1">
                  <c:v>1611</c:v>
                </c:pt>
                <c:pt idx="2">
                  <c:v>1611</c:v>
                </c:pt>
                <c:pt idx="3">
                  <c:v>1611</c:v>
                </c:pt>
                <c:pt idx="4">
                  <c:v>1611</c:v>
                </c:pt>
                <c:pt idx="5">
                  <c:v>1611</c:v>
                </c:pt>
                <c:pt idx="6">
                  <c:v>1611</c:v>
                </c:pt>
                <c:pt idx="7">
                  <c:v>1611</c:v>
                </c:pt>
                <c:pt idx="8">
                  <c:v>1611</c:v>
                </c:pt>
                <c:pt idx="9">
                  <c:v>1611</c:v>
                </c:pt>
                <c:pt idx="10">
                  <c:v>1611</c:v>
                </c:pt>
                <c:pt idx="11">
                  <c:v>1611</c:v>
                </c:pt>
                <c:pt idx="12">
                  <c:v>1611</c:v>
                </c:pt>
                <c:pt idx="13">
                  <c:v>1611</c:v>
                </c:pt>
                <c:pt idx="14">
                  <c:v>1611</c:v>
                </c:pt>
                <c:pt idx="15">
                  <c:v>1611</c:v>
                </c:pt>
                <c:pt idx="16">
                  <c:v>1611</c:v>
                </c:pt>
                <c:pt idx="17">
                  <c:v>1611</c:v>
                </c:pt>
                <c:pt idx="18">
                  <c:v>1611</c:v>
                </c:pt>
                <c:pt idx="19">
                  <c:v>1611</c:v>
                </c:pt>
                <c:pt idx="20">
                  <c:v>1611</c:v>
                </c:pt>
                <c:pt idx="21">
                  <c:v>1611</c:v>
                </c:pt>
                <c:pt idx="22">
                  <c:v>1611</c:v>
                </c:pt>
                <c:pt idx="23">
                  <c:v>1611</c:v>
                </c:pt>
                <c:pt idx="24">
                  <c:v>1611</c:v>
                </c:pt>
                <c:pt idx="25">
                  <c:v>1611</c:v>
                </c:pt>
                <c:pt idx="26">
                  <c:v>1611</c:v>
                </c:pt>
                <c:pt idx="27">
                  <c:v>1611</c:v>
                </c:pt>
                <c:pt idx="28">
                  <c:v>1611</c:v>
                </c:pt>
                <c:pt idx="29">
                  <c:v>1611</c:v>
                </c:pt>
                <c:pt idx="30">
                  <c:v>1611</c:v>
                </c:pt>
                <c:pt idx="31">
                  <c:v>1611</c:v>
                </c:pt>
                <c:pt idx="32">
                  <c:v>1611</c:v>
                </c:pt>
                <c:pt idx="33">
                  <c:v>1611</c:v>
                </c:pt>
                <c:pt idx="34">
                  <c:v>1611</c:v>
                </c:pt>
                <c:pt idx="35">
                  <c:v>1611</c:v>
                </c:pt>
                <c:pt idx="36">
                  <c:v>1611</c:v>
                </c:pt>
                <c:pt idx="37">
                  <c:v>1611</c:v>
                </c:pt>
                <c:pt idx="38">
                  <c:v>1611</c:v>
                </c:pt>
                <c:pt idx="39">
                  <c:v>1611</c:v>
                </c:pt>
                <c:pt idx="40">
                  <c:v>1611</c:v>
                </c:pt>
                <c:pt idx="41">
                  <c:v>1611</c:v>
                </c:pt>
                <c:pt idx="42">
                  <c:v>1611</c:v>
                </c:pt>
                <c:pt idx="43">
                  <c:v>1611</c:v>
                </c:pt>
                <c:pt idx="44">
                  <c:v>1611</c:v>
                </c:pt>
                <c:pt idx="45">
                  <c:v>1611</c:v>
                </c:pt>
                <c:pt idx="46">
                  <c:v>1611</c:v>
                </c:pt>
                <c:pt idx="47">
                  <c:v>1611</c:v>
                </c:pt>
                <c:pt idx="48">
                  <c:v>1611</c:v>
                </c:pt>
                <c:pt idx="49">
                  <c:v>1611</c:v>
                </c:pt>
                <c:pt idx="50">
                  <c:v>1611</c:v>
                </c:pt>
                <c:pt idx="51">
                  <c:v>1611</c:v>
                </c:pt>
                <c:pt idx="52">
                  <c:v>1611</c:v>
                </c:pt>
                <c:pt idx="53">
                  <c:v>1611</c:v>
                </c:pt>
                <c:pt idx="54">
                  <c:v>1611</c:v>
                </c:pt>
                <c:pt idx="55">
                  <c:v>1611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1095</c:v>
                </c:pt>
                <c:pt idx="1">
                  <c:v>70</c:v>
                </c:pt>
                <c:pt idx="2">
                  <c:v>130</c:v>
                </c:pt>
                <c:pt idx="3">
                  <c:v>9</c:v>
                </c:pt>
                <c:pt idx="4">
                  <c:v>9</c:v>
                </c:pt>
                <c:pt idx="5">
                  <c:v>10</c:v>
                </c:pt>
                <c:pt idx="6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drawing" Target="../drawings/drawing1.xm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614"/>
  <sheetViews>
    <sheetView tabSelected="1" workbookViewId="0">
      <pane xSplit="1" ySplit="3" topLeftCell="B591" activePane="bottomRight" state="frozen"/>
      <selection pane="bottomRight" activeCell="J616" sqref="J616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116946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52462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6000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95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154503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f t="shared" ref="L320:L347" si="32">J320+L319</f>
        <v>79474</v>
      </c>
      <c r="M320" s="74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si="32"/>
        <v>79474</v>
      </c>
      <c r="M321" s="74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79474</v>
      </c>
      <c r="M322" s="74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79474</v>
      </c>
      <c r="M323" s="74">
        <f t="shared" si="33"/>
        <v>69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79474</v>
      </c>
      <c r="M324" s="74">
        <f t="shared" si="33"/>
        <v>69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79474</v>
      </c>
      <c r="M325" s="74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80658</v>
      </c>
      <c r="M326" s="74">
        <f t="shared" si="33"/>
        <v>70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80658</v>
      </c>
      <c r="M327" s="74">
        <f t="shared" si="33"/>
        <v>70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80658</v>
      </c>
      <c r="M328" s="74">
        <f t="shared" si="33"/>
        <v>70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80658</v>
      </c>
      <c r="M329" s="74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81226</v>
      </c>
      <c r="M330" s="74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82410</v>
      </c>
      <c r="M331" s="74">
        <f t="shared" si="33"/>
        <v>72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82410</v>
      </c>
      <c r="M332" s="74">
        <f t="shared" si="33"/>
        <v>72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82410</v>
      </c>
      <c r="M333" s="74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82658</v>
      </c>
      <c r="M334" s="74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82906</v>
      </c>
      <c r="M335" s="74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83372</v>
      </c>
      <c r="M336" s="74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83550</v>
      </c>
      <c r="M337" s="74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83610</v>
      </c>
      <c r="M338" s="74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83670</v>
      </c>
      <c r="M339" s="74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84208</v>
      </c>
      <c r="M340" s="74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85214</v>
      </c>
      <c r="M341" s="74">
        <f t="shared" si="33"/>
        <v>80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85214</v>
      </c>
      <c r="M342" s="74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85340</v>
      </c>
      <c r="M343" s="74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85466</v>
      </c>
      <c r="M344" s="74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85862</v>
      </c>
      <c r="M345" s="74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86258</v>
      </c>
      <c r="M346" s="74">
        <f t="shared" si="33"/>
        <v>84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86258</v>
      </c>
      <c r="M347" s="74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86318</v>
      </c>
      <c r="M348" s="74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86606</v>
      </c>
      <c r="M349" s="74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86680</v>
      </c>
      <c r="M350" s="74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86754</v>
      </c>
      <c r="M351" s="74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87002</v>
      </c>
      <c r="M352" s="74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87250</v>
      </c>
      <c r="M353" s="74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87788</v>
      </c>
      <c r="M354" s="74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88772</v>
      </c>
      <c r="M355" s="74">
        <f t="shared" si="37"/>
        <v>92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88772</v>
      </c>
      <c r="M356" s="74">
        <f t="shared" ref="M356:M366" si="39">K356+M355</f>
        <v>92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88772</v>
      </c>
      <c r="M357" s="74">
        <f t="shared" si="39"/>
        <v>92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88772</v>
      </c>
      <c r="M358" s="74">
        <f t="shared" si="39"/>
        <v>92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88772</v>
      </c>
      <c r="M359" s="74">
        <f t="shared" si="39"/>
        <v>92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88772</v>
      </c>
      <c r="M360" s="74">
        <f t="shared" si="39"/>
        <v>92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88772</v>
      </c>
      <c r="M361" s="74">
        <f t="shared" si="39"/>
        <v>92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88772</v>
      </c>
      <c r="M362" s="74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89636</v>
      </c>
      <c r="M363" s="74">
        <f t="shared" si="39"/>
        <v>93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89636</v>
      </c>
      <c r="M364" s="74">
        <f t="shared" si="39"/>
        <v>93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89636</v>
      </c>
      <c r="M365" s="74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90500</v>
      </c>
      <c r="M366" s="74">
        <f t="shared" si="39"/>
        <v>94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90500</v>
      </c>
      <c r="M367" s="74">
        <f t="shared" ref="M367:M373" si="41">K367+M366</f>
        <v>94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90500</v>
      </c>
      <c r="M368" s="74">
        <f t="shared" si="41"/>
        <v>94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90500</v>
      </c>
      <c r="M369" s="74">
        <f t="shared" si="41"/>
        <v>94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90500</v>
      </c>
      <c r="M370" s="74">
        <f t="shared" si="41"/>
        <v>94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90500</v>
      </c>
      <c r="M371" s="74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92148</v>
      </c>
      <c r="M372" s="74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93796</v>
      </c>
      <c r="M373" s="74">
        <f t="shared" si="41"/>
        <v>96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93796</v>
      </c>
      <c r="M374" s="74">
        <f t="shared" ref="M374:M375" si="43">K374+M373</f>
        <v>96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93796</v>
      </c>
      <c r="M375" s="74">
        <f t="shared" si="43"/>
        <v>96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93796</v>
      </c>
      <c r="M376" s="74">
        <f t="shared" ref="M376:M383" si="45">K376+M375</f>
        <v>96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93796</v>
      </c>
      <c r="M377" s="74">
        <f t="shared" si="45"/>
        <v>96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93796</v>
      </c>
      <c r="M378" s="74">
        <f t="shared" si="45"/>
        <v>96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93796</v>
      </c>
      <c r="M379" s="74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94022</v>
      </c>
      <c r="M380" s="74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94248</v>
      </c>
      <c r="M381" s="74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94426</v>
      </c>
      <c r="M382" s="74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94604</v>
      </c>
      <c r="M383" s="74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95588</v>
      </c>
      <c r="M384" s="74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96572</v>
      </c>
      <c r="M385" s="74">
        <f t="shared" si="47"/>
        <v>102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96572</v>
      </c>
      <c r="M386" s="74">
        <f t="shared" si="47"/>
        <v>102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96572</v>
      </c>
      <c r="M387" s="74">
        <f t="shared" si="47"/>
        <v>102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96572</v>
      </c>
      <c r="M388" s="74">
        <f t="shared" si="47"/>
        <v>102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96572</v>
      </c>
      <c r="M389" s="74">
        <f t="shared" si="47"/>
        <v>102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96572</v>
      </c>
      <c r="M390" s="74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99136</v>
      </c>
      <c r="M391" s="74">
        <f t="shared" si="47"/>
        <v>103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99136</v>
      </c>
      <c r="M392" s="74">
        <f t="shared" si="47"/>
        <v>103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99136</v>
      </c>
      <c r="M393" s="74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101700</v>
      </c>
      <c r="M394" s="74">
        <f t="shared" si="47"/>
        <v>104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101700</v>
      </c>
      <c r="M395" s="74">
        <f t="shared" si="47"/>
        <v>104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101700</v>
      </c>
      <c r="M396" s="74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103376</v>
      </c>
      <c r="M397" s="74">
        <f t="shared" si="47"/>
        <v>105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103376</v>
      </c>
      <c r="M398" s="74">
        <f t="shared" si="47"/>
        <v>105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103376</v>
      </c>
      <c r="M399" s="74">
        <f t="shared" ref="M399:M426" si="49">K399+M398</f>
        <v>105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108376</v>
      </c>
      <c r="M400" s="74">
        <f t="shared" si="49"/>
        <v>105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108376</v>
      </c>
      <c r="M401" s="74">
        <f t="shared" si="49"/>
        <v>105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108376</v>
      </c>
      <c r="M402" s="74">
        <f t="shared" si="49"/>
        <v>105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108376</v>
      </c>
      <c r="M403" s="74">
        <f t="shared" si="49"/>
        <v>105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108376</v>
      </c>
      <c r="M404" s="74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110052</v>
      </c>
      <c r="M405" s="74">
        <f t="shared" si="49"/>
        <v>106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110052</v>
      </c>
      <c r="M406" s="74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111728</v>
      </c>
      <c r="M407" s="74">
        <f t="shared" si="49"/>
        <v>107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111728</v>
      </c>
      <c r="M408" s="74">
        <f t="shared" si="49"/>
        <v>107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111728</v>
      </c>
      <c r="M409" s="74">
        <f t="shared" si="49"/>
        <v>107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111728</v>
      </c>
      <c r="M410" s="74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114292</v>
      </c>
      <c r="M411" s="74">
        <f t="shared" si="49"/>
        <v>108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114292</v>
      </c>
      <c r="M412" s="74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114830</v>
      </c>
      <c r="M413" s="74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115226</v>
      </c>
      <c r="M414" s="74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115622</v>
      </c>
      <c r="M415" s="74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115810</v>
      </c>
      <c r="M416" s="74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115998</v>
      </c>
      <c r="M417" s="74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116566</v>
      </c>
      <c r="M418" s="74">
        <f t="shared" si="49"/>
        <v>114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116566</v>
      </c>
      <c r="M419" s="74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116854</v>
      </c>
      <c r="M420" s="74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116914</v>
      </c>
      <c r="M421" s="74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117092</v>
      </c>
      <c r="M422" s="74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117270</v>
      </c>
      <c r="M423" s="74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117808</v>
      </c>
      <c r="M424" s="74">
        <f t="shared" si="49"/>
        <v>119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117808</v>
      </c>
      <c r="M425" s="74">
        <f t="shared" si="49"/>
        <v>119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117808</v>
      </c>
      <c r="M426" s="74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118096</v>
      </c>
      <c r="M427" s="74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118156</v>
      </c>
      <c r="M428" s="74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118236</v>
      </c>
      <c r="M429" s="74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118552</v>
      </c>
      <c r="M430" s="74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118800</v>
      </c>
      <c r="M431" s="74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118978</v>
      </c>
      <c r="M432" s="74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119156</v>
      </c>
      <c r="M433" s="74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119694</v>
      </c>
      <c r="M434" s="74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120678</v>
      </c>
      <c r="M435" s="74">
        <f t="shared" si="51"/>
        <v>128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120678</v>
      </c>
      <c r="M436" s="74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121856</v>
      </c>
      <c r="M437" s="74">
        <f t="shared" si="51"/>
        <v>129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121856</v>
      </c>
      <c r="M438" s="74">
        <f t="shared" si="51"/>
        <v>129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121856</v>
      </c>
      <c r="M439" s="74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123034</v>
      </c>
      <c r="M440" s="74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123602</v>
      </c>
      <c r="M441" s="74">
        <f t="shared" si="53"/>
        <v>131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123602</v>
      </c>
      <c r="M442" s="74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123922</v>
      </c>
      <c r="M443" s="74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124238</v>
      </c>
      <c r="M444" s="74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124486</v>
      </c>
      <c r="M445" s="74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124734</v>
      </c>
      <c r="M446" s="74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125740</v>
      </c>
      <c r="M447" s="74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126964</v>
      </c>
      <c r="M448" s="74">
        <f t="shared" si="55"/>
        <v>137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126964</v>
      </c>
      <c r="M449" s="74">
        <f t="shared" si="55"/>
        <v>137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126964</v>
      </c>
      <c r="M450" s="74">
        <f t="shared" si="55"/>
        <v>137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126964</v>
      </c>
      <c r="M451" s="74">
        <f t="shared" si="55"/>
        <v>137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126964</v>
      </c>
      <c r="M452" s="74">
        <f t="shared" si="55"/>
        <v>137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126964</v>
      </c>
      <c r="M453" s="74">
        <f t="shared" si="55"/>
        <v>137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126964</v>
      </c>
      <c r="M454" s="74">
        <f t="shared" si="55"/>
        <v>137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126964</v>
      </c>
      <c r="M455" s="74">
        <f t="shared" si="55"/>
        <v>137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126964</v>
      </c>
      <c r="M456" s="74">
        <f t="shared" si="55"/>
        <v>137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126964</v>
      </c>
      <c r="M457" s="74">
        <f t="shared" si="55"/>
        <v>137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126964</v>
      </c>
      <c r="M458" s="74">
        <f t="shared" ref="M458:M471" si="57">K458+M457</f>
        <v>137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126964</v>
      </c>
      <c r="M459" s="74">
        <f t="shared" si="57"/>
        <v>137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126964</v>
      </c>
      <c r="M460" s="74">
        <f t="shared" si="57"/>
        <v>137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126964</v>
      </c>
      <c r="M461" s="74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127360</v>
      </c>
      <c r="M462" s="74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127756</v>
      </c>
      <c r="M463" s="74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128806</v>
      </c>
      <c r="M464" s="74">
        <f t="shared" si="57"/>
        <v>140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128806</v>
      </c>
      <c r="M465" s="74">
        <f t="shared" si="57"/>
        <v>140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128806</v>
      </c>
      <c r="M466" s="74">
        <f t="shared" si="57"/>
        <v>140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128806</v>
      </c>
      <c r="M467" s="74">
        <f t="shared" si="57"/>
        <v>140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128806</v>
      </c>
      <c r="M468" s="74">
        <f t="shared" si="57"/>
        <v>140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128806</v>
      </c>
      <c r="M469" s="74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128846</v>
      </c>
      <c r="M470" s="74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129104</v>
      </c>
      <c r="M471" s="74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129648</v>
      </c>
      <c r="M472" s="74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129896</v>
      </c>
      <c r="M473" s="74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130144</v>
      </c>
      <c r="M474" s="74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130322</v>
      </c>
      <c r="M475" s="74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131328</v>
      </c>
      <c r="M476" s="74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132552</v>
      </c>
      <c r="M477" s="74">
        <f t="shared" si="61"/>
        <v>148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132552</v>
      </c>
      <c r="M478" s="74">
        <f t="shared" si="61"/>
        <v>148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132552</v>
      </c>
      <c r="M479" s="74">
        <f t="shared" si="61"/>
        <v>148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132552</v>
      </c>
      <c r="M480" s="74">
        <f t="shared" si="61"/>
        <v>148</v>
      </c>
    </row>
    <row r="481" spans="1:13">
      <c r="A481" s="27">
        <v>46077</v>
      </c>
      <c r="B481" s="76" t="s">
        <v>33</v>
      </c>
      <c r="C481" s="76"/>
      <c r="D481" s="76"/>
      <c r="E481" s="77"/>
      <c r="F481" s="74">
        <v>0</v>
      </c>
      <c r="G481" s="74">
        <v>10</v>
      </c>
      <c r="H481" s="74">
        <v>10</v>
      </c>
      <c r="I481" s="4">
        <v>80585</v>
      </c>
      <c r="J481" s="74">
        <v>0</v>
      </c>
      <c r="K481" s="74">
        <v>0</v>
      </c>
      <c r="L481" s="74">
        <f t="shared" si="60"/>
        <v>132552</v>
      </c>
      <c r="M481" s="74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4">
        <v>89</v>
      </c>
      <c r="G482" s="28">
        <v>93</v>
      </c>
      <c r="H482" s="74">
        <v>182</v>
      </c>
      <c r="I482" s="4">
        <v>80767</v>
      </c>
      <c r="J482" s="74">
        <v>178</v>
      </c>
      <c r="K482" s="74">
        <v>1</v>
      </c>
      <c r="L482" s="74">
        <f t="shared" si="60"/>
        <v>132730</v>
      </c>
      <c r="M482" s="74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80949</v>
      </c>
      <c r="J483" s="74">
        <v>178</v>
      </c>
      <c r="K483" s="74">
        <v>1</v>
      </c>
      <c r="L483" s="74">
        <f t="shared" si="60"/>
        <v>132908</v>
      </c>
      <c r="M483" s="74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4">
        <v>269</v>
      </c>
      <c r="G484" s="28">
        <v>282</v>
      </c>
      <c r="H484" s="74">
        <v>551</v>
      </c>
      <c r="I484" s="4">
        <v>81500</v>
      </c>
      <c r="J484" s="74">
        <v>538</v>
      </c>
      <c r="K484" s="74">
        <v>1</v>
      </c>
      <c r="L484" s="74">
        <f t="shared" si="60"/>
        <v>133446</v>
      </c>
      <c r="M484" s="74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4">
        <v>94</v>
      </c>
      <c r="G485" s="28">
        <v>99</v>
      </c>
      <c r="H485" s="74">
        <v>193</v>
      </c>
      <c r="I485" s="4">
        <v>81693</v>
      </c>
      <c r="J485" s="74">
        <v>188</v>
      </c>
      <c r="K485" s="74">
        <v>1</v>
      </c>
      <c r="L485" s="74">
        <f t="shared" si="60"/>
        <v>133634</v>
      </c>
      <c r="M485" s="74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81886</v>
      </c>
      <c r="J486" s="74">
        <v>188</v>
      </c>
      <c r="K486" s="74">
        <v>1</v>
      </c>
      <c r="L486" s="74">
        <f t="shared" si="60"/>
        <v>133822</v>
      </c>
      <c r="M486" s="74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4">
        <v>492</v>
      </c>
      <c r="G487" s="28">
        <v>517</v>
      </c>
      <c r="H487" s="4">
        <v>1009</v>
      </c>
      <c r="I487" s="4">
        <v>82895</v>
      </c>
      <c r="J487" s="74">
        <v>984</v>
      </c>
      <c r="K487" s="74">
        <v>1</v>
      </c>
      <c r="L487" s="74">
        <f t="shared" si="60"/>
        <v>134806</v>
      </c>
      <c r="M487" s="74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4">
        <v>284</v>
      </c>
      <c r="G488" s="28">
        <v>298</v>
      </c>
      <c r="H488" s="74">
        <v>582</v>
      </c>
      <c r="I488" s="4">
        <v>83477</v>
      </c>
      <c r="J488" s="74">
        <v>568</v>
      </c>
      <c r="K488" s="74">
        <v>1</v>
      </c>
      <c r="L488" s="74">
        <f t="shared" si="60"/>
        <v>135374</v>
      </c>
      <c r="M488" s="74">
        <f t="shared" si="61"/>
        <v>155</v>
      </c>
    </row>
    <row r="489" spans="1:13">
      <c r="A489" s="27">
        <v>46078</v>
      </c>
      <c r="B489" s="76" t="s">
        <v>33</v>
      </c>
      <c r="C489" s="76"/>
      <c r="D489" s="76"/>
      <c r="E489" s="77"/>
      <c r="F489" s="74">
        <v>0</v>
      </c>
      <c r="G489" s="74">
        <v>13</v>
      </c>
      <c r="H489" s="74">
        <v>13</v>
      </c>
      <c r="I489" s="4">
        <v>83490</v>
      </c>
      <c r="J489" s="74">
        <v>0</v>
      </c>
      <c r="K489" s="74">
        <v>0</v>
      </c>
      <c r="L489" s="74">
        <f t="shared" si="60"/>
        <v>135374</v>
      </c>
      <c r="M489" s="74">
        <f t="shared" si="61"/>
        <v>155</v>
      </c>
    </row>
    <row r="490" spans="1:13">
      <c r="A490" s="27">
        <v>46079</v>
      </c>
      <c r="B490" s="76" t="s">
        <v>33</v>
      </c>
      <c r="C490" s="76"/>
      <c r="D490" s="76"/>
      <c r="E490" s="77"/>
      <c r="F490" s="74">
        <v>0</v>
      </c>
      <c r="G490" s="74">
        <v>29</v>
      </c>
      <c r="H490" s="74">
        <v>29</v>
      </c>
      <c r="I490" s="4">
        <v>83519</v>
      </c>
      <c r="J490" s="74">
        <v>0</v>
      </c>
      <c r="K490" s="74">
        <v>0</v>
      </c>
      <c r="L490" s="74">
        <f t="shared" si="60"/>
        <v>135374</v>
      </c>
      <c r="M490" s="74">
        <f t="shared" si="61"/>
        <v>155</v>
      </c>
    </row>
    <row r="491" spans="1:13">
      <c r="A491" s="27">
        <v>46080</v>
      </c>
      <c r="B491" s="76" t="s">
        <v>33</v>
      </c>
      <c r="C491" s="76"/>
      <c r="D491" s="76"/>
      <c r="E491" s="77"/>
      <c r="F491" s="74">
        <v>0</v>
      </c>
      <c r="G491" s="74">
        <v>9</v>
      </c>
      <c r="H491" s="74">
        <v>9</v>
      </c>
      <c r="I491" s="4">
        <v>83528</v>
      </c>
      <c r="J491" s="74">
        <v>0</v>
      </c>
      <c r="K491" s="74">
        <v>0</v>
      </c>
      <c r="L491" s="74">
        <f t="shared" si="60"/>
        <v>135374</v>
      </c>
      <c r="M491" s="74">
        <f t="shared" si="61"/>
        <v>155</v>
      </c>
    </row>
    <row r="492" spans="1:13">
      <c r="A492" s="27">
        <v>46080</v>
      </c>
      <c r="B492" s="76" t="s">
        <v>202</v>
      </c>
      <c r="C492" s="76"/>
      <c r="D492" s="76"/>
      <c r="E492" s="77"/>
      <c r="F492" s="4">
        <v>-18000</v>
      </c>
      <c r="G492" s="74">
        <v>0</v>
      </c>
      <c r="H492" s="4">
        <v>-18000</v>
      </c>
      <c r="I492" s="4">
        <v>65528</v>
      </c>
      <c r="J492" s="74">
        <v>0</v>
      </c>
      <c r="K492" s="74">
        <v>0</v>
      </c>
      <c r="L492" s="74">
        <f t="shared" si="60"/>
        <v>135374</v>
      </c>
      <c r="M492" s="74">
        <f t="shared" si="61"/>
        <v>155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47528</v>
      </c>
      <c r="J493" s="74">
        <v>0</v>
      </c>
      <c r="K493" s="74">
        <v>0</v>
      </c>
      <c r="L493" s="74">
        <f t="shared" si="60"/>
        <v>135374</v>
      </c>
      <c r="M493" s="74">
        <f t="shared" si="61"/>
        <v>155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29528</v>
      </c>
      <c r="J494" s="74">
        <v>0</v>
      </c>
      <c r="K494" s="74">
        <v>0</v>
      </c>
      <c r="L494" s="74">
        <f t="shared" si="60"/>
        <v>135374</v>
      </c>
      <c r="M494" s="74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4">
        <v>106</v>
      </c>
      <c r="G495" s="28">
        <v>111</v>
      </c>
      <c r="H495" s="74">
        <v>217</v>
      </c>
      <c r="I495" s="4">
        <v>29746</v>
      </c>
      <c r="J495" s="74">
        <v>212</v>
      </c>
      <c r="K495" s="74">
        <v>1</v>
      </c>
      <c r="L495" s="74">
        <f t="shared" si="60"/>
        <v>135586</v>
      </c>
      <c r="M495" s="74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29963</v>
      </c>
      <c r="J496" s="74">
        <v>212</v>
      </c>
      <c r="K496" s="74">
        <v>1</v>
      </c>
      <c r="L496" s="74">
        <f t="shared" ref="L496:L504" si="62">J496+L495</f>
        <v>135798</v>
      </c>
      <c r="M496" s="74">
        <f t="shared" ref="M496:M504" si="63">K496+M495</f>
        <v>157</v>
      </c>
    </row>
    <row r="497" spans="1:13">
      <c r="A497" s="27">
        <v>46081</v>
      </c>
      <c r="B497" s="76" t="s">
        <v>49</v>
      </c>
      <c r="C497" s="76"/>
      <c r="D497" s="76"/>
      <c r="E497" s="77"/>
      <c r="F497" s="74">
        <v>0</v>
      </c>
      <c r="G497" s="74">
        <v>1</v>
      </c>
      <c r="H497" s="74">
        <v>1</v>
      </c>
      <c r="I497" s="4">
        <v>29964</v>
      </c>
      <c r="J497" s="74">
        <v>0</v>
      </c>
      <c r="K497" s="74">
        <v>0</v>
      </c>
      <c r="L497" s="74">
        <f t="shared" si="62"/>
        <v>135798</v>
      </c>
      <c r="M497" s="74">
        <f t="shared" si="63"/>
        <v>157</v>
      </c>
    </row>
    <row r="498" spans="1:13">
      <c r="A498" s="27">
        <v>46081</v>
      </c>
      <c r="B498" s="76" t="s">
        <v>33</v>
      </c>
      <c r="C498" s="76"/>
      <c r="D498" s="76"/>
      <c r="E498" s="77"/>
      <c r="F498" s="74">
        <v>0</v>
      </c>
      <c r="G498" s="74">
        <v>8</v>
      </c>
      <c r="H498" s="74">
        <v>8</v>
      </c>
      <c r="I498" s="4">
        <v>29972</v>
      </c>
      <c r="J498" s="74">
        <v>0</v>
      </c>
      <c r="K498" s="74">
        <v>0</v>
      </c>
      <c r="L498" s="74">
        <f t="shared" si="62"/>
        <v>135798</v>
      </c>
      <c r="M498" s="74">
        <f t="shared" si="63"/>
        <v>157</v>
      </c>
    </row>
    <row r="499" spans="1:13">
      <c r="A499" s="27">
        <v>46082</v>
      </c>
      <c r="B499" s="76" t="s">
        <v>33</v>
      </c>
      <c r="C499" s="76"/>
      <c r="D499" s="76"/>
      <c r="E499" s="77"/>
      <c r="F499" s="74">
        <v>0</v>
      </c>
      <c r="G499" s="74">
        <v>39</v>
      </c>
      <c r="H499" s="74">
        <v>39</v>
      </c>
      <c r="I499" s="4">
        <v>30011</v>
      </c>
      <c r="J499" s="74">
        <v>0</v>
      </c>
      <c r="K499" s="74">
        <v>0</v>
      </c>
      <c r="L499" s="74">
        <f t="shared" si="62"/>
        <v>135798</v>
      </c>
      <c r="M499" s="74">
        <f t="shared" si="63"/>
        <v>157</v>
      </c>
    </row>
    <row r="500" spans="1:13">
      <c r="A500" s="27">
        <v>46083</v>
      </c>
      <c r="B500" s="76" t="s">
        <v>33</v>
      </c>
      <c r="C500" s="76"/>
      <c r="D500" s="76"/>
      <c r="E500" s="77"/>
      <c r="F500" s="74">
        <v>0</v>
      </c>
      <c r="G500" s="74">
        <v>11</v>
      </c>
      <c r="H500" s="74">
        <v>11</v>
      </c>
      <c r="I500" s="4">
        <v>30022</v>
      </c>
      <c r="J500" s="74">
        <v>0</v>
      </c>
      <c r="K500" s="74">
        <v>0</v>
      </c>
      <c r="L500" s="74">
        <f t="shared" si="62"/>
        <v>135798</v>
      </c>
      <c r="M500" s="74">
        <f t="shared" si="63"/>
        <v>157</v>
      </c>
    </row>
    <row r="501" spans="1:13">
      <c r="A501" s="27">
        <v>46084</v>
      </c>
      <c r="B501" s="76" t="s">
        <v>163</v>
      </c>
      <c r="C501" s="76"/>
      <c r="D501" s="76"/>
      <c r="E501" s="77"/>
      <c r="F501" s="74">
        <v>0</v>
      </c>
      <c r="G501" s="74">
        <v>10</v>
      </c>
      <c r="H501" s="74">
        <v>10</v>
      </c>
      <c r="I501" s="4">
        <v>30032</v>
      </c>
      <c r="J501" s="74">
        <v>0</v>
      </c>
      <c r="K501" s="74">
        <v>0</v>
      </c>
      <c r="L501" s="74">
        <f t="shared" si="62"/>
        <v>135798</v>
      </c>
      <c r="M501" s="74">
        <f t="shared" si="63"/>
        <v>157</v>
      </c>
    </row>
    <row r="502" spans="1:13">
      <c r="A502" s="27">
        <v>46084</v>
      </c>
      <c r="B502" s="76" t="s">
        <v>33</v>
      </c>
      <c r="C502" s="76"/>
      <c r="D502" s="76"/>
      <c r="E502" s="77"/>
      <c r="F502" s="74">
        <v>0</v>
      </c>
      <c r="G502" s="74">
        <v>9</v>
      </c>
      <c r="H502" s="74">
        <v>9</v>
      </c>
      <c r="I502" s="4">
        <v>30041</v>
      </c>
      <c r="J502" s="74">
        <v>0</v>
      </c>
      <c r="K502" s="74">
        <v>0</v>
      </c>
      <c r="L502" s="74">
        <f t="shared" si="62"/>
        <v>135798</v>
      </c>
      <c r="M502" s="74">
        <f t="shared" si="63"/>
        <v>157</v>
      </c>
    </row>
    <row r="503" spans="1:13">
      <c r="A503" s="27">
        <v>46085</v>
      </c>
      <c r="B503" s="76" t="s">
        <v>33</v>
      </c>
      <c r="C503" s="76"/>
      <c r="D503" s="76"/>
      <c r="E503" s="77"/>
      <c r="F503" s="74">
        <v>0</v>
      </c>
      <c r="G503" s="74">
        <v>9</v>
      </c>
      <c r="H503" s="74">
        <v>9</v>
      </c>
      <c r="I503" s="4">
        <v>30050</v>
      </c>
      <c r="J503" s="74">
        <v>0</v>
      </c>
      <c r="K503" s="74">
        <v>0</v>
      </c>
      <c r="L503" s="74">
        <f t="shared" si="62"/>
        <v>135798</v>
      </c>
      <c r="M503" s="74">
        <f t="shared" si="63"/>
        <v>157</v>
      </c>
    </row>
    <row r="504" spans="1:13">
      <c r="A504" s="27">
        <v>46086</v>
      </c>
      <c r="B504" s="76" t="s">
        <v>33</v>
      </c>
      <c r="C504" s="76"/>
      <c r="D504" s="76"/>
      <c r="E504" s="77"/>
      <c r="F504" s="74">
        <v>0</v>
      </c>
      <c r="G504" s="74">
        <v>10</v>
      </c>
      <c r="H504" s="74">
        <v>10</v>
      </c>
      <c r="I504" s="4">
        <v>30060</v>
      </c>
      <c r="J504" s="74">
        <v>0</v>
      </c>
      <c r="K504" s="74">
        <v>0</v>
      </c>
      <c r="L504" s="74">
        <f t="shared" si="62"/>
        <v>135798</v>
      </c>
      <c r="M504" s="74">
        <f t="shared" si="63"/>
        <v>157</v>
      </c>
    </row>
    <row r="505" spans="1:13">
      <c r="A505" s="27">
        <v>46087</v>
      </c>
      <c r="B505" s="76" t="s">
        <v>33</v>
      </c>
      <c r="C505" s="76"/>
      <c r="D505" s="76"/>
      <c r="E505" s="77"/>
      <c r="F505" s="74">
        <v>0</v>
      </c>
      <c r="G505" s="74">
        <v>18</v>
      </c>
      <c r="H505" s="74">
        <v>18</v>
      </c>
      <c r="I505" s="4">
        <v>30081</v>
      </c>
      <c r="J505" s="74">
        <v>0</v>
      </c>
      <c r="K505" s="74">
        <v>0</v>
      </c>
      <c r="L505" s="74">
        <f t="shared" ref="L505:L506" si="64">J505+L504</f>
        <v>135798</v>
      </c>
      <c r="M505" s="74">
        <f t="shared" ref="M505:M506" si="65">K505+M504</f>
        <v>157</v>
      </c>
    </row>
    <row r="506" spans="1:13">
      <c r="A506" s="27">
        <v>46088</v>
      </c>
      <c r="B506" s="76" t="s">
        <v>49</v>
      </c>
      <c r="C506" s="76"/>
      <c r="D506" s="76"/>
      <c r="E506" s="77"/>
      <c r="F506" s="74">
        <v>0</v>
      </c>
      <c r="G506" s="74">
        <v>2</v>
      </c>
      <c r="H506" s="74">
        <v>2</v>
      </c>
      <c r="I506" s="4">
        <v>30083</v>
      </c>
      <c r="J506" s="74">
        <v>0</v>
      </c>
      <c r="K506" s="74">
        <v>0</v>
      </c>
      <c r="L506" s="74">
        <f t="shared" ref="L506:L523" si="66">J506+L505</f>
        <v>135798</v>
      </c>
      <c r="M506" s="74">
        <f t="shared" ref="M506:M523" si="67">K506+M505</f>
        <v>157</v>
      </c>
    </row>
    <row r="507" spans="1:13">
      <c r="A507" s="27">
        <v>46088</v>
      </c>
      <c r="B507" s="76" t="s">
        <v>33</v>
      </c>
      <c r="C507" s="76"/>
      <c r="D507" s="76"/>
      <c r="E507" s="77"/>
      <c r="F507" s="74">
        <v>0</v>
      </c>
      <c r="G507" s="74">
        <v>10</v>
      </c>
      <c r="H507" s="74">
        <v>10</v>
      </c>
      <c r="I507" s="4">
        <v>30093</v>
      </c>
      <c r="J507" s="74">
        <v>0</v>
      </c>
      <c r="K507" s="74">
        <v>0</v>
      </c>
      <c r="L507" s="74">
        <f t="shared" si="66"/>
        <v>135798</v>
      </c>
      <c r="M507" s="74">
        <f t="shared" si="67"/>
        <v>157</v>
      </c>
    </row>
    <row r="508" spans="1:13">
      <c r="A508" s="27">
        <v>46089</v>
      </c>
      <c r="B508" s="76" t="s">
        <v>33</v>
      </c>
      <c r="C508" s="76"/>
      <c r="D508" s="76"/>
      <c r="E508" s="77"/>
      <c r="F508" s="74">
        <v>0</v>
      </c>
      <c r="G508" s="74">
        <v>24</v>
      </c>
      <c r="H508" s="74">
        <v>24</v>
      </c>
      <c r="I508" s="4">
        <v>30117</v>
      </c>
      <c r="J508" s="74">
        <v>0</v>
      </c>
      <c r="K508" s="74">
        <v>0</v>
      </c>
      <c r="L508" s="74">
        <f t="shared" si="66"/>
        <v>135798</v>
      </c>
      <c r="M508" s="74">
        <f t="shared" si="67"/>
        <v>157</v>
      </c>
    </row>
    <row r="509" spans="1:13">
      <c r="A509" s="27">
        <v>46090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30127</v>
      </c>
      <c r="J509" s="74">
        <v>0</v>
      </c>
      <c r="K509" s="74">
        <v>0</v>
      </c>
      <c r="L509" s="74">
        <f t="shared" si="66"/>
        <v>135798</v>
      </c>
      <c r="M509" s="74">
        <f t="shared" si="67"/>
        <v>157</v>
      </c>
    </row>
    <row r="510" spans="1:13">
      <c r="A510" s="27">
        <v>46091</v>
      </c>
      <c r="B510" s="76" t="s">
        <v>65</v>
      </c>
      <c r="C510" s="76"/>
      <c r="D510" s="76"/>
      <c r="E510" s="77"/>
      <c r="F510" s="4">
        <v>4315</v>
      </c>
      <c r="G510" s="74">
        <v>0</v>
      </c>
      <c r="H510" s="4">
        <v>4315</v>
      </c>
      <c r="I510" s="4">
        <v>34442</v>
      </c>
      <c r="J510" s="74">
        <v>0</v>
      </c>
      <c r="K510" s="74">
        <v>0</v>
      </c>
      <c r="L510" s="74">
        <f t="shared" si="66"/>
        <v>135798</v>
      </c>
      <c r="M510" s="74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4">
        <v>20</v>
      </c>
      <c r="G511" s="28">
        <v>21</v>
      </c>
      <c r="H511" s="74">
        <v>41</v>
      </c>
      <c r="I511" s="4">
        <v>34483</v>
      </c>
      <c r="J511" s="74">
        <v>40</v>
      </c>
      <c r="K511" s="74">
        <v>1</v>
      </c>
      <c r="L511" s="74">
        <f t="shared" si="66"/>
        <v>135838</v>
      </c>
      <c r="M511" s="74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4">
        <v>20</v>
      </c>
      <c r="G512" s="28">
        <v>21</v>
      </c>
      <c r="H512" s="74">
        <v>41</v>
      </c>
      <c r="I512" s="4">
        <v>34524</v>
      </c>
      <c r="J512" s="74">
        <v>40</v>
      </c>
      <c r="K512" s="74">
        <v>1</v>
      </c>
      <c r="L512" s="74">
        <f t="shared" si="66"/>
        <v>135878</v>
      </c>
      <c r="M512" s="74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4">
        <v>36</v>
      </c>
      <c r="G513" s="28">
        <v>38</v>
      </c>
      <c r="H513" s="74">
        <v>74</v>
      </c>
      <c r="I513" s="4">
        <v>34598</v>
      </c>
      <c r="J513" s="74">
        <v>72</v>
      </c>
      <c r="K513" s="74">
        <v>1</v>
      </c>
      <c r="L513" s="74">
        <f t="shared" si="66"/>
        <v>135950</v>
      </c>
      <c r="M513" s="74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4">
        <v>54</v>
      </c>
      <c r="G514" s="28">
        <v>107</v>
      </c>
      <c r="H514" s="74">
        <v>161</v>
      </c>
      <c r="I514" s="4">
        <v>34759</v>
      </c>
      <c r="J514" s="74">
        <v>308</v>
      </c>
      <c r="K514" s="74">
        <v>1</v>
      </c>
      <c r="L514" s="74">
        <f t="shared" si="66"/>
        <v>136258</v>
      </c>
      <c r="M514" s="74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4">
        <v>40</v>
      </c>
      <c r="G515" s="28">
        <v>42</v>
      </c>
      <c r="H515" s="74">
        <v>82</v>
      </c>
      <c r="I515" s="4">
        <v>34841</v>
      </c>
      <c r="J515" s="74">
        <v>80</v>
      </c>
      <c r="K515" s="74">
        <v>1</v>
      </c>
      <c r="L515" s="74">
        <f t="shared" si="66"/>
        <v>136338</v>
      </c>
      <c r="M515" s="74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4">
        <v>40</v>
      </c>
      <c r="G516" s="28">
        <v>42</v>
      </c>
      <c r="H516" s="74">
        <v>82</v>
      </c>
      <c r="I516" s="4">
        <v>34923</v>
      </c>
      <c r="J516" s="74">
        <v>80</v>
      </c>
      <c r="K516" s="74">
        <v>1</v>
      </c>
      <c r="L516" s="74">
        <f t="shared" si="66"/>
        <v>136418</v>
      </c>
      <c r="M516" s="74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4">
        <v>124</v>
      </c>
      <c r="G517" s="28">
        <v>130</v>
      </c>
      <c r="H517" s="74">
        <v>254</v>
      </c>
      <c r="I517" s="4">
        <v>35177</v>
      </c>
      <c r="J517" s="74">
        <v>248</v>
      </c>
      <c r="K517" s="74">
        <v>1</v>
      </c>
      <c r="L517" s="74">
        <f t="shared" si="66"/>
        <v>136666</v>
      </c>
      <c r="M517" s="74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4">
        <v>124</v>
      </c>
      <c r="G518" s="28">
        <v>130</v>
      </c>
      <c r="H518" s="74">
        <v>254</v>
      </c>
      <c r="I518" s="4">
        <v>35431</v>
      </c>
      <c r="J518" s="74">
        <v>248</v>
      </c>
      <c r="K518" s="74">
        <v>1</v>
      </c>
      <c r="L518" s="74">
        <f t="shared" si="66"/>
        <v>136914</v>
      </c>
      <c r="M518" s="74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4">
        <v>492</v>
      </c>
      <c r="G519" s="28">
        <v>517</v>
      </c>
      <c r="H519" s="4">
        <v>1009</v>
      </c>
      <c r="I519" s="4">
        <v>36440</v>
      </c>
      <c r="J519" s="74">
        <v>984</v>
      </c>
      <c r="K519" s="74">
        <v>1</v>
      </c>
      <c r="L519" s="74">
        <f t="shared" si="66"/>
        <v>137898</v>
      </c>
      <c r="M519" s="74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4">
        <v>492</v>
      </c>
      <c r="G520" s="28">
        <v>517</v>
      </c>
      <c r="H520" s="4">
        <v>1009</v>
      </c>
      <c r="I520" s="4">
        <v>37449</v>
      </c>
      <c r="J520" s="74">
        <v>984</v>
      </c>
      <c r="K520" s="74">
        <v>1</v>
      </c>
      <c r="L520" s="74">
        <f t="shared" si="66"/>
        <v>138882</v>
      </c>
      <c r="M520" s="74">
        <f t="shared" si="67"/>
        <v>167</v>
      </c>
    </row>
    <row r="521" spans="1:13">
      <c r="A521" s="27">
        <v>46091</v>
      </c>
      <c r="B521" s="76" t="s">
        <v>33</v>
      </c>
      <c r="C521" s="76"/>
      <c r="D521" s="76"/>
      <c r="E521" s="77"/>
      <c r="F521" s="74">
        <v>0</v>
      </c>
      <c r="G521" s="74">
        <v>6</v>
      </c>
      <c r="H521" s="74">
        <v>6</v>
      </c>
      <c r="I521" s="4">
        <v>37455</v>
      </c>
      <c r="J521" s="74">
        <v>0</v>
      </c>
      <c r="K521" s="74">
        <v>0</v>
      </c>
      <c r="L521" s="74">
        <f t="shared" si="66"/>
        <v>138882</v>
      </c>
      <c r="M521" s="74">
        <f t="shared" si="67"/>
        <v>167</v>
      </c>
    </row>
    <row r="522" spans="1:13">
      <c r="A522" s="27">
        <v>46092</v>
      </c>
      <c r="B522" s="76" t="s">
        <v>33</v>
      </c>
      <c r="C522" s="76"/>
      <c r="D522" s="76"/>
      <c r="E522" s="77"/>
      <c r="F522" s="74">
        <v>0</v>
      </c>
      <c r="G522" s="74">
        <v>58</v>
      </c>
      <c r="H522" s="74">
        <v>58</v>
      </c>
      <c r="I522" s="4">
        <v>37513</v>
      </c>
      <c r="J522" s="74">
        <v>0</v>
      </c>
      <c r="K522" s="74">
        <v>0</v>
      </c>
      <c r="L522" s="74">
        <f t="shared" si="66"/>
        <v>138882</v>
      </c>
      <c r="M522" s="74">
        <f t="shared" si="67"/>
        <v>167</v>
      </c>
    </row>
    <row r="523" spans="1:13">
      <c r="A523" s="27">
        <v>46093</v>
      </c>
      <c r="B523" s="76" t="s">
        <v>33</v>
      </c>
      <c r="C523" s="76"/>
      <c r="D523" s="76"/>
      <c r="E523" s="77"/>
      <c r="F523" s="74">
        <v>0</v>
      </c>
      <c r="G523" s="74">
        <v>13</v>
      </c>
      <c r="H523" s="74">
        <v>13</v>
      </c>
      <c r="I523" s="4">
        <v>37547</v>
      </c>
      <c r="J523" s="74">
        <v>0</v>
      </c>
      <c r="K523" s="74">
        <v>0</v>
      </c>
      <c r="L523" s="74">
        <f t="shared" si="66"/>
        <v>138882</v>
      </c>
      <c r="M523" s="74">
        <f t="shared" si="67"/>
        <v>167</v>
      </c>
    </row>
    <row r="524" spans="1:13">
      <c r="A524" s="27">
        <v>46094</v>
      </c>
      <c r="B524" s="76" t="s">
        <v>33</v>
      </c>
      <c r="C524" s="76"/>
      <c r="D524" s="76"/>
      <c r="E524" s="77"/>
      <c r="F524" s="74">
        <v>0</v>
      </c>
      <c r="G524" s="74">
        <v>10</v>
      </c>
      <c r="H524" s="74">
        <v>10</v>
      </c>
      <c r="I524" s="4">
        <v>37557</v>
      </c>
      <c r="J524" s="74">
        <v>0</v>
      </c>
      <c r="K524" s="74">
        <v>0</v>
      </c>
      <c r="L524" s="74">
        <f t="shared" ref="L524:L525" si="68">J524+L523</f>
        <v>138882</v>
      </c>
      <c r="M524" s="74">
        <f t="shared" ref="M524:M525" si="69">K524+M523</f>
        <v>167</v>
      </c>
    </row>
    <row r="525" spans="1:13">
      <c r="A525" s="27">
        <v>46095</v>
      </c>
      <c r="B525" s="76" t="s">
        <v>33</v>
      </c>
      <c r="C525" s="76"/>
      <c r="D525" s="76"/>
      <c r="E525" s="77"/>
      <c r="F525" s="74">
        <v>0</v>
      </c>
      <c r="G525" s="74">
        <v>9</v>
      </c>
      <c r="H525" s="74">
        <v>9</v>
      </c>
      <c r="I525" s="4">
        <v>37572</v>
      </c>
      <c r="J525" s="74">
        <v>0</v>
      </c>
      <c r="K525" s="74">
        <v>0</v>
      </c>
      <c r="L525" s="74">
        <f t="shared" si="68"/>
        <v>138882</v>
      </c>
      <c r="M525" s="74">
        <f t="shared" si="69"/>
        <v>167</v>
      </c>
    </row>
    <row r="526" spans="1:13">
      <c r="A526" s="27">
        <v>46096</v>
      </c>
      <c r="B526" s="76" t="s">
        <v>49</v>
      </c>
      <c r="C526" s="76"/>
      <c r="D526" s="76"/>
      <c r="E526" s="77"/>
      <c r="F526" s="74">
        <v>0</v>
      </c>
      <c r="G526" s="74">
        <v>2</v>
      </c>
      <c r="H526" s="74">
        <v>2</v>
      </c>
      <c r="I526" s="4">
        <v>37574</v>
      </c>
      <c r="J526" s="74">
        <v>0</v>
      </c>
      <c r="K526" s="74">
        <v>0</v>
      </c>
      <c r="L526" s="74">
        <f t="shared" ref="L526:L532" si="70">J526+L525</f>
        <v>138882</v>
      </c>
      <c r="M526" s="74">
        <f t="shared" ref="M526:M532" si="71">K526+M525</f>
        <v>167</v>
      </c>
    </row>
    <row r="527" spans="1:13">
      <c r="A527" s="27">
        <v>46096</v>
      </c>
      <c r="B527" s="76" t="s">
        <v>33</v>
      </c>
      <c r="C527" s="76"/>
      <c r="D527" s="76"/>
      <c r="E527" s="77"/>
      <c r="F527" s="74">
        <v>0</v>
      </c>
      <c r="G527" s="74">
        <v>20</v>
      </c>
      <c r="H527" s="74">
        <v>20</v>
      </c>
      <c r="I527" s="4">
        <v>37594</v>
      </c>
      <c r="J527" s="74">
        <v>0</v>
      </c>
      <c r="K527" s="74">
        <v>0</v>
      </c>
      <c r="L527" s="74">
        <f t="shared" si="70"/>
        <v>138882</v>
      </c>
      <c r="M527" s="74">
        <f t="shared" si="71"/>
        <v>167</v>
      </c>
    </row>
    <row r="528" spans="1:13">
      <c r="A528" s="27">
        <v>46097</v>
      </c>
      <c r="B528" s="76" t="s">
        <v>33</v>
      </c>
      <c r="C528" s="76"/>
      <c r="D528" s="76"/>
      <c r="E528" s="77"/>
      <c r="F528" s="74">
        <v>0</v>
      </c>
      <c r="G528" s="74">
        <v>11</v>
      </c>
      <c r="H528" s="74">
        <v>11</v>
      </c>
      <c r="I528" s="4">
        <v>37605</v>
      </c>
      <c r="J528" s="74">
        <v>0</v>
      </c>
      <c r="K528" s="74">
        <v>0</v>
      </c>
      <c r="L528" s="74">
        <f t="shared" si="70"/>
        <v>138882</v>
      </c>
      <c r="M528" s="74">
        <f t="shared" si="71"/>
        <v>167</v>
      </c>
    </row>
    <row r="529" spans="1:13">
      <c r="A529" s="27">
        <v>46098</v>
      </c>
      <c r="B529" s="76" t="s">
        <v>33</v>
      </c>
      <c r="C529" s="76"/>
      <c r="D529" s="76"/>
      <c r="E529" s="77"/>
      <c r="F529" s="74">
        <v>0</v>
      </c>
      <c r="G529" s="74">
        <v>5</v>
      </c>
      <c r="H529" s="74">
        <v>5</v>
      </c>
      <c r="I529" s="4">
        <v>37610</v>
      </c>
      <c r="J529" s="74">
        <v>0</v>
      </c>
      <c r="K529" s="74">
        <v>0</v>
      </c>
      <c r="L529" s="74">
        <f t="shared" si="70"/>
        <v>138882</v>
      </c>
      <c r="M529" s="74">
        <f t="shared" si="71"/>
        <v>167</v>
      </c>
    </row>
    <row r="530" spans="1:13">
      <c r="A530" s="27">
        <v>46099</v>
      </c>
      <c r="B530" s="76" t="s">
        <v>33</v>
      </c>
      <c r="C530" s="76"/>
      <c r="D530" s="76"/>
      <c r="E530" s="77"/>
      <c r="F530" s="74">
        <v>0</v>
      </c>
      <c r="G530" s="74">
        <v>8</v>
      </c>
      <c r="H530" s="74">
        <v>8</v>
      </c>
      <c r="I530" s="4">
        <v>37618</v>
      </c>
      <c r="J530" s="74">
        <v>0</v>
      </c>
      <c r="K530" s="74">
        <v>0</v>
      </c>
      <c r="L530" s="74">
        <f t="shared" si="70"/>
        <v>138882</v>
      </c>
      <c r="M530" s="74">
        <f t="shared" si="71"/>
        <v>167</v>
      </c>
    </row>
    <row r="531" spans="1:13">
      <c r="A531" s="27">
        <v>46100</v>
      </c>
      <c r="B531" s="76" t="s">
        <v>33</v>
      </c>
      <c r="C531" s="76"/>
      <c r="D531" s="76"/>
      <c r="E531" s="77"/>
      <c r="F531" s="74">
        <v>0</v>
      </c>
      <c r="G531" s="74">
        <v>11</v>
      </c>
      <c r="H531" s="74">
        <v>11</v>
      </c>
      <c r="I531" s="4">
        <v>37629</v>
      </c>
      <c r="J531" s="74">
        <v>0</v>
      </c>
      <c r="K531" s="74">
        <v>0</v>
      </c>
      <c r="L531" s="74">
        <f t="shared" si="70"/>
        <v>138882</v>
      </c>
      <c r="M531" s="74">
        <f t="shared" si="71"/>
        <v>167</v>
      </c>
    </row>
    <row r="532" spans="1:13">
      <c r="A532" s="27">
        <v>46101</v>
      </c>
      <c r="B532" s="76" t="s">
        <v>33</v>
      </c>
      <c r="C532" s="76"/>
      <c r="D532" s="76"/>
      <c r="E532" s="77"/>
      <c r="F532" s="74">
        <v>0</v>
      </c>
      <c r="G532" s="74">
        <v>9</v>
      </c>
      <c r="H532" s="74">
        <v>9</v>
      </c>
      <c r="I532" s="4">
        <v>37708</v>
      </c>
      <c r="J532" s="74">
        <v>0</v>
      </c>
      <c r="K532" s="74">
        <v>0</v>
      </c>
      <c r="L532" s="74">
        <f t="shared" si="70"/>
        <v>138882</v>
      </c>
      <c r="M532" s="74">
        <f t="shared" si="71"/>
        <v>167</v>
      </c>
    </row>
    <row r="533" spans="1:13">
      <c r="A533" s="27">
        <v>46102</v>
      </c>
      <c r="B533" s="76" t="s">
        <v>33</v>
      </c>
      <c r="C533" s="76"/>
      <c r="D533" s="76"/>
      <c r="E533" s="77"/>
      <c r="F533" s="74">
        <v>0</v>
      </c>
      <c r="G533" s="74">
        <v>9</v>
      </c>
      <c r="H533" s="74">
        <v>9</v>
      </c>
      <c r="I533" s="4">
        <v>37717</v>
      </c>
      <c r="J533" s="74">
        <v>0</v>
      </c>
      <c r="K533" s="74">
        <v>0</v>
      </c>
      <c r="L533" s="74">
        <f t="shared" ref="L533:L547" si="72">J533+L532</f>
        <v>138882</v>
      </c>
      <c r="M533" s="74">
        <f t="shared" ref="M533:M547" si="73">K533+M532</f>
        <v>167</v>
      </c>
    </row>
    <row r="534" spans="1:13">
      <c r="A534" s="27">
        <v>46103</v>
      </c>
      <c r="B534" s="76" t="s">
        <v>33</v>
      </c>
      <c r="C534" s="76"/>
      <c r="D534" s="76"/>
      <c r="E534" s="77"/>
      <c r="F534" s="74">
        <v>0</v>
      </c>
      <c r="G534" s="74">
        <v>21</v>
      </c>
      <c r="H534" s="74">
        <v>21</v>
      </c>
      <c r="I534" s="4">
        <v>37738</v>
      </c>
      <c r="J534" s="74">
        <v>0</v>
      </c>
      <c r="K534" s="74">
        <v>0</v>
      </c>
      <c r="L534" s="74">
        <f t="shared" si="72"/>
        <v>138882</v>
      </c>
      <c r="M534" s="74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4">
        <v>308</v>
      </c>
      <c r="G535" s="28">
        <v>373</v>
      </c>
      <c r="H535" s="74">
        <v>681</v>
      </c>
      <c r="I535" s="4">
        <v>38419</v>
      </c>
      <c r="J535" s="4">
        <v>1016</v>
      </c>
      <c r="K535" s="74">
        <v>1</v>
      </c>
      <c r="L535" s="74">
        <f t="shared" si="72"/>
        <v>139898</v>
      </c>
      <c r="M535" s="74">
        <f t="shared" si="73"/>
        <v>168</v>
      </c>
    </row>
    <row r="536" spans="1:13">
      <c r="A536" s="27">
        <v>46104</v>
      </c>
      <c r="B536" s="76" t="s">
        <v>33</v>
      </c>
      <c r="C536" s="76"/>
      <c r="D536" s="76"/>
      <c r="E536" s="77"/>
      <c r="F536" s="74">
        <v>0</v>
      </c>
      <c r="G536" s="74">
        <v>17</v>
      </c>
      <c r="H536" s="74">
        <v>17</v>
      </c>
      <c r="I536" s="4">
        <v>38436</v>
      </c>
      <c r="J536" s="74">
        <v>0</v>
      </c>
      <c r="K536" s="74">
        <v>0</v>
      </c>
      <c r="L536" s="74">
        <f t="shared" si="72"/>
        <v>139898</v>
      </c>
      <c r="M536" s="74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4">
        <v>308</v>
      </c>
      <c r="G537" s="28">
        <v>373</v>
      </c>
      <c r="H537" s="74">
        <v>681</v>
      </c>
      <c r="I537" s="4">
        <v>39117</v>
      </c>
      <c r="J537" s="4">
        <v>1016</v>
      </c>
      <c r="K537" s="74">
        <v>1</v>
      </c>
      <c r="L537" s="74">
        <f t="shared" si="72"/>
        <v>140914</v>
      </c>
      <c r="M537" s="74">
        <f t="shared" si="73"/>
        <v>169</v>
      </c>
    </row>
    <row r="538" spans="1:13">
      <c r="A538" s="27">
        <v>46105</v>
      </c>
      <c r="B538" s="76" t="s">
        <v>33</v>
      </c>
      <c r="C538" s="76"/>
      <c r="D538" s="76"/>
      <c r="E538" s="77"/>
      <c r="F538" s="74">
        <v>0</v>
      </c>
      <c r="G538" s="74">
        <v>10</v>
      </c>
      <c r="H538" s="74">
        <v>10</v>
      </c>
      <c r="I538" s="4">
        <v>39127</v>
      </c>
      <c r="J538" s="74">
        <v>0</v>
      </c>
      <c r="K538" s="74">
        <v>0</v>
      </c>
      <c r="L538" s="74">
        <f t="shared" si="72"/>
        <v>140914</v>
      </c>
      <c r="M538" s="74">
        <f t="shared" si="73"/>
        <v>169</v>
      </c>
    </row>
    <row r="539" spans="1:13">
      <c r="A539" s="27">
        <v>46106</v>
      </c>
      <c r="B539" s="76" t="s">
        <v>33</v>
      </c>
      <c r="C539" s="76"/>
      <c r="D539" s="76"/>
      <c r="E539" s="77"/>
      <c r="F539" s="74">
        <v>0</v>
      </c>
      <c r="G539" s="74">
        <v>12</v>
      </c>
      <c r="H539" s="74">
        <v>12</v>
      </c>
      <c r="I539" s="4">
        <v>39139</v>
      </c>
      <c r="J539" s="74">
        <v>0</v>
      </c>
      <c r="K539" s="74">
        <v>0</v>
      </c>
      <c r="L539" s="74">
        <f t="shared" si="72"/>
        <v>140914</v>
      </c>
      <c r="M539" s="74">
        <f t="shared" si="73"/>
        <v>169</v>
      </c>
    </row>
    <row r="540" spans="1:13">
      <c r="A540" s="27">
        <v>46107</v>
      </c>
      <c r="B540" s="76" t="s">
        <v>33</v>
      </c>
      <c r="C540" s="76"/>
      <c r="D540" s="76"/>
      <c r="E540" s="77"/>
      <c r="F540" s="74">
        <v>0</v>
      </c>
      <c r="G540" s="74">
        <v>18</v>
      </c>
      <c r="H540" s="74">
        <v>18</v>
      </c>
      <c r="I540" s="4">
        <v>39157</v>
      </c>
      <c r="J540" s="74">
        <v>0</v>
      </c>
      <c r="K540" s="74">
        <v>0</v>
      </c>
      <c r="L540" s="74">
        <f t="shared" si="72"/>
        <v>140914</v>
      </c>
      <c r="M540" s="74">
        <f t="shared" si="73"/>
        <v>169</v>
      </c>
    </row>
    <row r="541" spans="1:13">
      <c r="A541" s="27">
        <v>46108</v>
      </c>
      <c r="B541" s="76" t="s">
        <v>33</v>
      </c>
      <c r="C541" s="76"/>
      <c r="D541" s="76"/>
      <c r="E541" s="77"/>
      <c r="F541" s="74">
        <v>0</v>
      </c>
      <c r="G541" s="74">
        <v>9</v>
      </c>
      <c r="H541" s="74">
        <v>9</v>
      </c>
      <c r="I541" s="4">
        <v>39166</v>
      </c>
      <c r="J541" s="74">
        <v>0</v>
      </c>
      <c r="K541" s="74">
        <v>0</v>
      </c>
      <c r="L541" s="74">
        <f t="shared" si="72"/>
        <v>140914</v>
      </c>
      <c r="M541" s="74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4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4">
        <v>1</v>
      </c>
      <c r="L542" s="74">
        <f t="shared" si="72"/>
        <v>142562</v>
      </c>
      <c r="M542" s="74">
        <f t="shared" si="73"/>
        <v>170</v>
      </c>
    </row>
    <row r="543" spans="1:13">
      <c r="A543" s="27">
        <v>46109</v>
      </c>
      <c r="B543" s="76" t="s">
        <v>33</v>
      </c>
      <c r="C543" s="76"/>
      <c r="D543" s="76"/>
      <c r="E543" s="77"/>
      <c r="F543" s="74">
        <v>0</v>
      </c>
      <c r="G543" s="74">
        <v>10</v>
      </c>
      <c r="H543" s="74">
        <v>10</v>
      </c>
      <c r="I543" s="4">
        <v>40505</v>
      </c>
      <c r="J543" s="74">
        <v>0</v>
      </c>
      <c r="K543" s="74">
        <v>0</v>
      </c>
      <c r="L543" s="74">
        <f t="shared" si="72"/>
        <v>142562</v>
      </c>
      <c r="M543" s="74">
        <f t="shared" si="73"/>
        <v>170</v>
      </c>
    </row>
    <row r="544" spans="1:13">
      <c r="A544" s="27">
        <v>46110</v>
      </c>
      <c r="B544" s="76" t="s">
        <v>129</v>
      </c>
      <c r="C544" s="76"/>
      <c r="D544" s="76"/>
      <c r="E544" s="77"/>
      <c r="F544" s="74">
        <v>0</v>
      </c>
      <c r="G544" s="74">
        <v>135</v>
      </c>
      <c r="H544" s="74">
        <v>135</v>
      </c>
      <c r="I544" s="4">
        <v>40640</v>
      </c>
      <c r="J544" s="74">
        <v>0</v>
      </c>
      <c r="K544" s="74">
        <v>0</v>
      </c>
      <c r="L544" s="74">
        <f t="shared" si="72"/>
        <v>142562</v>
      </c>
      <c r="M544" s="74">
        <f t="shared" si="73"/>
        <v>170</v>
      </c>
    </row>
    <row r="545" spans="1:13">
      <c r="A545" s="27">
        <v>46110</v>
      </c>
      <c r="B545" s="76" t="s">
        <v>33</v>
      </c>
      <c r="C545" s="76"/>
      <c r="D545" s="76"/>
      <c r="E545" s="77"/>
      <c r="F545" s="74">
        <v>0</v>
      </c>
      <c r="G545" s="74">
        <v>23</v>
      </c>
      <c r="H545" s="74">
        <v>23</v>
      </c>
      <c r="I545" s="4">
        <v>40663</v>
      </c>
      <c r="J545" s="74">
        <v>0</v>
      </c>
      <c r="K545" s="74">
        <v>0</v>
      </c>
      <c r="L545" s="74">
        <f t="shared" si="72"/>
        <v>142562</v>
      </c>
      <c r="M545" s="74">
        <f t="shared" si="73"/>
        <v>170</v>
      </c>
    </row>
    <row r="546" spans="1:13">
      <c r="A546" s="27">
        <v>46111</v>
      </c>
      <c r="B546" s="76" t="s">
        <v>33</v>
      </c>
      <c r="C546" s="76"/>
      <c r="D546" s="76"/>
      <c r="E546" s="77"/>
      <c r="F546" s="74">
        <v>0</v>
      </c>
      <c r="G546" s="74">
        <v>109</v>
      </c>
      <c r="H546" s="74">
        <v>109</v>
      </c>
      <c r="I546" s="4">
        <v>40772</v>
      </c>
      <c r="J546" s="74">
        <v>0</v>
      </c>
      <c r="K546" s="74">
        <v>0</v>
      </c>
      <c r="L546" s="74">
        <f t="shared" si="72"/>
        <v>142562</v>
      </c>
      <c r="M546" s="74">
        <f t="shared" si="73"/>
        <v>170</v>
      </c>
    </row>
    <row r="547" spans="1:13">
      <c r="A547" s="27">
        <v>46112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42115</v>
      </c>
      <c r="J547" s="74">
        <v>0</v>
      </c>
      <c r="K547" s="74">
        <v>0</v>
      </c>
      <c r="L547" s="74">
        <f t="shared" si="72"/>
        <v>142562</v>
      </c>
      <c r="M547" s="74">
        <f t="shared" si="73"/>
        <v>170</v>
      </c>
    </row>
    <row r="548" spans="1:13">
      <c r="A548" s="27">
        <v>46113</v>
      </c>
      <c r="B548" s="76" t="s">
        <v>49</v>
      </c>
      <c r="C548" s="76"/>
      <c r="D548" s="76"/>
      <c r="E548" s="77"/>
      <c r="F548" s="74">
        <v>0</v>
      </c>
      <c r="G548" s="74">
        <v>3</v>
      </c>
      <c r="H548" s="74">
        <v>3</v>
      </c>
      <c r="I548" s="4">
        <v>42118</v>
      </c>
      <c r="J548" s="74">
        <v>0</v>
      </c>
      <c r="K548" s="74">
        <v>0</v>
      </c>
      <c r="L548" s="74">
        <f t="shared" ref="L548:L559" si="74">J548+L547</f>
        <v>142562</v>
      </c>
      <c r="M548" s="74">
        <f t="shared" ref="M548:M559" si="75">K548+M547</f>
        <v>170</v>
      </c>
    </row>
    <row r="549" spans="1:13">
      <c r="A549" s="27">
        <v>46113</v>
      </c>
      <c r="B549" s="76" t="s">
        <v>33</v>
      </c>
      <c r="C549" s="76"/>
      <c r="D549" s="76"/>
      <c r="E549" s="77"/>
      <c r="F549" s="74">
        <v>0</v>
      </c>
      <c r="G549" s="74">
        <v>43</v>
      </c>
      <c r="H549" s="74">
        <v>43</v>
      </c>
      <c r="I549" s="4">
        <v>42161</v>
      </c>
      <c r="J549" s="74">
        <v>0</v>
      </c>
      <c r="K549" s="74">
        <v>0</v>
      </c>
      <c r="L549" s="74">
        <f t="shared" si="74"/>
        <v>142562</v>
      </c>
      <c r="M549" s="74">
        <f t="shared" si="75"/>
        <v>170</v>
      </c>
    </row>
    <row r="550" spans="1:13">
      <c r="A550" s="27">
        <v>46114</v>
      </c>
      <c r="B550" s="76" t="s">
        <v>33</v>
      </c>
      <c r="C550" s="76"/>
      <c r="D550" s="76"/>
      <c r="E550" s="77"/>
      <c r="F550" s="74">
        <v>0</v>
      </c>
      <c r="G550" s="74">
        <v>9</v>
      </c>
      <c r="H550" s="74">
        <v>9</v>
      </c>
      <c r="I550" s="4">
        <v>42170</v>
      </c>
      <c r="J550" s="74">
        <v>0</v>
      </c>
      <c r="K550" s="74">
        <v>0</v>
      </c>
      <c r="L550" s="74">
        <f t="shared" si="74"/>
        <v>142562</v>
      </c>
      <c r="M550" s="74">
        <f t="shared" si="75"/>
        <v>170</v>
      </c>
    </row>
    <row r="551" spans="1:13">
      <c r="A551" s="27">
        <v>46115</v>
      </c>
      <c r="B551" s="76" t="s">
        <v>33</v>
      </c>
      <c r="C551" s="76"/>
      <c r="D551" s="76"/>
      <c r="E551" s="77"/>
      <c r="F551" s="74">
        <v>0</v>
      </c>
      <c r="G551" s="74">
        <v>8</v>
      </c>
      <c r="H551" s="74">
        <v>8</v>
      </c>
      <c r="I551" s="4">
        <v>42178</v>
      </c>
      <c r="J551" s="74">
        <v>0</v>
      </c>
      <c r="K551" s="74">
        <v>0</v>
      </c>
      <c r="L551" s="74">
        <f t="shared" si="74"/>
        <v>142562</v>
      </c>
      <c r="M551" s="74">
        <f t="shared" si="75"/>
        <v>170</v>
      </c>
    </row>
    <row r="552" spans="1:13">
      <c r="A552" s="27">
        <v>46116</v>
      </c>
      <c r="B552" s="76" t="s">
        <v>33</v>
      </c>
      <c r="C552" s="76"/>
      <c r="D552" s="76"/>
      <c r="E552" s="77"/>
      <c r="F552" s="74">
        <v>0</v>
      </c>
      <c r="G552" s="74">
        <v>9</v>
      </c>
      <c r="H552" s="74">
        <v>9</v>
      </c>
      <c r="I552" s="4">
        <v>42187</v>
      </c>
      <c r="J552" s="74">
        <v>0</v>
      </c>
      <c r="K552" s="74">
        <v>0</v>
      </c>
      <c r="L552" s="74">
        <f t="shared" si="74"/>
        <v>142562</v>
      </c>
      <c r="M552" s="74">
        <f t="shared" si="75"/>
        <v>170</v>
      </c>
    </row>
    <row r="553" spans="1:13">
      <c r="A553" s="27">
        <v>46117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42210</v>
      </c>
      <c r="J553" s="74">
        <v>0</v>
      </c>
      <c r="K553" s="74">
        <v>0</v>
      </c>
      <c r="L553" s="74">
        <f t="shared" si="74"/>
        <v>142562</v>
      </c>
      <c r="M553" s="74">
        <f t="shared" si="75"/>
        <v>170</v>
      </c>
    </row>
    <row r="554" spans="1:13">
      <c r="A554" s="27">
        <v>46118</v>
      </c>
      <c r="B554" s="76" t="s">
        <v>33</v>
      </c>
      <c r="C554" s="76"/>
      <c r="D554" s="76"/>
      <c r="E554" s="77"/>
      <c r="F554" s="74">
        <v>0</v>
      </c>
      <c r="G554" s="74">
        <v>15</v>
      </c>
      <c r="H554" s="74">
        <v>15</v>
      </c>
      <c r="I554" s="4">
        <v>42225</v>
      </c>
      <c r="J554" s="74">
        <v>0</v>
      </c>
      <c r="K554" s="74">
        <v>0</v>
      </c>
      <c r="L554" s="74">
        <f t="shared" si="74"/>
        <v>142562</v>
      </c>
      <c r="M554" s="74">
        <f t="shared" si="75"/>
        <v>170</v>
      </c>
    </row>
    <row r="555" spans="1:13">
      <c r="A555" s="27">
        <v>46119</v>
      </c>
      <c r="B555" s="1" t="s">
        <v>213</v>
      </c>
      <c r="C555" s="1" t="s">
        <v>107</v>
      </c>
      <c r="D555" s="1" t="s">
        <v>42</v>
      </c>
      <c r="E555" s="1" t="s">
        <v>43</v>
      </c>
      <c r="F555" s="74">
        <v>308</v>
      </c>
      <c r="G555" s="28">
        <v>373</v>
      </c>
      <c r="H555" s="74">
        <v>681</v>
      </c>
      <c r="I555" s="4">
        <v>42906</v>
      </c>
      <c r="J555" s="4">
        <v>1016</v>
      </c>
      <c r="K555" s="74">
        <v>1</v>
      </c>
      <c r="L555" s="74">
        <f t="shared" si="74"/>
        <v>143578</v>
      </c>
      <c r="M555" s="74">
        <f t="shared" si="75"/>
        <v>171</v>
      </c>
    </row>
    <row r="556" spans="1:13">
      <c r="A556" s="27">
        <v>46119</v>
      </c>
      <c r="B556" s="76" t="s">
        <v>33</v>
      </c>
      <c r="C556" s="76"/>
      <c r="D556" s="76"/>
      <c r="E556" s="77"/>
      <c r="F556" s="74">
        <v>0</v>
      </c>
      <c r="G556" s="74">
        <v>11</v>
      </c>
      <c r="H556" s="74">
        <v>11</v>
      </c>
      <c r="I556" s="4">
        <v>42962</v>
      </c>
      <c r="J556" s="74">
        <v>0</v>
      </c>
      <c r="K556" s="74">
        <v>0</v>
      </c>
      <c r="L556" s="74">
        <f t="shared" si="74"/>
        <v>143578</v>
      </c>
      <c r="M556" s="74">
        <f t="shared" si="75"/>
        <v>171</v>
      </c>
    </row>
    <row r="557" spans="1:13">
      <c r="A557" s="27">
        <v>46120</v>
      </c>
      <c r="B557" s="76" t="s">
        <v>33</v>
      </c>
      <c r="C557" s="76"/>
      <c r="D557" s="76"/>
      <c r="E557" s="77"/>
      <c r="F557" s="74">
        <v>0</v>
      </c>
      <c r="G557" s="74">
        <v>11</v>
      </c>
      <c r="H557" s="74">
        <v>11</v>
      </c>
      <c r="I557" s="4">
        <v>42973</v>
      </c>
      <c r="J557" s="74">
        <v>0</v>
      </c>
      <c r="K557" s="74">
        <v>0</v>
      </c>
      <c r="L557" s="74">
        <f t="shared" si="74"/>
        <v>143578</v>
      </c>
      <c r="M557" s="74">
        <f t="shared" si="75"/>
        <v>171</v>
      </c>
    </row>
    <row r="558" spans="1:13">
      <c r="A558" s="27">
        <v>46121</v>
      </c>
      <c r="B558" s="76" t="s">
        <v>33</v>
      </c>
      <c r="C558" s="76"/>
      <c r="D558" s="76"/>
      <c r="E558" s="77"/>
      <c r="F558" s="74">
        <v>0</v>
      </c>
      <c r="G558" s="74">
        <v>11</v>
      </c>
      <c r="H558" s="74">
        <v>11</v>
      </c>
      <c r="I558" s="4">
        <v>42984</v>
      </c>
      <c r="J558" s="74">
        <v>0</v>
      </c>
      <c r="K558" s="74">
        <v>0</v>
      </c>
      <c r="L558" s="74">
        <f t="shared" si="74"/>
        <v>143578</v>
      </c>
      <c r="M558" s="74">
        <f t="shared" si="75"/>
        <v>171</v>
      </c>
    </row>
    <row r="559" spans="1:13">
      <c r="A559" s="27">
        <v>46122</v>
      </c>
      <c r="B559" s="76" t="s">
        <v>65</v>
      </c>
      <c r="C559" s="76"/>
      <c r="D559" s="76"/>
      <c r="E559" s="77"/>
      <c r="F559" s="4">
        <v>11358</v>
      </c>
      <c r="G559" s="74">
        <v>0</v>
      </c>
      <c r="H559" s="4">
        <v>11358</v>
      </c>
      <c r="I559" s="4">
        <v>54342</v>
      </c>
      <c r="J559" s="74">
        <v>0</v>
      </c>
      <c r="K559" s="74">
        <v>0</v>
      </c>
      <c r="L559" s="74">
        <f t="shared" si="74"/>
        <v>143578</v>
      </c>
      <c r="M559" s="74">
        <f t="shared" si="75"/>
        <v>171</v>
      </c>
    </row>
    <row r="560" spans="1:13">
      <c r="A560" s="27">
        <v>46122</v>
      </c>
      <c r="B560" s="1" t="s">
        <v>214</v>
      </c>
      <c r="C560" s="1" t="s">
        <v>59</v>
      </c>
      <c r="D560" s="1" t="s">
        <v>42</v>
      </c>
      <c r="E560" s="1" t="s">
        <v>43</v>
      </c>
      <c r="F560" s="74">
        <v>308</v>
      </c>
      <c r="G560" s="28">
        <v>373</v>
      </c>
      <c r="H560" s="74">
        <v>681</v>
      </c>
      <c r="I560" s="4">
        <v>55023</v>
      </c>
      <c r="J560" s="4">
        <v>1016</v>
      </c>
      <c r="K560" s="74">
        <v>1</v>
      </c>
      <c r="L560" s="74">
        <f t="shared" ref="L560:L581" si="76">J560+L559</f>
        <v>144594</v>
      </c>
      <c r="M560" s="74">
        <f t="shared" ref="M560:M581" si="77">K560+M559</f>
        <v>172</v>
      </c>
    </row>
    <row r="561" spans="1:13">
      <c r="A561" s="27">
        <v>46122</v>
      </c>
      <c r="B561" s="76" t="s">
        <v>33</v>
      </c>
      <c r="C561" s="76"/>
      <c r="D561" s="76"/>
      <c r="E561" s="77"/>
      <c r="F561" s="74">
        <v>0</v>
      </c>
      <c r="G561" s="74">
        <v>10</v>
      </c>
      <c r="H561" s="74">
        <v>10</v>
      </c>
      <c r="I561" s="4">
        <v>55033</v>
      </c>
      <c r="J561" s="74">
        <v>0</v>
      </c>
      <c r="K561" s="74">
        <v>0</v>
      </c>
      <c r="L561" s="74">
        <f t="shared" si="76"/>
        <v>144594</v>
      </c>
      <c r="M561" s="74">
        <f t="shared" si="77"/>
        <v>172</v>
      </c>
    </row>
    <row r="562" spans="1:13">
      <c r="A562" s="27">
        <v>46123</v>
      </c>
      <c r="B562" s="76" t="s">
        <v>201</v>
      </c>
      <c r="C562" s="76"/>
      <c r="D562" s="76"/>
      <c r="E562" s="77"/>
      <c r="F562" s="74">
        <v>0</v>
      </c>
      <c r="G562" s="74">
        <v>320</v>
      </c>
      <c r="H562" s="74">
        <v>320</v>
      </c>
      <c r="I562" s="4">
        <v>55353</v>
      </c>
      <c r="J562" s="74">
        <v>0</v>
      </c>
      <c r="K562" s="74">
        <v>0</v>
      </c>
      <c r="L562" s="74">
        <f t="shared" si="76"/>
        <v>144594</v>
      </c>
      <c r="M562" s="74">
        <f t="shared" si="77"/>
        <v>172</v>
      </c>
    </row>
    <row r="563" spans="1:13">
      <c r="A563" s="27">
        <v>46123</v>
      </c>
      <c r="B563" s="76" t="s">
        <v>49</v>
      </c>
      <c r="C563" s="76"/>
      <c r="D563" s="76"/>
      <c r="E563" s="77"/>
      <c r="F563" s="74">
        <v>0</v>
      </c>
      <c r="G563" s="74">
        <v>2</v>
      </c>
      <c r="H563" s="74">
        <v>2</v>
      </c>
      <c r="I563" s="4">
        <v>55355</v>
      </c>
      <c r="J563" s="74">
        <v>0</v>
      </c>
      <c r="K563" s="74">
        <v>0</v>
      </c>
      <c r="L563" s="74">
        <f t="shared" si="76"/>
        <v>144594</v>
      </c>
      <c r="M563" s="74">
        <f t="shared" si="77"/>
        <v>172</v>
      </c>
    </row>
    <row r="564" spans="1:13">
      <c r="A564" s="27">
        <v>46123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55364</v>
      </c>
      <c r="J564" s="74">
        <v>0</v>
      </c>
      <c r="K564" s="74">
        <v>0</v>
      </c>
      <c r="L564" s="74">
        <f t="shared" si="76"/>
        <v>144594</v>
      </c>
      <c r="M564" s="74">
        <f t="shared" si="77"/>
        <v>172</v>
      </c>
    </row>
    <row r="565" spans="1:13">
      <c r="A565" s="27">
        <v>46123</v>
      </c>
      <c r="B565" s="76" t="s">
        <v>39</v>
      </c>
      <c r="C565" s="76"/>
      <c r="D565" s="76"/>
      <c r="E565" s="77"/>
      <c r="F565" s="4">
        <v>-1500</v>
      </c>
      <c r="G565" s="74">
        <v>0</v>
      </c>
      <c r="H565" s="4">
        <v>-1500</v>
      </c>
      <c r="I565" s="4">
        <v>53864</v>
      </c>
      <c r="J565" s="74">
        <v>0</v>
      </c>
      <c r="K565" s="74">
        <v>0</v>
      </c>
      <c r="L565" s="74">
        <f t="shared" si="76"/>
        <v>144594</v>
      </c>
      <c r="M565" s="74">
        <f t="shared" si="77"/>
        <v>172</v>
      </c>
    </row>
    <row r="566" spans="1:13">
      <c r="A566" s="27">
        <v>46124</v>
      </c>
      <c r="B566" s="76" t="s">
        <v>33</v>
      </c>
      <c r="C566" s="76"/>
      <c r="D566" s="76"/>
      <c r="E566" s="77"/>
      <c r="F566" s="74">
        <v>0</v>
      </c>
      <c r="G566" s="74">
        <v>22</v>
      </c>
      <c r="H566" s="74">
        <v>22</v>
      </c>
      <c r="I566" s="4">
        <v>53886</v>
      </c>
      <c r="J566" s="74">
        <v>0</v>
      </c>
      <c r="K566" s="74">
        <v>0</v>
      </c>
      <c r="L566" s="74">
        <f t="shared" si="76"/>
        <v>144594</v>
      </c>
      <c r="M566" s="74">
        <f t="shared" si="77"/>
        <v>172</v>
      </c>
    </row>
    <row r="567" spans="1:13">
      <c r="A567" s="27">
        <v>46125</v>
      </c>
      <c r="B567" s="1" t="s">
        <v>215</v>
      </c>
      <c r="C567" s="1" t="s">
        <v>216</v>
      </c>
      <c r="D567" s="1" t="s">
        <v>42</v>
      </c>
      <c r="E567" s="1" t="s">
        <v>50</v>
      </c>
      <c r="F567" s="74">
        <v>56</v>
      </c>
      <c r="G567" s="28">
        <v>109</v>
      </c>
      <c r="H567" s="74">
        <v>165</v>
      </c>
      <c r="I567" s="4">
        <v>54051</v>
      </c>
      <c r="J567" s="74">
        <v>312</v>
      </c>
      <c r="K567" s="74">
        <v>1</v>
      </c>
      <c r="L567" s="74">
        <f t="shared" si="76"/>
        <v>144906</v>
      </c>
      <c r="M567" s="74">
        <f t="shared" si="77"/>
        <v>173</v>
      </c>
    </row>
    <row r="568" spans="1:13">
      <c r="A568" s="27">
        <v>46125</v>
      </c>
      <c r="B568" s="1" t="s">
        <v>217</v>
      </c>
      <c r="C568" s="1" t="s">
        <v>218</v>
      </c>
      <c r="D568" s="1" t="s">
        <v>42</v>
      </c>
      <c r="E568" s="1" t="s">
        <v>50</v>
      </c>
      <c r="F568" s="74">
        <v>56</v>
      </c>
      <c r="G568" s="28">
        <v>109</v>
      </c>
      <c r="H568" s="74">
        <v>165</v>
      </c>
      <c r="I568" s="4">
        <v>54216</v>
      </c>
      <c r="J568" s="74">
        <v>312</v>
      </c>
      <c r="K568" s="74">
        <v>1</v>
      </c>
      <c r="L568" s="74">
        <f t="shared" si="76"/>
        <v>145218</v>
      </c>
      <c r="M568" s="74">
        <f t="shared" si="77"/>
        <v>174</v>
      </c>
    </row>
    <row r="569" spans="1:13">
      <c r="A569" s="27">
        <v>46125</v>
      </c>
      <c r="B569" s="1" t="s">
        <v>219</v>
      </c>
      <c r="C569" s="1" t="s">
        <v>220</v>
      </c>
      <c r="D569" s="1" t="s">
        <v>42</v>
      </c>
      <c r="E569" s="1" t="s">
        <v>50</v>
      </c>
      <c r="F569" s="74">
        <v>68</v>
      </c>
      <c r="G569" s="28">
        <v>121</v>
      </c>
      <c r="H569" s="74">
        <v>189</v>
      </c>
      <c r="I569" s="4">
        <v>54405</v>
      </c>
      <c r="J569" s="74">
        <v>336</v>
      </c>
      <c r="K569" s="74">
        <v>1</v>
      </c>
      <c r="L569" s="74">
        <f t="shared" si="76"/>
        <v>145554</v>
      </c>
      <c r="M569" s="74">
        <f t="shared" si="77"/>
        <v>175</v>
      </c>
    </row>
    <row r="570" spans="1:13">
      <c r="A570" s="27">
        <v>46125</v>
      </c>
      <c r="B570" s="1" t="s">
        <v>221</v>
      </c>
      <c r="C570" s="1" t="s">
        <v>222</v>
      </c>
      <c r="D570" s="1" t="s">
        <v>42</v>
      </c>
      <c r="E570" s="1" t="s">
        <v>50</v>
      </c>
      <c r="F570" s="74">
        <v>68</v>
      </c>
      <c r="G570" s="28">
        <v>121</v>
      </c>
      <c r="H570" s="74">
        <v>189</v>
      </c>
      <c r="I570" s="4">
        <v>54594</v>
      </c>
      <c r="J570" s="74">
        <v>336</v>
      </c>
      <c r="K570" s="74">
        <v>1</v>
      </c>
      <c r="L570" s="74">
        <f t="shared" si="76"/>
        <v>145890</v>
      </c>
      <c r="M570" s="74">
        <f t="shared" si="77"/>
        <v>176</v>
      </c>
    </row>
    <row r="571" spans="1:13">
      <c r="A571" s="27">
        <v>46125</v>
      </c>
      <c r="B571" s="1" t="s">
        <v>223</v>
      </c>
      <c r="C571" s="1" t="s">
        <v>224</v>
      </c>
      <c r="D571" s="1" t="s">
        <v>42</v>
      </c>
      <c r="E571" s="1" t="s">
        <v>50</v>
      </c>
      <c r="F571" s="74">
        <v>89</v>
      </c>
      <c r="G571" s="28">
        <v>93</v>
      </c>
      <c r="H571" s="74">
        <v>182</v>
      </c>
      <c r="I571" s="4">
        <v>54776</v>
      </c>
      <c r="J571" s="74">
        <v>178</v>
      </c>
      <c r="K571" s="74">
        <v>1</v>
      </c>
      <c r="L571" s="74">
        <f t="shared" si="76"/>
        <v>146068</v>
      </c>
      <c r="M571" s="74">
        <f t="shared" si="77"/>
        <v>177</v>
      </c>
    </row>
    <row r="572" spans="1:13">
      <c r="A572" s="27">
        <v>46125</v>
      </c>
      <c r="B572" s="1" t="s">
        <v>225</v>
      </c>
      <c r="C572" s="1" t="s">
        <v>226</v>
      </c>
      <c r="D572" s="1" t="s">
        <v>42</v>
      </c>
      <c r="E572" s="1" t="s">
        <v>50</v>
      </c>
      <c r="F572" s="74">
        <v>89</v>
      </c>
      <c r="G572" s="28">
        <v>93</v>
      </c>
      <c r="H572" s="74">
        <v>182</v>
      </c>
      <c r="I572" s="4">
        <v>54958</v>
      </c>
      <c r="J572" s="74">
        <v>178</v>
      </c>
      <c r="K572" s="74">
        <v>1</v>
      </c>
      <c r="L572" s="74">
        <f t="shared" si="76"/>
        <v>146246</v>
      </c>
      <c r="M572" s="74">
        <f t="shared" si="77"/>
        <v>178</v>
      </c>
    </row>
    <row r="573" spans="1:13">
      <c r="A573" s="27">
        <v>46125</v>
      </c>
      <c r="B573" s="1" t="s">
        <v>227</v>
      </c>
      <c r="C573" s="1" t="s">
        <v>228</v>
      </c>
      <c r="D573" s="1" t="s">
        <v>42</v>
      </c>
      <c r="E573" s="1" t="s">
        <v>50</v>
      </c>
      <c r="F573" s="74">
        <v>212</v>
      </c>
      <c r="G573" s="28">
        <v>223</v>
      </c>
      <c r="H573" s="74">
        <v>435</v>
      </c>
      <c r="I573" s="4">
        <v>55393</v>
      </c>
      <c r="J573" s="74">
        <v>424</v>
      </c>
      <c r="K573" s="74">
        <v>1</v>
      </c>
      <c r="L573" s="74">
        <f t="shared" si="76"/>
        <v>146670</v>
      </c>
      <c r="M573" s="74">
        <f t="shared" si="77"/>
        <v>179</v>
      </c>
    </row>
    <row r="574" spans="1:13">
      <c r="A574" s="27">
        <v>46125</v>
      </c>
      <c r="B574" s="1" t="s">
        <v>229</v>
      </c>
      <c r="C574" s="1" t="s">
        <v>230</v>
      </c>
      <c r="D574" s="1" t="s">
        <v>42</v>
      </c>
      <c r="E574" s="1" t="s">
        <v>50</v>
      </c>
      <c r="F574" s="74">
        <v>212</v>
      </c>
      <c r="G574" s="28">
        <v>223</v>
      </c>
      <c r="H574" s="74">
        <v>435</v>
      </c>
      <c r="I574" s="4">
        <v>55828</v>
      </c>
      <c r="J574" s="74">
        <v>424</v>
      </c>
      <c r="K574" s="74">
        <v>1</v>
      </c>
      <c r="L574" s="74">
        <f t="shared" si="76"/>
        <v>147094</v>
      </c>
      <c r="M574" s="74">
        <f t="shared" si="77"/>
        <v>180</v>
      </c>
    </row>
    <row r="575" spans="1:13">
      <c r="A575" s="27">
        <v>46126</v>
      </c>
      <c r="B575" s="76" t="s">
        <v>33</v>
      </c>
      <c r="C575" s="76"/>
      <c r="D575" s="76"/>
      <c r="E575" s="77"/>
      <c r="F575" s="74">
        <v>0</v>
      </c>
      <c r="G575" s="74">
        <v>60</v>
      </c>
      <c r="H575" s="74">
        <v>60</v>
      </c>
      <c r="I575" s="4">
        <v>55888</v>
      </c>
      <c r="J575" s="74">
        <v>0</v>
      </c>
      <c r="K575" s="74">
        <v>0</v>
      </c>
      <c r="L575" s="74">
        <f t="shared" si="76"/>
        <v>147094</v>
      </c>
      <c r="M575" s="74">
        <f t="shared" si="77"/>
        <v>180</v>
      </c>
    </row>
    <row r="576" spans="1:13">
      <c r="A576" s="27">
        <v>46127</v>
      </c>
      <c r="B576" s="1" t="s">
        <v>231</v>
      </c>
      <c r="C576" s="1" t="s">
        <v>232</v>
      </c>
      <c r="D576" s="1" t="s">
        <v>42</v>
      </c>
      <c r="E576" s="1" t="s">
        <v>43</v>
      </c>
      <c r="F576" s="74">
        <v>625</v>
      </c>
      <c r="G576" s="28">
        <v>706</v>
      </c>
      <c r="H576" s="4">
        <v>1331</v>
      </c>
      <c r="I576" s="4">
        <v>57219</v>
      </c>
      <c r="J576" s="4">
        <v>1650</v>
      </c>
      <c r="K576" s="74">
        <v>1</v>
      </c>
      <c r="L576" s="74">
        <f t="shared" si="76"/>
        <v>148744</v>
      </c>
      <c r="M576" s="74">
        <f t="shared" si="77"/>
        <v>181</v>
      </c>
    </row>
    <row r="577" spans="1:13">
      <c r="A577" s="27">
        <v>46127</v>
      </c>
      <c r="B577" s="76" t="s">
        <v>33</v>
      </c>
      <c r="C577" s="76"/>
      <c r="D577" s="76"/>
      <c r="E577" s="77"/>
      <c r="F577" s="74">
        <v>0</v>
      </c>
      <c r="G577" s="74">
        <v>9</v>
      </c>
      <c r="H577" s="74">
        <v>9</v>
      </c>
      <c r="I577" s="4">
        <v>57228</v>
      </c>
      <c r="J577" s="74">
        <v>0</v>
      </c>
      <c r="K577" s="74">
        <v>0</v>
      </c>
      <c r="L577" s="74">
        <f t="shared" si="76"/>
        <v>148744</v>
      </c>
      <c r="M577" s="74">
        <f t="shared" si="77"/>
        <v>181</v>
      </c>
    </row>
    <row r="578" spans="1:13">
      <c r="A578" s="27">
        <v>46128</v>
      </c>
      <c r="B578" s="1" t="s">
        <v>233</v>
      </c>
      <c r="C578" s="1" t="s">
        <v>63</v>
      </c>
      <c r="D578" s="1" t="s">
        <v>42</v>
      </c>
      <c r="E578" s="1" t="s">
        <v>43</v>
      </c>
      <c r="F578" s="74">
        <v>389</v>
      </c>
      <c r="G578" s="28">
        <v>458</v>
      </c>
      <c r="H578" s="74">
        <v>847</v>
      </c>
      <c r="I578" s="4">
        <v>58075</v>
      </c>
      <c r="J578" s="4">
        <v>1178</v>
      </c>
      <c r="K578" s="74">
        <v>1</v>
      </c>
      <c r="L578" s="74">
        <f t="shared" si="76"/>
        <v>149922</v>
      </c>
      <c r="M578" s="74">
        <f t="shared" si="77"/>
        <v>182</v>
      </c>
    </row>
    <row r="579" spans="1:13">
      <c r="A579" s="27">
        <v>46128</v>
      </c>
      <c r="B579" s="76" t="s">
        <v>33</v>
      </c>
      <c r="C579" s="76"/>
      <c r="D579" s="76"/>
      <c r="E579" s="77"/>
      <c r="F579" s="74">
        <v>0</v>
      </c>
      <c r="G579" s="74">
        <v>10</v>
      </c>
      <c r="H579" s="74">
        <v>10</v>
      </c>
      <c r="I579" s="4">
        <v>58108</v>
      </c>
      <c r="J579" s="74">
        <v>0</v>
      </c>
      <c r="K579" s="74">
        <v>0</v>
      </c>
      <c r="L579" s="74">
        <f t="shared" si="76"/>
        <v>149922</v>
      </c>
      <c r="M579" s="74">
        <f t="shared" si="77"/>
        <v>182</v>
      </c>
    </row>
    <row r="580" spans="1:13">
      <c r="A580" s="27">
        <v>46129</v>
      </c>
      <c r="B580" s="76" t="s">
        <v>33</v>
      </c>
      <c r="C580" s="76"/>
      <c r="D580" s="76"/>
      <c r="E580" s="77"/>
      <c r="F580" s="74">
        <v>0</v>
      </c>
      <c r="G580" s="74">
        <v>7</v>
      </c>
      <c r="H580" s="74">
        <v>7</v>
      </c>
      <c r="I580" s="4">
        <v>58115</v>
      </c>
      <c r="J580" s="74">
        <v>0</v>
      </c>
      <c r="K580" s="74">
        <v>0</v>
      </c>
      <c r="L580" s="74">
        <f t="shared" si="76"/>
        <v>149922</v>
      </c>
      <c r="M580" s="74">
        <f t="shared" si="77"/>
        <v>182</v>
      </c>
    </row>
    <row r="581" spans="1:13">
      <c r="A581" s="27">
        <v>46130</v>
      </c>
      <c r="B581" s="76" t="s">
        <v>49</v>
      </c>
      <c r="C581" s="76"/>
      <c r="D581" s="76"/>
      <c r="E581" s="77"/>
      <c r="F581" s="74">
        <v>0</v>
      </c>
      <c r="G581" s="74">
        <v>1</v>
      </c>
      <c r="H581" s="74">
        <v>1</v>
      </c>
      <c r="I581" s="4">
        <v>58116</v>
      </c>
      <c r="J581" s="74">
        <v>0</v>
      </c>
      <c r="K581" s="74">
        <v>0</v>
      </c>
      <c r="L581" s="74">
        <f t="shared" si="76"/>
        <v>149922</v>
      </c>
      <c r="M581" s="74">
        <f t="shared" si="77"/>
        <v>182</v>
      </c>
    </row>
    <row r="582" spans="1:13">
      <c r="A582" s="27">
        <v>46130</v>
      </c>
      <c r="B582" s="76" t="s">
        <v>33</v>
      </c>
      <c r="C582" s="76"/>
      <c r="D582" s="76"/>
      <c r="E582" s="77"/>
      <c r="F582" s="74">
        <v>0</v>
      </c>
      <c r="G582" s="74">
        <v>9</v>
      </c>
      <c r="H582" s="74">
        <v>9</v>
      </c>
      <c r="I582" s="4">
        <v>58125</v>
      </c>
      <c r="J582" s="74">
        <v>0</v>
      </c>
      <c r="K582" s="74">
        <v>0</v>
      </c>
      <c r="L582" s="74">
        <f t="shared" ref="L582:L598" si="78">J582+L581</f>
        <v>149922</v>
      </c>
      <c r="M582" s="74">
        <f t="shared" ref="M582:M598" si="79">K582+M581</f>
        <v>182</v>
      </c>
    </row>
    <row r="583" spans="1:13">
      <c r="A583" s="27">
        <v>46131</v>
      </c>
      <c r="B583" s="76" t="s">
        <v>129</v>
      </c>
      <c r="C583" s="76"/>
      <c r="D583" s="76"/>
      <c r="E583" s="77"/>
      <c r="F583" s="74">
        <v>0</v>
      </c>
      <c r="G583" s="74">
        <v>152</v>
      </c>
      <c r="H583" s="74">
        <v>152</v>
      </c>
      <c r="I583" s="4">
        <v>58277</v>
      </c>
      <c r="J583" s="74">
        <v>0</v>
      </c>
      <c r="K583" s="74">
        <v>0</v>
      </c>
      <c r="L583" s="74">
        <f t="shared" si="78"/>
        <v>149922</v>
      </c>
      <c r="M583" s="74">
        <f t="shared" si="79"/>
        <v>182</v>
      </c>
    </row>
    <row r="584" spans="1:13">
      <c r="A584" s="27">
        <v>46131</v>
      </c>
      <c r="B584" s="76" t="s">
        <v>33</v>
      </c>
      <c r="C584" s="76"/>
      <c r="D584" s="76"/>
      <c r="E584" s="77"/>
      <c r="F584" s="74">
        <v>0</v>
      </c>
      <c r="G584" s="74">
        <v>25</v>
      </c>
      <c r="H584" s="74">
        <v>25</v>
      </c>
      <c r="I584" s="4">
        <v>58302</v>
      </c>
      <c r="J584" s="74">
        <v>0</v>
      </c>
      <c r="K584" s="74">
        <v>0</v>
      </c>
      <c r="L584" s="74">
        <f t="shared" si="78"/>
        <v>149922</v>
      </c>
      <c r="M584" s="74">
        <f t="shared" si="79"/>
        <v>182</v>
      </c>
    </row>
    <row r="585" spans="1:13">
      <c r="A585" s="27">
        <v>46132</v>
      </c>
      <c r="B585" s="76" t="s">
        <v>234</v>
      </c>
      <c r="C585" s="76"/>
      <c r="D585" s="76"/>
      <c r="E585" s="77"/>
      <c r="F585" s="74">
        <v>0</v>
      </c>
      <c r="G585" s="74">
        <v>50</v>
      </c>
      <c r="H585" s="74">
        <v>50</v>
      </c>
      <c r="I585" s="4">
        <v>58352</v>
      </c>
      <c r="J585" s="74">
        <v>0</v>
      </c>
      <c r="K585" s="74">
        <v>0</v>
      </c>
      <c r="L585" s="74">
        <f t="shared" si="78"/>
        <v>149922</v>
      </c>
      <c r="M585" s="74">
        <f t="shared" si="79"/>
        <v>182</v>
      </c>
    </row>
    <row r="586" spans="1:13">
      <c r="A586" s="27">
        <v>46132</v>
      </c>
      <c r="B586" s="76" t="s">
        <v>33</v>
      </c>
      <c r="C586" s="76"/>
      <c r="D586" s="76"/>
      <c r="E586" s="77"/>
      <c r="F586" s="74">
        <v>0</v>
      </c>
      <c r="G586" s="74">
        <v>15</v>
      </c>
      <c r="H586" s="74">
        <v>15</v>
      </c>
      <c r="I586" s="4">
        <v>58367</v>
      </c>
      <c r="J586" s="74">
        <v>0</v>
      </c>
      <c r="K586" s="74">
        <v>0</v>
      </c>
      <c r="L586" s="74">
        <f t="shared" si="78"/>
        <v>149922</v>
      </c>
      <c r="M586" s="74">
        <f t="shared" si="79"/>
        <v>182</v>
      </c>
    </row>
    <row r="587" spans="1:13">
      <c r="A587" s="27">
        <v>46133</v>
      </c>
      <c r="B587" s="76" t="s">
        <v>33</v>
      </c>
      <c r="C587" s="76"/>
      <c r="D587" s="76"/>
      <c r="E587" s="77"/>
      <c r="F587" s="74">
        <v>0</v>
      </c>
      <c r="G587" s="74">
        <v>7</v>
      </c>
      <c r="H587" s="74">
        <v>7</v>
      </c>
      <c r="I587" s="4">
        <v>58374</v>
      </c>
      <c r="J587" s="74">
        <v>0</v>
      </c>
      <c r="K587" s="74">
        <v>0</v>
      </c>
      <c r="L587" s="74">
        <f t="shared" si="78"/>
        <v>149922</v>
      </c>
      <c r="M587" s="74">
        <f t="shared" si="79"/>
        <v>182</v>
      </c>
    </row>
    <row r="588" spans="1:13">
      <c r="A588" s="27">
        <v>46134</v>
      </c>
      <c r="B588" s="76" t="s">
        <v>33</v>
      </c>
      <c r="C588" s="76"/>
      <c r="D588" s="76"/>
      <c r="E588" s="77"/>
      <c r="F588" s="74">
        <v>0</v>
      </c>
      <c r="G588" s="74">
        <v>57</v>
      </c>
      <c r="H588" s="74">
        <v>57</v>
      </c>
      <c r="I588" s="4">
        <v>58431</v>
      </c>
      <c r="J588" s="74">
        <v>0</v>
      </c>
      <c r="K588" s="74">
        <v>0</v>
      </c>
      <c r="L588" s="74">
        <f t="shared" si="78"/>
        <v>149922</v>
      </c>
      <c r="M588" s="74">
        <f t="shared" si="79"/>
        <v>182</v>
      </c>
    </row>
    <row r="589" spans="1:13">
      <c r="A589" s="27">
        <v>46135</v>
      </c>
      <c r="B589" s="76" t="s">
        <v>33</v>
      </c>
      <c r="C589" s="76"/>
      <c r="D589" s="76"/>
      <c r="E589" s="77"/>
      <c r="F589" s="74">
        <v>0</v>
      </c>
      <c r="G589" s="74">
        <v>6</v>
      </c>
      <c r="H589" s="74">
        <v>6</v>
      </c>
      <c r="I589" s="4">
        <v>58437</v>
      </c>
      <c r="J589" s="74">
        <v>0</v>
      </c>
      <c r="K589" s="74">
        <v>0</v>
      </c>
      <c r="L589" s="74">
        <f t="shared" si="78"/>
        <v>149922</v>
      </c>
      <c r="M589" s="74">
        <f t="shared" si="79"/>
        <v>182</v>
      </c>
    </row>
    <row r="590" spans="1:13">
      <c r="A590" s="27">
        <v>46136</v>
      </c>
      <c r="B590" s="76" t="s">
        <v>33</v>
      </c>
      <c r="C590" s="76"/>
      <c r="D590" s="76"/>
      <c r="E590" s="77"/>
      <c r="F590" s="74">
        <v>0</v>
      </c>
      <c r="G590" s="74">
        <v>8</v>
      </c>
      <c r="H590" s="74">
        <v>8</v>
      </c>
      <c r="I590" s="4">
        <v>58445</v>
      </c>
      <c r="J590" s="74">
        <v>0</v>
      </c>
      <c r="K590" s="74">
        <v>0</v>
      </c>
      <c r="L590" s="74">
        <f t="shared" si="78"/>
        <v>149922</v>
      </c>
      <c r="M590" s="74">
        <f t="shared" si="79"/>
        <v>182</v>
      </c>
    </row>
    <row r="591" spans="1:13">
      <c r="A591" s="27">
        <v>46137</v>
      </c>
      <c r="B591" s="1" t="s">
        <v>196</v>
      </c>
      <c r="C591" s="1" t="s">
        <v>73</v>
      </c>
      <c r="D591" s="1" t="s">
        <v>42</v>
      </c>
      <c r="E591" s="1" t="s">
        <v>50</v>
      </c>
      <c r="F591" s="74">
        <v>66</v>
      </c>
      <c r="G591" s="28">
        <v>69</v>
      </c>
      <c r="H591" s="74">
        <v>135</v>
      </c>
      <c r="I591" s="4">
        <v>58580</v>
      </c>
      <c r="J591" s="74">
        <v>132</v>
      </c>
      <c r="K591" s="74">
        <v>1</v>
      </c>
      <c r="L591" s="74">
        <f t="shared" si="78"/>
        <v>150054</v>
      </c>
      <c r="M591" s="74">
        <f t="shared" si="79"/>
        <v>183</v>
      </c>
    </row>
    <row r="592" spans="1:13">
      <c r="A592" s="27">
        <v>46137</v>
      </c>
      <c r="B592" s="1" t="s">
        <v>235</v>
      </c>
      <c r="C592" s="1" t="s">
        <v>236</v>
      </c>
      <c r="D592" s="1" t="s">
        <v>42</v>
      </c>
      <c r="E592" s="1" t="s">
        <v>50</v>
      </c>
      <c r="F592" s="74">
        <v>281</v>
      </c>
      <c r="G592" s="28">
        <v>295</v>
      </c>
      <c r="H592" s="74">
        <v>576</v>
      </c>
      <c r="I592" s="4">
        <v>59156</v>
      </c>
      <c r="J592" s="74">
        <v>562</v>
      </c>
      <c r="K592" s="74">
        <v>1</v>
      </c>
      <c r="L592" s="74">
        <f t="shared" si="78"/>
        <v>150616</v>
      </c>
      <c r="M592" s="74">
        <f t="shared" si="79"/>
        <v>184</v>
      </c>
    </row>
    <row r="593" spans="1:13">
      <c r="A593" s="27">
        <v>46137</v>
      </c>
      <c r="B593" s="1" t="s">
        <v>237</v>
      </c>
      <c r="C593" s="1" t="s">
        <v>238</v>
      </c>
      <c r="D593" s="1" t="s">
        <v>42</v>
      </c>
      <c r="E593" s="1" t="s">
        <v>50</v>
      </c>
      <c r="F593" s="74">
        <v>288</v>
      </c>
      <c r="G593" s="28">
        <v>302</v>
      </c>
      <c r="H593" s="74">
        <v>590</v>
      </c>
      <c r="I593" s="4">
        <v>59746</v>
      </c>
      <c r="J593" s="74">
        <v>576</v>
      </c>
      <c r="K593" s="74">
        <v>1</v>
      </c>
      <c r="L593" s="74">
        <f t="shared" si="78"/>
        <v>151192</v>
      </c>
      <c r="M593" s="74">
        <f t="shared" si="79"/>
        <v>185</v>
      </c>
    </row>
    <row r="594" spans="1:13">
      <c r="A594" s="27">
        <v>46137</v>
      </c>
      <c r="B594" s="1" t="s">
        <v>239</v>
      </c>
      <c r="C594" s="1" t="s">
        <v>240</v>
      </c>
      <c r="D594" s="1" t="s">
        <v>42</v>
      </c>
      <c r="E594" s="1" t="s">
        <v>50</v>
      </c>
      <c r="F594" s="74">
        <v>288</v>
      </c>
      <c r="G594" s="28">
        <v>302</v>
      </c>
      <c r="H594" s="74">
        <v>590</v>
      </c>
      <c r="I594" s="4">
        <v>60336</v>
      </c>
      <c r="J594" s="74">
        <v>576</v>
      </c>
      <c r="K594" s="74">
        <v>1</v>
      </c>
      <c r="L594" s="74">
        <f t="shared" si="78"/>
        <v>151768</v>
      </c>
      <c r="M594" s="74">
        <f t="shared" si="79"/>
        <v>186</v>
      </c>
    </row>
    <row r="595" spans="1:13">
      <c r="A595" s="27">
        <v>46137</v>
      </c>
      <c r="B595" s="76" t="s">
        <v>33</v>
      </c>
      <c r="C595" s="76"/>
      <c r="D595" s="76"/>
      <c r="E595" s="77"/>
      <c r="F595" s="74">
        <v>0</v>
      </c>
      <c r="G595" s="74">
        <v>9</v>
      </c>
      <c r="H595" s="74">
        <v>9</v>
      </c>
      <c r="I595" s="4">
        <v>60345</v>
      </c>
      <c r="J595" s="74">
        <v>0</v>
      </c>
      <c r="K595" s="74">
        <v>0</v>
      </c>
      <c r="L595" s="74">
        <f t="shared" si="78"/>
        <v>151768</v>
      </c>
      <c r="M595" s="74">
        <f t="shared" si="79"/>
        <v>186</v>
      </c>
    </row>
    <row r="596" spans="1:13">
      <c r="A596" s="27">
        <v>46138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60346</v>
      </c>
      <c r="J596" s="74">
        <v>0</v>
      </c>
      <c r="K596" s="74">
        <v>0</v>
      </c>
      <c r="L596" s="74">
        <f t="shared" si="78"/>
        <v>151768</v>
      </c>
      <c r="M596" s="74">
        <f t="shared" si="79"/>
        <v>186</v>
      </c>
    </row>
    <row r="597" spans="1:13">
      <c r="A597" s="27">
        <v>46138</v>
      </c>
      <c r="B597" s="76" t="s">
        <v>33</v>
      </c>
      <c r="C597" s="76"/>
      <c r="D597" s="76"/>
      <c r="E597" s="77"/>
      <c r="F597" s="74">
        <v>0</v>
      </c>
      <c r="G597" s="74">
        <v>31</v>
      </c>
      <c r="H597" s="74">
        <v>31</v>
      </c>
      <c r="I597" s="4">
        <v>60377</v>
      </c>
      <c r="J597" s="74">
        <v>0</v>
      </c>
      <c r="K597" s="74">
        <v>0</v>
      </c>
      <c r="L597" s="74">
        <f t="shared" si="78"/>
        <v>151768</v>
      </c>
      <c r="M597" s="74">
        <f t="shared" si="79"/>
        <v>186</v>
      </c>
    </row>
    <row r="598" spans="1:13">
      <c r="A598" s="27">
        <v>46139</v>
      </c>
      <c r="B598" s="76" t="s">
        <v>33</v>
      </c>
      <c r="C598" s="76"/>
      <c r="D598" s="76"/>
      <c r="E598" s="77"/>
      <c r="F598" s="74">
        <v>0</v>
      </c>
      <c r="G598" s="74">
        <v>10</v>
      </c>
      <c r="H598" s="74">
        <v>10</v>
      </c>
      <c r="I598" s="4">
        <v>62946</v>
      </c>
      <c r="J598" s="74">
        <v>0</v>
      </c>
      <c r="K598" s="74">
        <v>0</v>
      </c>
      <c r="L598" s="74">
        <f t="shared" si="78"/>
        <v>151768</v>
      </c>
      <c r="M598" s="74">
        <f t="shared" si="79"/>
        <v>186</v>
      </c>
    </row>
    <row r="599" spans="1:13">
      <c r="A599" s="27">
        <v>46140</v>
      </c>
      <c r="B599" s="76" t="s">
        <v>33</v>
      </c>
      <c r="C599" s="76"/>
      <c r="D599" s="76"/>
      <c r="E599" s="77"/>
      <c r="F599" s="74">
        <v>0</v>
      </c>
      <c r="G599" s="74">
        <v>17</v>
      </c>
      <c r="H599" s="74">
        <v>17</v>
      </c>
      <c r="I599" s="4">
        <v>62963</v>
      </c>
      <c r="J599" s="74">
        <v>0</v>
      </c>
      <c r="K599" s="74">
        <v>0</v>
      </c>
      <c r="L599" s="74">
        <f t="shared" ref="L599:L604" si="80">J599+L598</f>
        <v>151768</v>
      </c>
      <c r="M599" s="74">
        <f t="shared" ref="M599:M604" si="81">K599+M598</f>
        <v>186</v>
      </c>
    </row>
    <row r="600" spans="1:13">
      <c r="A600" s="27">
        <v>46141</v>
      </c>
      <c r="B600" s="76" t="s">
        <v>33</v>
      </c>
      <c r="C600" s="76"/>
      <c r="D600" s="76"/>
      <c r="E600" s="77"/>
      <c r="F600" s="74">
        <v>0</v>
      </c>
      <c r="G600" s="74">
        <v>9</v>
      </c>
      <c r="H600" s="74">
        <v>9</v>
      </c>
      <c r="I600" s="4">
        <v>62972</v>
      </c>
      <c r="J600" s="74">
        <v>0</v>
      </c>
      <c r="K600" s="74">
        <v>0</v>
      </c>
      <c r="L600" s="74">
        <f t="shared" si="80"/>
        <v>151768</v>
      </c>
      <c r="M600" s="74">
        <f t="shared" si="81"/>
        <v>186</v>
      </c>
    </row>
    <row r="601" spans="1:13">
      <c r="A601" s="27">
        <v>46142</v>
      </c>
      <c r="B601" s="76" t="s">
        <v>33</v>
      </c>
      <c r="C601" s="76"/>
      <c r="D601" s="76"/>
      <c r="E601" s="77"/>
      <c r="F601" s="74">
        <v>0</v>
      </c>
      <c r="G601" s="74">
        <v>10</v>
      </c>
      <c r="H601" s="74">
        <v>10</v>
      </c>
      <c r="I601" s="4">
        <v>62982</v>
      </c>
      <c r="J601" s="74">
        <v>0</v>
      </c>
      <c r="K601" s="74">
        <v>0</v>
      </c>
      <c r="L601" s="74">
        <f t="shared" si="80"/>
        <v>151768</v>
      </c>
      <c r="M601" s="74">
        <f t="shared" si="81"/>
        <v>186</v>
      </c>
    </row>
    <row r="602" spans="1:13">
      <c r="A602" s="27">
        <v>46143</v>
      </c>
      <c r="B602" s="76" t="s">
        <v>49</v>
      </c>
      <c r="C602" s="76"/>
      <c r="D602" s="76"/>
      <c r="E602" s="77"/>
      <c r="F602" s="74">
        <v>0</v>
      </c>
      <c r="G602" s="74">
        <v>1</v>
      </c>
      <c r="H602" s="74">
        <v>1</v>
      </c>
      <c r="I602" s="4">
        <v>62983</v>
      </c>
      <c r="J602" s="74">
        <v>0</v>
      </c>
      <c r="K602" s="74">
        <v>0</v>
      </c>
      <c r="L602" s="74">
        <f t="shared" si="80"/>
        <v>151768</v>
      </c>
      <c r="M602" s="74">
        <f t="shared" si="81"/>
        <v>186</v>
      </c>
    </row>
    <row r="603" spans="1:13">
      <c r="A603" s="27">
        <v>46143</v>
      </c>
      <c r="B603" s="76" t="s">
        <v>33</v>
      </c>
      <c r="C603" s="76"/>
      <c r="D603" s="76"/>
      <c r="E603" s="77"/>
      <c r="F603" s="74">
        <v>0</v>
      </c>
      <c r="G603" s="74">
        <v>20</v>
      </c>
      <c r="H603" s="74">
        <v>20</v>
      </c>
      <c r="I603" s="4">
        <v>63003</v>
      </c>
      <c r="J603" s="74">
        <v>0</v>
      </c>
      <c r="K603" s="74">
        <v>0</v>
      </c>
      <c r="L603" s="74">
        <f t="shared" si="80"/>
        <v>151768</v>
      </c>
      <c r="M603" s="74">
        <f t="shared" si="81"/>
        <v>186</v>
      </c>
    </row>
    <row r="604" spans="1:13">
      <c r="A604" s="29">
        <v>46143</v>
      </c>
      <c r="B604" s="78" t="s">
        <v>49</v>
      </c>
      <c r="C604" s="78"/>
      <c r="D604" s="78"/>
      <c r="E604" s="79"/>
      <c r="F604" s="75">
        <v>0</v>
      </c>
      <c r="G604" s="75">
        <v>1</v>
      </c>
      <c r="H604" s="75">
        <v>1</v>
      </c>
      <c r="I604" s="30">
        <v>63004</v>
      </c>
      <c r="J604" s="75">
        <v>0</v>
      </c>
      <c r="K604" s="75">
        <v>0</v>
      </c>
      <c r="L604" s="74">
        <f t="shared" si="80"/>
        <v>151768</v>
      </c>
      <c r="M604" s="74">
        <f t="shared" si="81"/>
        <v>186</v>
      </c>
    </row>
    <row r="605" spans="1:13">
      <c r="A605" s="27">
        <v>46144</v>
      </c>
      <c r="B605" s="76" t="s">
        <v>33</v>
      </c>
      <c r="C605" s="76"/>
      <c r="D605" s="76"/>
      <c r="E605" s="77"/>
      <c r="F605" s="74">
        <v>0</v>
      </c>
      <c r="G605" s="74">
        <v>24</v>
      </c>
      <c r="H605" s="74">
        <v>24</v>
      </c>
      <c r="I605" s="4">
        <v>63328</v>
      </c>
      <c r="J605" s="74">
        <v>0</v>
      </c>
      <c r="K605" s="74">
        <v>0</v>
      </c>
      <c r="L605" s="74">
        <f t="shared" ref="L605:L614" si="82">J605+L604</f>
        <v>151768</v>
      </c>
      <c r="M605" s="74">
        <f t="shared" ref="M605:M614" si="83">K605+M604</f>
        <v>186</v>
      </c>
    </row>
    <row r="606" spans="1:13">
      <c r="A606" s="27">
        <v>46145</v>
      </c>
      <c r="B606" s="76" t="s">
        <v>33</v>
      </c>
      <c r="C606" s="76"/>
      <c r="D606" s="76"/>
      <c r="E606" s="77"/>
      <c r="F606" s="74">
        <v>0</v>
      </c>
      <c r="G606" s="74">
        <v>19</v>
      </c>
      <c r="H606" s="74">
        <v>19</v>
      </c>
      <c r="I606" s="4">
        <v>63347</v>
      </c>
      <c r="J606" s="74">
        <v>0</v>
      </c>
      <c r="K606" s="74">
        <v>0</v>
      </c>
      <c r="L606" s="74">
        <f t="shared" si="82"/>
        <v>151768</v>
      </c>
      <c r="M606" s="74">
        <f t="shared" si="83"/>
        <v>186</v>
      </c>
    </row>
    <row r="607" spans="1:13">
      <c r="A607" s="27">
        <v>46146</v>
      </c>
      <c r="B607" s="76" t="s">
        <v>33</v>
      </c>
      <c r="C607" s="76"/>
      <c r="D607" s="76"/>
      <c r="E607" s="77"/>
      <c r="F607" s="74">
        <v>0</v>
      </c>
      <c r="G607" s="74">
        <v>9</v>
      </c>
      <c r="H607" s="74">
        <v>9</v>
      </c>
      <c r="I607" s="4">
        <v>63356</v>
      </c>
      <c r="J607" s="74">
        <v>0</v>
      </c>
      <c r="K607" s="74">
        <v>0</v>
      </c>
      <c r="L607" s="74">
        <f t="shared" si="82"/>
        <v>151768</v>
      </c>
      <c r="M607" s="74">
        <f t="shared" si="83"/>
        <v>186</v>
      </c>
    </row>
    <row r="608" spans="1:13">
      <c r="A608" s="27">
        <v>46147</v>
      </c>
      <c r="B608" s="76" t="s">
        <v>33</v>
      </c>
      <c r="C608" s="76"/>
      <c r="D608" s="76"/>
      <c r="E608" s="77"/>
      <c r="F608" s="74">
        <v>0</v>
      </c>
      <c r="G608" s="74">
        <v>18</v>
      </c>
      <c r="H608" s="74">
        <v>18</v>
      </c>
      <c r="I608" s="4">
        <v>63374</v>
      </c>
      <c r="J608" s="74">
        <v>0</v>
      </c>
      <c r="K608" s="74">
        <v>0</v>
      </c>
      <c r="L608" s="74">
        <f t="shared" si="82"/>
        <v>151768</v>
      </c>
      <c r="M608" s="74">
        <f t="shared" si="83"/>
        <v>186</v>
      </c>
    </row>
    <row r="609" spans="1:13">
      <c r="A609" s="27">
        <v>46148</v>
      </c>
      <c r="B609" s="76" t="s">
        <v>49</v>
      </c>
      <c r="C609" s="76"/>
      <c r="D609" s="76"/>
      <c r="E609" s="77"/>
      <c r="F609" s="74">
        <v>0</v>
      </c>
      <c r="G609" s="74">
        <v>1</v>
      </c>
      <c r="H609" s="74">
        <v>1</v>
      </c>
      <c r="I609" s="4">
        <v>63375</v>
      </c>
      <c r="J609" s="74">
        <v>0</v>
      </c>
      <c r="K609" s="74">
        <v>0</v>
      </c>
      <c r="L609" s="74">
        <f t="shared" si="82"/>
        <v>151768</v>
      </c>
      <c r="M609" s="74">
        <f t="shared" si="83"/>
        <v>186</v>
      </c>
    </row>
    <row r="610" spans="1:13">
      <c r="A610" s="27">
        <v>46148</v>
      </c>
      <c r="B610" s="76" t="s">
        <v>33</v>
      </c>
      <c r="C610" s="76"/>
      <c r="D610" s="76"/>
      <c r="E610" s="77"/>
      <c r="F610" s="74">
        <v>0</v>
      </c>
      <c r="G610" s="74">
        <v>15</v>
      </c>
      <c r="H610" s="74">
        <v>15</v>
      </c>
      <c r="I610" s="4">
        <v>63390</v>
      </c>
      <c r="J610" s="74">
        <v>0</v>
      </c>
      <c r="K610" s="74">
        <v>0</v>
      </c>
      <c r="L610" s="74">
        <f t="shared" si="82"/>
        <v>151768</v>
      </c>
      <c r="M610" s="74">
        <f t="shared" si="83"/>
        <v>186</v>
      </c>
    </row>
    <row r="611" spans="1:13">
      <c r="A611" s="27">
        <v>46148</v>
      </c>
      <c r="B611" s="76" t="s">
        <v>49</v>
      </c>
      <c r="C611" s="76"/>
      <c r="D611" s="76"/>
      <c r="E611" s="77"/>
      <c r="F611" s="74">
        <v>0</v>
      </c>
      <c r="G611" s="74">
        <v>1</v>
      </c>
      <c r="H611" s="74">
        <v>1</v>
      </c>
      <c r="I611" s="4">
        <v>63391</v>
      </c>
      <c r="J611" s="74">
        <v>0</v>
      </c>
      <c r="K611" s="74">
        <v>0</v>
      </c>
      <c r="L611" s="74">
        <f t="shared" si="82"/>
        <v>151768</v>
      </c>
      <c r="M611" s="74">
        <f t="shared" si="83"/>
        <v>186</v>
      </c>
    </row>
    <row r="612" spans="1:13">
      <c r="A612" s="27">
        <v>46148</v>
      </c>
      <c r="B612" s="76" t="s">
        <v>49</v>
      </c>
      <c r="C612" s="76"/>
      <c r="D612" s="76"/>
      <c r="E612" s="77"/>
      <c r="F612" s="74">
        <v>0</v>
      </c>
      <c r="G612" s="74">
        <v>1</v>
      </c>
      <c r="H612" s="74">
        <v>1</v>
      </c>
      <c r="I612" s="4">
        <v>63392</v>
      </c>
      <c r="J612" s="74">
        <v>0</v>
      </c>
      <c r="K612" s="74">
        <v>0</v>
      </c>
      <c r="L612" s="74">
        <f t="shared" si="82"/>
        <v>151768</v>
      </c>
      <c r="M612" s="74">
        <f t="shared" si="83"/>
        <v>186</v>
      </c>
    </row>
    <row r="613" spans="1:13">
      <c r="A613" s="27">
        <v>46148</v>
      </c>
      <c r="B613" s="76" t="s">
        <v>49</v>
      </c>
      <c r="C613" s="76"/>
      <c r="D613" s="76"/>
      <c r="E613" s="77"/>
      <c r="F613" s="74">
        <v>0</v>
      </c>
      <c r="G613" s="74">
        <v>1</v>
      </c>
      <c r="H613" s="74">
        <v>1</v>
      </c>
      <c r="I613" s="4">
        <v>63393</v>
      </c>
      <c r="J613" s="74">
        <v>0</v>
      </c>
      <c r="K613" s="74">
        <v>0</v>
      </c>
      <c r="L613" s="74">
        <f t="shared" si="82"/>
        <v>151768</v>
      </c>
      <c r="M613" s="74">
        <f t="shared" si="83"/>
        <v>186</v>
      </c>
    </row>
    <row r="614" spans="1:13">
      <c r="A614" s="29">
        <v>46149</v>
      </c>
      <c r="B614" s="78" t="s">
        <v>33</v>
      </c>
      <c r="C614" s="78"/>
      <c r="D614" s="78"/>
      <c r="E614" s="79"/>
      <c r="F614" s="75">
        <v>0</v>
      </c>
      <c r="G614" s="75">
        <v>24</v>
      </c>
      <c r="H614" s="75">
        <v>24</v>
      </c>
      <c r="I614" s="30">
        <v>63417</v>
      </c>
      <c r="J614" s="75">
        <v>0</v>
      </c>
      <c r="K614" s="75">
        <v>0</v>
      </c>
      <c r="L614" s="74">
        <f t="shared" si="82"/>
        <v>151768</v>
      </c>
      <c r="M614" s="74">
        <f t="shared" si="83"/>
        <v>186</v>
      </c>
    </row>
  </sheetData>
  <autoFilter ref="A1:O523" xr:uid="{2A57836D-5153-486D-8B76-48FAFDDE1EA1}"/>
  <mergeCells count="405">
    <mergeCell ref="B597:E597"/>
    <mergeCell ref="B598:E598"/>
    <mergeCell ref="B582:E582"/>
    <mergeCell ref="B583:E583"/>
    <mergeCell ref="B584:E584"/>
    <mergeCell ref="B580:E580"/>
    <mergeCell ref="B581:E581"/>
    <mergeCell ref="B561:E561"/>
    <mergeCell ref="B562:E562"/>
    <mergeCell ref="B563:E563"/>
    <mergeCell ref="B564:E564"/>
    <mergeCell ref="B565:E565"/>
    <mergeCell ref="B566:E566"/>
    <mergeCell ref="B575:E575"/>
    <mergeCell ref="B577:E577"/>
    <mergeCell ref="B579:E579"/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558:E558"/>
    <mergeCell ref="B559:E559"/>
    <mergeCell ref="B556:E556"/>
    <mergeCell ref="B548:E548"/>
    <mergeCell ref="B549:E549"/>
    <mergeCell ref="B550:E550"/>
    <mergeCell ref="B551:E551"/>
    <mergeCell ref="B552:E552"/>
    <mergeCell ref="B553:E553"/>
    <mergeCell ref="B554:E554"/>
    <mergeCell ref="B557:E557"/>
    <mergeCell ref="B608:E608"/>
    <mergeCell ref="B609:E609"/>
    <mergeCell ref="B610:E610"/>
    <mergeCell ref="B611:E611"/>
    <mergeCell ref="B612:E612"/>
    <mergeCell ref="B613:E613"/>
    <mergeCell ref="B614:E614"/>
    <mergeCell ref="B585:E585"/>
    <mergeCell ref="B586:E586"/>
    <mergeCell ref="B587:E587"/>
    <mergeCell ref="B588:E588"/>
    <mergeCell ref="B589:E589"/>
    <mergeCell ref="B590:E590"/>
    <mergeCell ref="B605:E605"/>
    <mergeCell ref="B606:E606"/>
    <mergeCell ref="B607:E607"/>
    <mergeCell ref="B599:E599"/>
    <mergeCell ref="B600:E600"/>
    <mergeCell ref="B601:E601"/>
    <mergeCell ref="B602:E602"/>
    <mergeCell ref="B603:E603"/>
    <mergeCell ref="B604:E604"/>
    <mergeCell ref="B595:E595"/>
    <mergeCell ref="B596:E596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  <hyperlink ref="G555" r:id="rId163" display="373" xr:uid="{06F457BA-CA9F-4A58-8C64-4DE04F322852}"/>
    <hyperlink ref="G560" r:id="rId164" display="373" xr:uid="{3E38263F-F288-4DFF-B823-163D14169CF2}"/>
    <hyperlink ref="G567" r:id="rId165" display="109" xr:uid="{D81B10F8-6B34-4F6D-A71F-5169B856149C}"/>
    <hyperlink ref="G568" r:id="rId166" display="109" xr:uid="{3D047E77-8657-4D3A-B57F-5380FA457F95}"/>
    <hyperlink ref="G569" r:id="rId167" display="121" xr:uid="{37B1F187-D2B9-479A-98EC-69193F577F21}"/>
    <hyperlink ref="G570" r:id="rId168" display="121" xr:uid="{E1A62E66-AEE3-4E91-8CFE-66D5A6559490}"/>
    <hyperlink ref="G571" r:id="rId169" display="93" xr:uid="{E276D201-0371-451E-8F30-4C8A2DB1E2F4}"/>
    <hyperlink ref="G572" r:id="rId170" display="93" xr:uid="{DC6206C2-1C61-48A6-8401-67EC42385C04}"/>
    <hyperlink ref="G573" r:id="rId171" display="223" xr:uid="{C3774A06-A446-4BD7-AAA3-7EBE5A1C50C4}"/>
    <hyperlink ref="G574" r:id="rId172" display="223" xr:uid="{918C53FC-691B-4514-854D-310F0F555B7A}"/>
    <hyperlink ref="G576" r:id="rId173" display="706" xr:uid="{4A6E2EBB-5B92-40D8-B2F9-129B05B99F04}"/>
    <hyperlink ref="G578" r:id="rId174" display="458" xr:uid="{43E58184-3528-4F8A-BEC0-368B3AF2D99E}"/>
    <hyperlink ref="G591" r:id="rId175" display="69" xr:uid="{B1BB7356-61B2-4363-AE71-C66BAD4DB31A}"/>
    <hyperlink ref="G592" r:id="rId176" display="295" xr:uid="{821954F3-59CE-4E4B-9653-2AF536056D3E}"/>
    <hyperlink ref="G593" r:id="rId177" display="302" xr:uid="{A50E8BF8-80BA-4806-AD19-182052437221}"/>
    <hyperlink ref="G594" r:id="rId178" display="302" xr:uid="{F319701E-DF10-4B40-9353-57BBCB0FB6C6}"/>
  </hyperlinks>
  <pageMargins left="0.7" right="0.7" top="0.75" bottom="0.75" header="0.3" footer="0.3"/>
  <drawing r:id="rId17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45" activePane="bottomRight" state="frozen"/>
      <selection pane="bottomRight" activeCell="C54" sqref="C54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241</v>
      </c>
      <c r="C2" s="32" t="s">
        <v>242</v>
      </c>
      <c r="D2" s="32" t="s">
        <v>243</v>
      </c>
      <c r="E2" s="32" t="s">
        <v>1</v>
      </c>
      <c r="F2" s="32" t="s">
        <v>244</v>
      </c>
      <c r="G2" s="34" t="s">
        <v>245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1611</v>
      </c>
    </row>
    <row r="4" spans="2:10" ht="15">
      <c r="B4" s="44"/>
      <c r="C4" s="45"/>
      <c r="D4" s="45"/>
      <c r="E4" s="45"/>
      <c r="F4" s="45"/>
      <c r="G4" s="34">
        <f t="shared" si="0"/>
        <v>1611</v>
      </c>
      <c r="I4" t="s">
        <v>246</v>
      </c>
      <c r="J4">
        <f>SUMIFS(F3:F30143,D3:D30143, "*JAL国内線*")</f>
        <v>1095</v>
      </c>
    </row>
    <row r="5" spans="2:10" ht="15">
      <c r="B5" s="44"/>
      <c r="C5" s="45"/>
      <c r="D5" s="45"/>
      <c r="E5" s="45"/>
      <c r="F5" s="45"/>
      <c r="G5" s="34">
        <f t="shared" si="0"/>
        <v>1611</v>
      </c>
      <c r="I5" t="s">
        <v>247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1611</v>
      </c>
      <c r="I6" t="s">
        <v>248</v>
      </c>
      <c r="J6">
        <f>SUMIFS(F3:F30143,D3:D30143, "*JALカード*")</f>
        <v>130</v>
      </c>
    </row>
    <row r="7" spans="2:10" ht="15">
      <c r="B7" s="44"/>
      <c r="C7" s="45"/>
      <c r="D7" s="45"/>
      <c r="E7" s="45"/>
      <c r="F7" s="45"/>
      <c r="G7" s="34">
        <f t="shared" si="0"/>
        <v>1611</v>
      </c>
      <c r="I7" t="s">
        <v>249</v>
      </c>
      <c r="J7">
        <f>SUMIFS(F3:F30143,D3:D30143, "*JALモバイル*")</f>
        <v>9</v>
      </c>
    </row>
    <row r="8" spans="2:10" ht="15">
      <c r="B8" s="44"/>
      <c r="C8" s="45"/>
      <c r="D8" s="45"/>
      <c r="E8" s="45"/>
      <c r="F8" s="45"/>
      <c r="G8" s="34">
        <f t="shared" si="0"/>
        <v>1611</v>
      </c>
      <c r="I8" s="31" t="s">
        <v>250</v>
      </c>
      <c r="J8">
        <f>SUMIFS(F3:F30143,D3:D30143, "*JAL Wellness &amp; Travel*")</f>
        <v>9</v>
      </c>
    </row>
    <row r="9" spans="2:10" ht="15">
      <c r="B9" s="44"/>
      <c r="C9" s="45"/>
      <c r="D9" s="45"/>
      <c r="E9" s="45"/>
      <c r="F9" s="45"/>
      <c r="G9" s="34">
        <f t="shared" si="0"/>
        <v>1611</v>
      </c>
      <c r="I9" s="31" t="s">
        <v>251</v>
      </c>
      <c r="J9">
        <f>SUMIFS(F3:F30143,D3:D30143, "*JALマイレージパーク*")</f>
        <v>10</v>
      </c>
    </row>
    <row r="10" spans="2:10" ht="15">
      <c r="B10" s="44"/>
      <c r="C10" s="45"/>
      <c r="D10" s="45"/>
      <c r="E10" s="45"/>
      <c r="F10" s="45"/>
      <c r="G10" s="34">
        <f t="shared" si="0"/>
        <v>1611</v>
      </c>
      <c r="I10" s="31" t="s">
        <v>252</v>
      </c>
      <c r="J10">
        <f>SUMIFS(F3:F30143,D3:D30143, "*その他*")</f>
        <v>288</v>
      </c>
    </row>
    <row r="11" spans="2:10" ht="15">
      <c r="B11" s="44"/>
      <c r="C11" s="45"/>
      <c r="D11" s="45"/>
      <c r="E11" s="45"/>
      <c r="F11" s="45"/>
      <c r="G11" s="34">
        <f t="shared" si="0"/>
        <v>1611</v>
      </c>
      <c r="I11" s="31" t="s">
        <v>253</v>
      </c>
      <c r="J11">
        <f>SUM(J4:J10)</f>
        <v>1611</v>
      </c>
    </row>
    <row r="12" spans="2:10" ht="15">
      <c r="B12" s="44"/>
      <c r="C12" s="45"/>
      <c r="D12" s="45"/>
      <c r="E12" s="45"/>
      <c r="F12" s="45"/>
      <c r="G12" s="34">
        <f t="shared" si="0"/>
        <v>1611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1611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1611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1611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1611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1611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1611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1611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1611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1611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1611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1611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1611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1611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1611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1611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1611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1611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1611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1611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1611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1611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1611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1611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1611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1611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1611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1611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1611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1611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1611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1611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1611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1611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1611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1611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1611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1611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1611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1611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1611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1611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1611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1611</v>
      </c>
      <c r="I55" s="31"/>
    </row>
    <row r="56" spans="2:9" ht="15">
      <c r="B56" s="44"/>
      <c r="C56" s="45"/>
      <c r="D56" s="45"/>
      <c r="E56" s="45"/>
      <c r="F56" s="45"/>
      <c r="G56" s="34">
        <f t="shared" si="0"/>
        <v>1611</v>
      </c>
      <c r="I56" s="31"/>
    </row>
    <row r="57" spans="2:9" ht="15">
      <c r="B57" s="44"/>
      <c r="C57" s="45"/>
      <c r="D57" s="45"/>
      <c r="E57" s="45"/>
      <c r="F57" s="45"/>
      <c r="G57" s="34">
        <f t="shared" si="0"/>
        <v>1611</v>
      </c>
      <c r="I57" s="31"/>
    </row>
    <row r="58" spans="2:9" ht="15">
      <c r="B58" s="44"/>
      <c r="C58" s="45"/>
      <c r="D58" s="45"/>
      <c r="E58" s="45"/>
      <c r="F58" s="45"/>
      <c r="G58" s="34">
        <f t="shared" si="0"/>
        <v>1611</v>
      </c>
      <c r="I58" s="31"/>
    </row>
    <row r="59" spans="2:9" ht="17.25">
      <c r="B59" s="44">
        <v>46140</v>
      </c>
      <c r="C59" s="45" t="s">
        <v>254</v>
      </c>
      <c r="D59" s="45" t="s">
        <v>246</v>
      </c>
      <c r="E59" s="45" t="s">
        <v>255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254</v>
      </c>
      <c r="D60" s="45" t="s">
        <v>246</v>
      </c>
      <c r="E60" s="45" t="s">
        <v>255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256</v>
      </c>
      <c r="D61" s="45" t="s">
        <v>251</v>
      </c>
      <c r="E61" s="45" t="s">
        <v>257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256</v>
      </c>
      <c r="D62" s="45" t="s">
        <v>251</v>
      </c>
      <c r="E62" s="45" t="s">
        <v>257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254</v>
      </c>
      <c r="D63" s="45" t="s">
        <v>246</v>
      </c>
      <c r="E63" s="45" t="s">
        <v>255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256</v>
      </c>
      <c r="D64" s="45" t="s">
        <v>249</v>
      </c>
      <c r="E64" s="45" t="s">
        <v>249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254</v>
      </c>
      <c r="D65" s="45" t="s">
        <v>246</v>
      </c>
      <c r="E65" s="45" t="s">
        <v>255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256</v>
      </c>
      <c r="D66" s="45" t="s">
        <v>250</v>
      </c>
      <c r="E66" s="45" t="s">
        <v>258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254</v>
      </c>
      <c r="D67" s="45" t="s">
        <v>246</v>
      </c>
      <c r="E67" s="45" t="s">
        <v>255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254</v>
      </c>
      <c r="D68" s="45" t="s">
        <v>246</v>
      </c>
      <c r="E68" s="45" t="s">
        <v>255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256</v>
      </c>
      <c r="D69" s="45" t="s">
        <v>248</v>
      </c>
      <c r="E69" s="45" t="s">
        <v>259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254</v>
      </c>
      <c r="D70" s="45" t="s">
        <v>246</v>
      </c>
      <c r="E70" s="45" t="s">
        <v>255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254</v>
      </c>
      <c r="D71" s="45" t="s">
        <v>246</v>
      </c>
      <c r="E71" s="45" t="s">
        <v>255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254</v>
      </c>
      <c r="D72" s="45" t="s">
        <v>246</v>
      </c>
      <c r="E72" s="45" t="s">
        <v>255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256</v>
      </c>
      <c r="D73" s="45" t="s">
        <v>251</v>
      </c>
      <c r="E73" s="45" t="s">
        <v>257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252</v>
      </c>
      <c r="D74" s="45" t="s">
        <v>252</v>
      </c>
      <c r="E74" s="45" t="s">
        <v>260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254</v>
      </c>
      <c r="D75" s="45" t="s">
        <v>246</v>
      </c>
      <c r="E75" s="45" t="s">
        <v>255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254</v>
      </c>
      <c r="D76" s="45" t="s">
        <v>246</v>
      </c>
      <c r="E76" s="45" t="s">
        <v>255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252</v>
      </c>
      <c r="D77" s="45" t="s">
        <v>252</v>
      </c>
      <c r="E77" s="45" t="s">
        <v>261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256</v>
      </c>
      <c r="D78" s="45" t="s">
        <v>251</v>
      </c>
      <c r="E78" s="45" t="s">
        <v>257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256</v>
      </c>
      <c r="D79" s="45" t="s">
        <v>249</v>
      </c>
      <c r="E79" s="45" t="s">
        <v>249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256</v>
      </c>
      <c r="D80" s="45" t="s">
        <v>250</v>
      </c>
      <c r="E80" s="45" t="s">
        <v>258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254</v>
      </c>
      <c r="D81" s="45" t="s">
        <v>246</v>
      </c>
      <c r="E81" s="45" t="s">
        <v>255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256</v>
      </c>
      <c r="D82" s="45" t="s">
        <v>248</v>
      </c>
      <c r="E82" s="45" t="s">
        <v>259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254</v>
      </c>
      <c r="D83" s="45" t="s">
        <v>246</v>
      </c>
      <c r="E83" s="45" t="s">
        <v>255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254</v>
      </c>
      <c r="D84" s="45" t="s">
        <v>246</v>
      </c>
      <c r="E84" s="45" t="s">
        <v>255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254</v>
      </c>
      <c r="D85" s="45" t="s">
        <v>246</v>
      </c>
      <c r="E85" s="45" t="s">
        <v>255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254</v>
      </c>
      <c r="D86" s="45" t="s">
        <v>246</v>
      </c>
      <c r="E86" s="45" t="s">
        <v>255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256</v>
      </c>
      <c r="D87" s="45" t="s">
        <v>251</v>
      </c>
      <c r="E87" s="45" t="s">
        <v>257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256</v>
      </c>
      <c r="D88" s="45" t="s">
        <v>249</v>
      </c>
      <c r="E88" s="45" t="s">
        <v>249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256</v>
      </c>
      <c r="D89" s="45" t="s">
        <v>250</v>
      </c>
      <c r="E89" s="45" t="s">
        <v>258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254</v>
      </c>
      <c r="D90" s="45" t="s">
        <v>246</v>
      </c>
      <c r="E90" s="45" t="s">
        <v>255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254</v>
      </c>
      <c r="D91" s="45" t="s">
        <v>246</v>
      </c>
      <c r="E91" s="45" t="s">
        <v>255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256</v>
      </c>
      <c r="D92" s="45" t="s">
        <v>248</v>
      </c>
      <c r="E92" s="45" t="s">
        <v>259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254</v>
      </c>
      <c r="D93" s="45" t="s">
        <v>246</v>
      </c>
      <c r="E93" s="45" t="s">
        <v>255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254</v>
      </c>
      <c r="D94" s="45" t="s">
        <v>246</v>
      </c>
      <c r="E94" s="45" t="s">
        <v>255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254</v>
      </c>
      <c r="D95" s="45" t="s">
        <v>246</v>
      </c>
      <c r="E95" s="45" t="s">
        <v>255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254</v>
      </c>
      <c r="D96" s="45" t="s">
        <v>246</v>
      </c>
      <c r="E96" s="45" t="s">
        <v>255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254</v>
      </c>
      <c r="D97" s="45" t="s">
        <v>246</v>
      </c>
      <c r="E97" s="45" t="s">
        <v>255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254</v>
      </c>
      <c r="D98" s="45" t="s">
        <v>246</v>
      </c>
      <c r="E98" s="45" t="s">
        <v>255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254</v>
      </c>
      <c r="D99" s="45" t="s">
        <v>246</v>
      </c>
      <c r="E99" s="45" t="s">
        <v>255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252</v>
      </c>
      <c r="D100" s="45" t="s">
        <v>252</v>
      </c>
      <c r="E100" s="45" t="s">
        <v>262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254</v>
      </c>
      <c r="D101" s="45" t="s">
        <v>246</v>
      </c>
      <c r="E101" s="45" t="s">
        <v>255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254</v>
      </c>
      <c r="D102" s="45" t="s">
        <v>246</v>
      </c>
      <c r="E102" s="45" t="s">
        <v>255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254</v>
      </c>
      <c r="D103" s="45" t="s">
        <v>246</v>
      </c>
      <c r="E103" s="45" t="s">
        <v>255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254</v>
      </c>
      <c r="D104" s="45" t="s">
        <v>246</v>
      </c>
      <c r="E104" s="45" t="s">
        <v>255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256</v>
      </c>
      <c r="D105" s="45" t="s">
        <v>251</v>
      </c>
      <c r="E105" s="45" t="s">
        <v>257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254</v>
      </c>
      <c r="D106" s="45" t="s">
        <v>246</v>
      </c>
      <c r="E106" s="45" t="s">
        <v>255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256</v>
      </c>
      <c r="D107" s="45" t="s">
        <v>249</v>
      </c>
      <c r="E107" s="45" t="s">
        <v>249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254</v>
      </c>
      <c r="D108" s="45" t="s">
        <v>246</v>
      </c>
      <c r="E108" s="45" t="s">
        <v>255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254</v>
      </c>
      <c r="D109" s="45" t="s">
        <v>246</v>
      </c>
      <c r="E109" s="45" t="s">
        <v>255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256</v>
      </c>
      <c r="D110" s="45" t="s">
        <v>250</v>
      </c>
      <c r="E110" s="45" t="s">
        <v>258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254</v>
      </c>
      <c r="D111" s="45" t="s">
        <v>246</v>
      </c>
      <c r="E111" s="45" t="s">
        <v>255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254</v>
      </c>
      <c r="D112" s="45" t="s">
        <v>246</v>
      </c>
      <c r="E112" s="45" t="s">
        <v>255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256</v>
      </c>
      <c r="D113" s="45" t="s">
        <v>248</v>
      </c>
      <c r="E113" s="45" t="s">
        <v>259</v>
      </c>
      <c r="F113" s="45">
        <v>30</v>
      </c>
      <c r="G113" s="34">
        <f t="shared" si="0"/>
        <v>711</v>
      </c>
      <c r="J113">
        <f>SUM(J4:J11)</f>
        <v>3222</v>
      </c>
    </row>
    <row r="114" spans="2:10" ht="17.25">
      <c r="B114" s="44">
        <v>46033</v>
      </c>
      <c r="C114" s="45" t="s">
        <v>254</v>
      </c>
      <c r="D114" s="45" t="s">
        <v>246</v>
      </c>
      <c r="E114" s="45" t="s">
        <v>255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254</v>
      </c>
      <c r="D115" s="45" t="s">
        <v>246</v>
      </c>
      <c r="E115" s="45" t="s">
        <v>255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254</v>
      </c>
      <c r="D116" s="45" t="s">
        <v>246</v>
      </c>
      <c r="E116" s="45" t="s">
        <v>255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254</v>
      </c>
      <c r="D117" s="45" t="s">
        <v>246</v>
      </c>
      <c r="E117" s="45" t="s">
        <v>255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254</v>
      </c>
      <c r="D118" s="45" t="s">
        <v>246</v>
      </c>
      <c r="E118" s="45" t="s">
        <v>255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256</v>
      </c>
      <c r="D119" s="45" t="s">
        <v>251</v>
      </c>
      <c r="E119" s="45" t="s">
        <v>257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254</v>
      </c>
      <c r="D120" s="45" t="s">
        <v>246</v>
      </c>
      <c r="E120" s="45" t="s">
        <v>255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254</v>
      </c>
      <c r="D121" s="45" t="s">
        <v>246</v>
      </c>
      <c r="E121" s="45" t="s">
        <v>255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256</v>
      </c>
      <c r="D122" s="45" t="s">
        <v>249</v>
      </c>
      <c r="E122" s="45" t="s">
        <v>249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256</v>
      </c>
      <c r="D123" s="45" t="s">
        <v>250</v>
      </c>
      <c r="E123" s="45" t="s">
        <v>258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256</v>
      </c>
      <c r="D124" s="45" t="s">
        <v>248</v>
      </c>
      <c r="E124" s="45" t="s">
        <v>259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254</v>
      </c>
      <c r="D125" s="45" t="s">
        <v>246</v>
      </c>
      <c r="E125" s="45" t="s">
        <v>255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254</v>
      </c>
      <c r="D126" s="45" t="s">
        <v>246</v>
      </c>
      <c r="E126" s="45" t="s">
        <v>255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254</v>
      </c>
      <c r="D127" s="45" t="s">
        <v>246</v>
      </c>
      <c r="E127" s="45" t="s">
        <v>255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254</v>
      </c>
      <c r="D128" s="45" t="s">
        <v>246</v>
      </c>
      <c r="E128" s="45" t="s">
        <v>255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254</v>
      </c>
      <c r="D129" s="45" t="s">
        <v>246</v>
      </c>
      <c r="E129" s="45" t="s">
        <v>255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252</v>
      </c>
      <c r="D130" s="45" t="s">
        <v>252</v>
      </c>
      <c r="E130" s="45" t="s">
        <v>263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254</v>
      </c>
      <c r="D131" s="45" t="s">
        <v>246</v>
      </c>
      <c r="E131" s="45" t="s">
        <v>255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254</v>
      </c>
      <c r="D132" s="45" t="s">
        <v>246</v>
      </c>
      <c r="E132" s="45" t="s">
        <v>255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254</v>
      </c>
      <c r="D133" s="45" t="s">
        <v>246</v>
      </c>
      <c r="E133" s="45" t="s">
        <v>255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254</v>
      </c>
      <c r="D134" s="45" t="s">
        <v>246</v>
      </c>
      <c r="E134" s="45" t="s">
        <v>255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256</v>
      </c>
      <c r="D135" s="45" t="s">
        <v>251</v>
      </c>
      <c r="E135" s="45" t="s">
        <v>257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256</v>
      </c>
      <c r="D136" s="45" t="s">
        <v>249</v>
      </c>
      <c r="E136" s="45" t="s">
        <v>249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256</v>
      </c>
      <c r="D137" s="45" t="s">
        <v>250</v>
      </c>
      <c r="E137" s="45" t="s">
        <v>258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256</v>
      </c>
      <c r="D138" s="45" t="s">
        <v>248</v>
      </c>
      <c r="E138" s="45" t="s">
        <v>259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252</v>
      </c>
      <c r="D139" s="45" t="s">
        <v>252</v>
      </c>
      <c r="E139" s="45" t="s">
        <v>264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254</v>
      </c>
      <c r="D140" s="45" t="s">
        <v>246</v>
      </c>
      <c r="E140" s="45" t="s">
        <v>255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254</v>
      </c>
      <c r="D141" s="45" t="s">
        <v>246</v>
      </c>
      <c r="E141" s="45" t="s">
        <v>255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254</v>
      </c>
      <c r="D142" s="45" t="s">
        <v>246</v>
      </c>
      <c r="E142" s="45" t="s">
        <v>255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256</v>
      </c>
      <c r="D143" s="45" t="s">
        <v>251</v>
      </c>
      <c r="E143" s="45" t="s">
        <v>257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254</v>
      </c>
      <c r="D144" s="45" t="s">
        <v>246</v>
      </c>
      <c r="E144" s="45" t="s">
        <v>255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256</v>
      </c>
      <c r="D145" s="45" t="s">
        <v>249</v>
      </c>
      <c r="E145" s="45" t="s">
        <v>249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256</v>
      </c>
      <c r="D146" s="45" t="s">
        <v>250</v>
      </c>
      <c r="E146" s="45" t="s">
        <v>258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254</v>
      </c>
      <c r="D147" s="45" t="s">
        <v>246</v>
      </c>
      <c r="E147" s="45" t="s">
        <v>255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256</v>
      </c>
      <c r="D148" s="45" t="s">
        <v>248</v>
      </c>
      <c r="E148" s="45" t="s">
        <v>259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254</v>
      </c>
      <c r="D149" s="45" t="s">
        <v>246</v>
      </c>
      <c r="E149" s="45" t="s">
        <v>255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254</v>
      </c>
      <c r="D150" s="45" t="s">
        <v>246</v>
      </c>
      <c r="E150" s="45" t="s">
        <v>255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254</v>
      </c>
      <c r="D151" s="45" t="s">
        <v>246</v>
      </c>
      <c r="E151" s="45" t="s">
        <v>255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254</v>
      </c>
      <c r="D152" s="45" t="s">
        <v>246</v>
      </c>
      <c r="E152" s="45" t="s">
        <v>255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254</v>
      </c>
      <c r="D153" s="45" t="s">
        <v>246</v>
      </c>
      <c r="E153" s="45" t="s">
        <v>255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254</v>
      </c>
      <c r="D154" s="45" t="s">
        <v>246</v>
      </c>
      <c r="E154" s="45" t="s">
        <v>255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254</v>
      </c>
      <c r="D155" s="45" t="s">
        <v>246</v>
      </c>
      <c r="E155" s="45" t="s">
        <v>255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254</v>
      </c>
      <c r="D156" s="45" t="s">
        <v>246</v>
      </c>
      <c r="E156" s="45" t="s">
        <v>255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254</v>
      </c>
      <c r="D157" s="45" t="s">
        <v>246</v>
      </c>
      <c r="E157" s="45" t="s">
        <v>255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256</v>
      </c>
      <c r="D158" s="45" t="s">
        <v>249</v>
      </c>
      <c r="E158" s="45" t="s">
        <v>249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256</v>
      </c>
      <c r="D159" s="45" t="s">
        <v>250</v>
      </c>
      <c r="E159" s="45" t="s">
        <v>258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256</v>
      </c>
      <c r="D160" s="45" t="s">
        <v>248</v>
      </c>
      <c r="E160" s="45" t="s">
        <v>259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254</v>
      </c>
      <c r="D161" s="45" t="s">
        <v>246</v>
      </c>
      <c r="E161" s="45" t="s">
        <v>255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254</v>
      </c>
      <c r="D162" s="45" t="s">
        <v>246</v>
      </c>
      <c r="E162" s="45" t="s">
        <v>255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254</v>
      </c>
      <c r="D163" s="45" t="s">
        <v>246</v>
      </c>
      <c r="E163" s="45" t="s">
        <v>255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254</v>
      </c>
      <c r="D164" s="45" t="s">
        <v>246</v>
      </c>
      <c r="E164" s="45" t="s">
        <v>255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256</v>
      </c>
      <c r="D165" s="45" t="s">
        <v>249</v>
      </c>
      <c r="E165" s="45" t="s">
        <v>249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256</v>
      </c>
      <c r="D166" s="45" t="s">
        <v>250</v>
      </c>
      <c r="E166" s="45" t="s">
        <v>258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254</v>
      </c>
      <c r="D167" s="45" t="s">
        <v>246</v>
      </c>
      <c r="E167" s="45" t="s">
        <v>255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254</v>
      </c>
      <c r="D168" s="33" t="s">
        <v>246</v>
      </c>
      <c r="E168" s="33" t="s">
        <v>255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254</v>
      </c>
      <c r="D169" s="33" t="s">
        <v>246</v>
      </c>
      <c r="E169" s="33" t="s">
        <v>255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254</v>
      </c>
      <c r="D170" s="33" t="s">
        <v>246</v>
      </c>
      <c r="E170" s="33" t="s">
        <v>255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254</v>
      </c>
      <c r="D171" s="33" t="s">
        <v>246</v>
      </c>
      <c r="E171" s="33" t="s">
        <v>255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254</v>
      </c>
      <c r="D172" s="33" t="s">
        <v>246</v>
      </c>
      <c r="E172" s="33" t="s">
        <v>255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254</v>
      </c>
      <c r="D173" s="33" t="s">
        <v>246</v>
      </c>
      <c r="E173" s="33" t="s">
        <v>255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254</v>
      </c>
      <c r="D174" s="33" t="s">
        <v>246</v>
      </c>
      <c r="E174" s="33" t="s">
        <v>255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254</v>
      </c>
      <c r="D175" s="33" t="s">
        <v>246</v>
      </c>
      <c r="E175" s="33" t="s">
        <v>255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254</v>
      </c>
      <c r="D176" s="33" t="s">
        <v>246</v>
      </c>
      <c r="E176" s="33" t="s">
        <v>255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254</v>
      </c>
      <c r="D177" s="33" t="s">
        <v>246</v>
      </c>
      <c r="E177" s="33" t="s">
        <v>255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254</v>
      </c>
      <c r="D178" s="33" t="s">
        <v>246</v>
      </c>
      <c r="E178" s="33" t="s">
        <v>255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254</v>
      </c>
      <c r="D179" s="33" t="s">
        <v>246</v>
      </c>
      <c r="E179" s="33" t="s">
        <v>255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254</v>
      </c>
      <c r="D180" s="33" t="s">
        <v>246</v>
      </c>
      <c r="E180" s="33" t="s">
        <v>255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254</v>
      </c>
      <c r="D181" s="33" t="s">
        <v>246</v>
      </c>
      <c r="E181" s="33" t="s">
        <v>255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254</v>
      </c>
      <c r="D182" s="33" t="s">
        <v>246</v>
      </c>
      <c r="E182" s="33" t="s">
        <v>255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254</v>
      </c>
      <c r="D183" s="33" t="s">
        <v>246</v>
      </c>
      <c r="E183" s="33" t="s">
        <v>255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254</v>
      </c>
      <c r="D184" s="33" t="s">
        <v>246</v>
      </c>
      <c r="E184" s="33" t="s">
        <v>255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254</v>
      </c>
      <c r="D185" s="33" t="s">
        <v>246</v>
      </c>
      <c r="E185" s="33" t="s">
        <v>255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254</v>
      </c>
      <c r="D186" s="33" t="s">
        <v>246</v>
      </c>
      <c r="E186" s="33" t="s">
        <v>255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254</v>
      </c>
      <c r="D187" s="33" t="s">
        <v>246</v>
      </c>
      <c r="E187" s="33" t="s">
        <v>255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254</v>
      </c>
      <c r="D188" s="33" t="s">
        <v>265</v>
      </c>
      <c r="E188" s="33" t="s">
        <v>266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254</v>
      </c>
      <c r="D189" s="33" t="s">
        <v>265</v>
      </c>
      <c r="E189" s="33" t="s">
        <v>266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254</v>
      </c>
      <c r="D190" s="33" t="s">
        <v>265</v>
      </c>
      <c r="E190" s="33" t="s">
        <v>266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254</v>
      </c>
      <c r="D191" s="68" t="s">
        <v>246</v>
      </c>
      <c r="E191" s="68" t="s">
        <v>255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workbookViewId="0">
      <selection activeCell="L200" sqref="L200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267</v>
      </c>
      <c r="B1" s="17" t="s">
        <v>0</v>
      </c>
      <c r="C1" s="17" t="s">
        <v>268</v>
      </c>
      <c r="D1" s="17" t="s">
        <v>269</v>
      </c>
      <c r="E1" s="17" t="s">
        <v>270</v>
      </c>
      <c r="F1" s="17" t="s">
        <v>271</v>
      </c>
      <c r="G1" s="17" t="s">
        <v>272</v>
      </c>
      <c r="H1" s="17" t="s">
        <v>273</v>
      </c>
      <c r="I1" s="18" t="s">
        <v>274</v>
      </c>
      <c r="J1" s="18" t="s">
        <v>275</v>
      </c>
      <c r="K1" s="18" t="s">
        <v>276</v>
      </c>
      <c r="L1" s="18" t="s">
        <v>277</v>
      </c>
      <c r="M1" s="17" t="s">
        <v>278</v>
      </c>
    </row>
    <row r="2" spans="1:13" hidden="1">
      <c r="A2" s="14">
        <v>1</v>
      </c>
      <c r="B2" s="43">
        <v>45926</v>
      </c>
      <c r="C2" s="12" t="s">
        <v>279</v>
      </c>
      <c r="D2" s="12">
        <v>305</v>
      </c>
      <c r="E2" s="12" t="s">
        <v>280</v>
      </c>
      <c r="F2" s="13">
        <v>0.30208333333333331</v>
      </c>
      <c r="G2" s="12" t="s">
        <v>281</v>
      </c>
      <c r="H2" s="13">
        <v>0.375</v>
      </c>
      <c r="I2" s="15" t="s">
        <v>282</v>
      </c>
      <c r="J2" s="15"/>
      <c r="K2" s="22">
        <v>13320</v>
      </c>
      <c r="L2" s="15" t="s">
        <v>283</v>
      </c>
      <c r="M2" s="63"/>
    </row>
    <row r="3" spans="1:13" hidden="1">
      <c r="A3" s="14">
        <v>2</v>
      </c>
      <c r="B3" s="42">
        <v>45926</v>
      </c>
      <c r="C3" s="12" t="s">
        <v>284</v>
      </c>
      <c r="D3" s="12">
        <v>3563</v>
      </c>
      <c r="E3" s="12" t="s">
        <v>281</v>
      </c>
      <c r="F3" s="13">
        <v>0.41319444444444442</v>
      </c>
      <c r="G3" s="12" t="s">
        <v>285</v>
      </c>
      <c r="H3" s="13">
        <v>0.4548611111111111</v>
      </c>
      <c r="I3" s="15" t="s">
        <v>286</v>
      </c>
      <c r="J3" s="15"/>
      <c r="K3" s="22">
        <v>12963</v>
      </c>
      <c r="L3" s="15" t="s">
        <v>283</v>
      </c>
      <c r="M3" s="15"/>
    </row>
    <row r="4" spans="1:13" hidden="1">
      <c r="A4" s="14">
        <v>3</v>
      </c>
      <c r="B4" s="42">
        <v>45926</v>
      </c>
      <c r="C4" s="12" t="s">
        <v>284</v>
      </c>
      <c r="D4" s="12">
        <v>3564</v>
      </c>
      <c r="E4" s="12" t="s">
        <v>285</v>
      </c>
      <c r="F4" s="13">
        <v>0.47916666666666669</v>
      </c>
      <c r="G4" s="12" t="s">
        <v>281</v>
      </c>
      <c r="H4" s="13">
        <v>0.52430555555555558</v>
      </c>
      <c r="I4" s="15" t="s">
        <v>287</v>
      </c>
      <c r="J4" s="15"/>
      <c r="K4" s="22">
        <v>12963</v>
      </c>
      <c r="L4" s="15" t="s">
        <v>283</v>
      </c>
      <c r="M4" s="15"/>
    </row>
    <row r="5" spans="1:13" hidden="1">
      <c r="A5" s="14">
        <v>4</v>
      </c>
      <c r="B5" s="42">
        <v>45926</v>
      </c>
      <c r="C5" s="12" t="s">
        <v>284</v>
      </c>
      <c r="D5" s="12">
        <v>3629</v>
      </c>
      <c r="E5" s="12" t="s">
        <v>281</v>
      </c>
      <c r="F5" s="13">
        <v>0.54861111111111116</v>
      </c>
      <c r="G5" s="12" t="s">
        <v>288</v>
      </c>
      <c r="H5" s="13">
        <v>0.57986111111111116</v>
      </c>
      <c r="I5" s="15" t="s">
        <v>287</v>
      </c>
      <c r="J5" s="15"/>
      <c r="K5" s="22">
        <v>6171</v>
      </c>
      <c r="L5" s="15" t="s">
        <v>283</v>
      </c>
      <c r="M5" s="15"/>
    </row>
    <row r="6" spans="1:13" hidden="1">
      <c r="A6" s="14">
        <v>5</v>
      </c>
      <c r="B6" s="42">
        <v>45926</v>
      </c>
      <c r="C6" s="12" t="s">
        <v>284</v>
      </c>
      <c r="D6" s="12">
        <v>3630</v>
      </c>
      <c r="E6" s="12" t="s">
        <v>288</v>
      </c>
      <c r="F6" s="13">
        <v>0.60069444444444442</v>
      </c>
      <c r="G6" s="12" t="s">
        <v>281</v>
      </c>
      <c r="H6" s="13">
        <v>0.63541666666666663</v>
      </c>
      <c r="I6" s="15" t="s">
        <v>289</v>
      </c>
      <c r="J6" s="15"/>
      <c r="K6" s="22">
        <v>9410</v>
      </c>
      <c r="L6" s="15" t="s">
        <v>283</v>
      </c>
      <c r="M6" s="15"/>
    </row>
    <row r="7" spans="1:13" hidden="1">
      <c r="A7" s="14">
        <v>6</v>
      </c>
      <c r="B7" s="42">
        <v>45926</v>
      </c>
      <c r="C7" s="12" t="s">
        <v>290</v>
      </c>
      <c r="D7" s="23">
        <v>61</v>
      </c>
      <c r="E7" s="12" t="s">
        <v>281</v>
      </c>
      <c r="F7" s="13">
        <v>0.66319444444444442</v>
      </c>
      <c r="G7" s="12" t="s">
        <v>291</v>
      </c>
      <c r="H7" s="13">
        <v>0.73263888888888884</v>
      </c>
      <c r="I7" s="15" t="s">
        <v>292</v>
      </c>
      <c r="J7" s="15"/>
      <c r="K7" s="22">
        <v>10591</v>
      </c>
      <c r="L7" s="15" t="s">
        <v>283</v>
      </c>
      <c r="M7" s="15"/>
    </row>
    <row r="8" spans="1:13" hidden="1">
      <c r="A8" s="14">
        <v>7</v>
      </c>
      <c r="B8" s="42">
        <v>45926</v>
      </c>
      <c r="C8" s="12" t="s">
        <v>290</v>
      </c>
      <c r="D8" s="23">
        <v>60</v>
      </c>
      <c r="E8" s="12" t="s">
        <v>291</v>
      </c>
      <c r="F8" s="13">
        <v>0.76736111111111116</v>
      </c>
      <c r="G8" s="12" t="s">
        <v>281</v>
      </c>
      <c r="H8" s="13">
        <v>0.84027777777777779</v>
      </c>
      <c r="I8" s="15" t="s">
        <v>293</v>
      </c>
      <c r="J8" s="15"/>
      <c r="K8" s="22">
        <v>16965</v>
      </c>
      <c r="L8" s="15" t="s">
        <v>283</v>
      </c>
      <c r="M8" s="15"/>
    </row>
    <row r="9" spans="1:13" hidden="1">
      <c r="A9" s="14">
        <v>8</v>
      </c>
      <c r="B9" s="42">
        <v>45927</v>
      </c>
      <c r="C9" s="12" t="s">
        <v>290</v>
      </c>
      <c r="D9" s="12">
        <v>51</v>
      </c>
      <c r="E9" s="12" t="s">
        <v>281</v>
      </c>
      <c r="F9" s="13">
        <v>0.30208333333333331</v>
      </c>
      <c r="G9" s="12" t="s">
        <v>291</v>
      </c>
      <c r="H9" s="13">
        <v>0.36805555555555558</v>
      </c>
      <c r="I9" s="15" t="s">
        <v>282</v>
      </c>
      <c r="J9" s="15"/>
      <c r="K9" s="22">
        <v>16965</v>
      </c>
      <c r="L9" s="15" t="s">
        <v>283</v>
      </c>
      <c r="M9" s="15"/>
    </row>
    <row r="10" spans="1:13" hidden="1">
      <c r="A10" s="14">
        <v>9</v>
      </c>
      <c r="B10" s="42">
        <v>45927</v>
      </c>
      <c r="C10" s="12" t="s">
        <v>290</v>
      </c>
      <c r="D10" s="12">
        <v>605</v>
      </c>
      <c r="E10" s="12" t="s">
        <v>291</v>
      </c>
      <c r="F10" s="13">
        <v>0.39930555555555558</v>
      </c>
      <c r="G10" s="12" t="s">
        <v>294</v>
      </c>
      <c r="H10" s="13">
        <v>0.44097222222222221</v>
      </c>
      <c r="I10" s="15" t="s">
        <v>292</v>
      </c>
      <c r="J10" s="15"/>
      <c r="K10" s="22">
        <v>6180</v>
      </c>
      <c r="L10" s="15" t="s">
        <v>283</v>
      </c>
      <c r="M10" s="15"/>
    </row>
    <row r="11" spans="1:13" hidden="1">
      <c r="A11" s="14">
        <v>10</v>
      </c>
      <c r="B11" s="42">
        <v>45927</v>
      </c>
      <c r="C11" s="12" t="s">
        <v>295</v>
      </c>
      <c r="D11" s="12">
        <v>743</v>
      </c>
      <c r="E11" s="12" t="s">
        <v>294</v>
      </c>
      <c r="F11" s="13">
        <v>0.52430555555555558</v>
      </c>
      <c r="G11" s="12" t="s">
        <v>296</v>
      </c>
      <c r="H11" s="13">
        <v>0.54513888888888884</v>
      </c>
      <c r="I11" s="15" t="s">
        <v>297</v>
      </c>
      <c r="J11" s="15"/>
      <c r="K11" s="22">
        <v>6583</v>
      </c>
      <c r="L11" s="15" t="s">
        <v>283</v>
      </c>
      <c r="M11" s="15"/>
    </row>
    <row r="12" spans="1:13" hidden="1">
      <c r="A12" s="14">
        <v>11</v>
      </c>
      <c r="B12" s="42">
        <v>45927</v>
      </c>
      <c r="C12" s="12" t="s">
        <v>295</v>
      </c>
      <c r="D12" s="12">
        <v>744</v>
      </c>
      <c r="E12" s="12" t="s">
        <v>296</v>
      </c>
      <c r="F12" s="13">
        <v>0.56597222222222221</v>
      </c>
      <c r="G12" s="12" t="s">
        <v>294</v>
      </c>
      <c r="H12" s="13">
        <v>0.58680555555555558</v>
      </c>
      <c r="I12" s="15" t="s">
        <v>289</v>
      </c>
      <c r="J12" s="15"/>
      <c r="K12" s="22">
        <v>6583</v>
      </c>
      <c r="L12" s="15" t="s">
        <v>283</v>
      </c>
      <c r="M12" s="15"/>
    </row>
    <row r="13" spans="1:13" hidden="1">
      <c r="A13" s="14">
        <v>12</v>
      </c>
      <c r="B13" s="42">
        <v>45927</v>
      </c>
      <c r="C13" s="12" t="s">
        <v>295</v>
      </c>
      <c r="D13" s="12">
        <v>834</v>
      </c>
      <c r="E13" s="12" t="s">
        <v>294</v>
      </c>
      <c r="F13" s="13">
        <v>0.61111111111111116</v>
      </c>
      <c r="G13" s="12" t="s">
        <v>298</v>
      </c>
      <c r="H13" s="13">
        <v>0.63194444444444442</v>
      </c>
      <c r="I13" s="15" t="s">
        <v>287</v>
      </c>
      <c r="J13" s="15"/>
      <c r="K13" s="22">
        <v>9020</v>
      </c>
      <c r="L13" s="15" t="s">
        <v>283</v>
      </c>
      <c r="M13" s="15"/>
    </row>
    <row r="14" spans="1:13" hidden="1">
      <c r="A14" s="14">
        <v>13</v>
      </c>
      <c r="B14" s="42">
        <v>45927</v>
      </c>
      <c r="C14" s="12" t="s">
        <v>295</v>
      </c>
      <c r="D14" s="12">
        <v>897</v>
      </c>
      <c r="E14" s="12" t="s">
        <v>298</v>
      </c>
      <c r="F14" s="13">
        <v>0.65277777777777779</v>
      </c>
      <c r="G14" s="12" t="s">
        <v>299</v>
      </c>
      <c r="H14" s="13">
        <v>0.67013888888888884</v>
      </c>
      <c r="I14" s="15" t="s">
        <v>289</v>
      </c>
      <c r="J14" s="15"/>
      <c r="K14" s="22">
        <v>5434</v>
      </c>
      <c r="L14" s="15" t="s">
        <v>283</v>
      </c>
      <c r="M14" s="15"/>
    </row>
    <row r="15" spans="1:13" hidden="1">
      <c r="A15" s="14">
        <v>14</v>
      </c>
      <c r="B15" s="42">
        <v>45927</v>
      </c>
      <c r="C15" s="12" t="s">
        <v>295</v>
      </c>
      <c r="D15" s="12">
        <v>898</v>
      </c>
      <c r="E15" s="12" t="s">
        <v>299</v>
      </c>
      <c r="F15" s="13">
        <v>0.69444444444444442</v>
      </c>
      <c r="G15" s="12" t="s">
        <v>298</v>
      </c>
      <c r="H15" s="13">
        <v>0.71180555555555558</v>
      </c>
      <c r="I15" s="15" t="s">
        <v>287</v>
      </c>
      <c r="J15" s="15"/>
      <c r="K15" s="22">
        <v>5434</v>
      </c>
      <c r="L15" s="15" t="s">
        <v>283</v>
      </c>
      <c r="M15" s="15"/>
    </row>
    <row r="16" spans="1:13" hidden="1">
      <c r="A16" s="14">
        <v>15</v>
      </c>
      <c r="B16" s="42">
        <v>45927</v>
      </c>
      <c r="C16" s="12" t="s">
        <v>290</v>
      </c>
      <c r="D16" s="12">
        <v>566</v>
      </c>
      <c r="E16" s="12" t="s">
        <v>298</v>
      </c>
      <c r="F16" s="13">
        <v>0.74652777777777779</v>
      </c>
      <c r="G16" s="12" t="s">
        <v>291</v>
      </c>
      <c r="H16" s="13">
        <v>0.78472222222222221</v>
      </c>
      <c r="I16" s="15" t="s">
        <v>287</v>
      </c>
      <c r="J16" s="15"/>
      <c r="K16" s="22">
        <v>6290</v>
      </c>
      <c r="L16" s="15" t="s">
        <v>283</v>
      </c>
      <c r="M16" s="15"/>
    </row>
    <row r="17" spans="1:13" hidden="1">
      <c r="A17" s="14">
        <v>16</v>
      </c>
      <c r="B17" s="42">
        <v>45927</v>
      </c>
      <c r="C17" s="12" t="s">
        <v>290</v>
      </c>
      <c r="D17" s="12">
        <v>62</v>
      </c>
      <c r="E17" s="12" t="s">
        <v>291</v>
      </c>
      <c r="F17" s="13">
        <v>0.81597222222222221</v>
      </c>
      <c r="G17" s="12" t="s">
        <v>281</v>
      </c>
      <c r="H17" s="13">
        <v>0.89236111111111116</v>
      </c>
      <c r="I17" s="15" t="s">
        <v>300</v>
      </c>
      <c r="J17" s="15"/>
      <c r="K17" s="22">
        <v>10591</v>
      </c>
      <c r="L17" s="15" t="s">
        <v>283</v>
      </c>
      <c r="M17" s="15"/>
    </row>
    <row r="18" spans="1:13" hidden="1">
      <c r="A18" s="14">
        <v>17</v>
      </c>
      <c r="B18" s="43">
        <v>45928</v>
      </c>
      <c r="C18" s="12" t="s">
        <v>284</v>
      </c>
      <c r="D18" s="12">
        <v>3681</v>
      </c>
      <c r="E18" s="12" t="s">
        <v>281</v>
      </c>
      <c r="F18" s="13">
        <v>0.2951388888888889</v>
      </c>
      <c r="G18" s="12" t="s">
        <v>301</v>
      </c>
      <c r="H18" s="13">
        <v>0.34375</v>
      </c>
      <c r="I18" s="15" t="s">
        <v>282</v>
      </c>
      <c r="J18" s="15"/>
      <c r="K18" s="22">
        <v>13860</v>
      </c>
      <c r="L18" s="15" t="s">
        <v>283</v>
      </c>
      <c r="M18" s="15"/>
    </row>
    <row r="19" spans="1:13" hidden="1">
      <c r="A19" s="14">
        <v>18</v>
      </c>
      <c r="B19" s="42">
        <v>45928</v>
      </c>
      <c r="C19" s="12" t="s">
        <v>302</v>
      </c>
      <c r="D19" s="12">
        <v>3831</v>
      </c>
      <c r="E19" s="12" t="s">
        <v>301</v>
      </c>
      <c r="F19" s="13">
        <v>0.3923611111111111</v>
      </c>
      <c r="G19" s="12" t="s">
        <v>303</v>
      </c>
      <c r="H19" s="13">
        <v>0.40625</v>
      </c>
      <c r="I19" s="15" t="s">
        <v>304</v>
      </c>
      <c r="J19" s="15"/>
      <c r="K19" s="22">
        <v>5989</v>
      </c>
      <c r="L19" s="15" t="s">
        <v>283</v>
      </c>
      <c r="M19" s="15"/>
    </row>
    <row r="20" spans="1:13" hidden="1">
      <c r="A20" s="14">
        <v>19</v>
      </c>
      <c r="B20" s="42">
        <v>45928</v>
      </c>
      <c r="C20" s="12" t="s">
        <v>302</v>
      </c>
      <c r="D20" s="12">
        <v>3830</v>
      </c>
      <c r="E20" s="12" t="s">
        <v>303</v>
      </c>
      <c r="F20" s="13">
        <v>0.42708333333333331</v>
      </c>
      <c r="G20" s="12" t="s">
        <v>301</v>
      </c>
      <c r="H20" s="13">
        <v>0.44097222222222221</v>
      </c>
      <c r="I20" s="15" t="s">
        <v>289</v>
      </c>
      <c r="J20" s="15"/>
      <c r="K20" s="22">
        <v>5989</v>
      </c>
      <c r="L20" s="15" t="s">
        <v>283</v>
      </c>
      <c r="M20" s="15"/>
    </row>
    <row r="21" spans="1:13" hidden="1">
      <c r="A21" s="14">
        <v>20</v>
      </c>
      <c r="B21" s="42">
        <v>45928</v>
      </c>
      <c r="C21" s="12" t="s">
        <v>302</v>
      </c>
      <c r="D21" s="12">
        <v>3841</v>
      </c>
      <c r="E21" s="12" t="s">
        <v>301</v>
      </c>
      <c r="F21" s="13">
        <v>0.4548611111111111</v>
      </c>
      <c r="G21" s="12" t="s">
        <v>305</v>
      </c>
      <c r="H21" s="13">
        <v>0.47916666666666669</v>
      </c>
      <c r="I21" s="15" t="s">
        <v>306</v>
      </c>
      <c r="J21" s="15"/>
      <c r="K21" s="22">
        <v>10450</v>
      </c>
      <c r="L21" s="15" t="s">
        <v>283</v>
      </c>
      <c r="M21" s="15"/>
    </row>
    <row r="22" spans="1:13" hidden="1">
      <c r="A22" s="14">
        <v>21</v>
      </c>
      <c r="B22" s="42">
        <v>45928</v>
      </c>
      <c r="C22" s="12" t="s">
        <v>302</v>
      </c>
      <c r="D22" s="12">
        <v>3711</v>
      </c>
      <c r="E22" s="12" t="s">
        <v>305</v>
      </c>
      <c r="F22" s="13">
        <v>0.5</v>
      </c>
      <c r="G22" s="12" t="s">
        <v>307</v>
      </c>
      <c r="H22" s="13">
        <v>0.51736111111111116</v>
      </c>
      <c r="I22" s="15" t="s">
        <v>287</v>
      </c>
      <c r="J22" s="15"/>
      <c r="K22" s="22">
        <v>8580</v>
      </c>
      <c r="L22" s="15" t="s">
        <v>283</v>
      </c>
      <c r="M22" s="15"/>
    </row>
    <row r="23" spans="1:13" hidden="1">
      <c r="A23" s="14">
        <v>22</v>
      </c>
      <c r="B23" s="42">
        <v>45928</v>
      </c>
      <c r="C23" s="12" t="s">
        <v>302</v>
      </c>
      <c r="D23" s="12">
        <v>3716</v>
      </c>
      <c r="E23" s="12" t="s">
        <v>307</v>
      </c>
      <c r="F23" s="13">
        <v>0.53819444444444442</v>
      </c>
      <c r="G23" s="12" t="s">
        <v>291</v>
      </c>
      <c r="H23" s="13">
        <v>0.57291666666666663</v>
      </c>
      <c r="I23" s="15" t="s">
        <v>287</v>
      </c>
      <c r="J23" s="15"/>
      <c r="K23" s="22">
        <v>15310</v>
      </c>
      <c r="L23" s="15" t="s">
        <v>283</v>
      </c>
      <c r="M23" s="15"/>
    </row>
    <row r="24" spans="1:13" hidden="1">
      <c r="A24" s="14">
        <v>23</v>
      </c>
      <c r="B24" s="42">
        <v>45928</v>
      </c>
      <c r="C24" s="12" t="s">
        <v>290</v>
      </c>
      <c r="D24" s="12">
        <v>617</v>
      </c>
      <c r="E24" s="12" t="s">
        <v>291</v>
      </c>
      <c r="F24" s="13">
        <v>0.61458333333333337</v>
      </c>
      <c r="G24" s="12" t="s">
        <v>294</v>
      </c>
      <c r="H24" s="13">
        <v>0.65972222222222221</v>
      </c>
      <c r="I24" s="15" t="s">
        <v>293</v>
      </c>
      <c r="J24" s="15"/>
      <c r="K24" s="22">
        <v>5883</v>
      </c>
      <c r="L24" s="15" t="s">
        <v>283</v>
      </c>
      <c r="M24" s="15"/>
    </row>
    <row r="25" spans="1:13" hidden="1">
      <c r="A25" s="14">
        <v>24</v>
      </c>
      <c r="B25" s="42">
        <v>45928</v>
      </c>
      <c r="C25" s="12" t="s">
        <v>290</v>
      </c>
      <c r="D25" s="12">
        <v>622</v>
      </c>
      <c r="E25" s="12" t="s">
        <v>294</v>
      </c>
      <c r="F25" s="13">
        <v>0.68402777777777779</v>
      </c>
      <c r="G25" s="12" t="s">
        <v>291</v>
      </c>
      <c r="H25" s="13">
        <v>0.72569444444444442</v>
      </c>
      <c r="I25" s="15" t="s">
        <v>292</v>
      </c>
      <c r="J25" s="15"/>
      <c r="K25" s="22">
        <v>5883</v>
      </c>
      <c r="L25" s="15" t="s">
        <v>283</v>
      </c>
      <c r="M25" s="15"/>
    </row>
    <row r="26" spans="1:13" hidden="1">
      <c r="A26" s="14">
        <v>25</v>
      </c>
      <c r="B26" s="42">
        <v>45928</v>
      </c>
      <c r="C26" s="12" t="s">
        <v>279</v>
      </c>
      <c r="D26" s="12">
        <v>918</v>
      </c>
      <c r="E26" s="12" t="s">
        <v>291</v>
      </c>
      <c r="F26" s="13">
        <v>0.78472222222222221</v>
      </c>
      <c r="G26" s="12" t="s">
        <v>280</v>
      </c>
      <c r="H26" s="13">
        <v>0.88888888888888884</v>
      </c>
      <c r="I26" s="15" t="s">
        <v>308</v>
      </c>
      <c r="J26" s="15"/>
      <c r="K26" s="22">
        <v>22580</v>
      </c>
      <c r="L26" s="15" t="s">
        <v>283</v>
      </c>
      <c r="M26" s="15"/>
    </row>
    <row r="27" spans="1:13" hidden="1">
      <c r="A27" s="14">
        <v>26</v>
      </c>
      <c r="B27" s="42">
        <v>45934</v>
      </c>
      <c r="C27" s="12" t="s">
        <v>279</v>
      </c>
      <c r="D27" s="12">
        <v>333</v>
      </c>
      <c r="E27" s="12" t="s">
        <v>280</v>
      </c>
      <c r="F27" s="13">
        <v>0.80208333333333337</v>
      </c>
      <c r="G27" s="12" t="s">
        <v>281</v>
      </c>
      <c r="H27" s="13">
        <v>0.88194444444444442</v>
      </c>
      <c r="I27" s="15"/>
      <c r="J27" s="15"/>
      <c r="K27" s="22">
        <v>13320</v>
      </c>
      <c r="L27" s="15" t="s">
        <v>283</v>
      </c>
      <c r="M27" s="15"/>
    </row>
    <row r="28" spans="1:13" hidden="1">
      <c r="A28" s="14">
        <v>27</v>
      </c>
      <c r="B28" s="42">
        <v>45935</v>
      </c>
      <c r="C28" s="12" t="s">
        <v>290</v>
      </c>
      <c r="D28" s="12">
        <v>51</v>
      </c>
      <c r="E28" s="12" t="s">
        <v>281</v>
      </c>
      <c r="F28" s="13">
        <v>0.30208333333333331</v>
      </c>
      <c r="G28" s="12" t="s">
        <v>291</v>
      </c>
      <c r="H28" s="13">
        <v>0.37152777777777779</v>
      </c>
      <c r="I28" s="26" t="s">
        <v>282</v>
      </c>
      <c r="J28" s="15"/>
      <c r="K28" s="22">
        <v>11130</v>
      </c>
      <c r="L28" s="15" t="s">
        <v>283</v>
      </c>
      <c r="M28" s="15"/>
    </row>
    <row r="29" spans="1:13" hidden="1">
      <c r="A29" s="14">
        <v>28</v>
      </c>
      <c r="B29" s="42">
        <v>45935</v>
      </c>
      <c r="C29" s="12" t="s">
        <v>290</v>
      </c>
      <c r="D29" s="12">
        <v>605</v>
      </c>
      <c r="E29" s="12" t="s">
        <v>291</v>
      </c>
      <c r="F29" s="13">
        <v>0.40277777777777779</v>
      </c>
      <c r="G29" s="12" t="s">
        <v>294</v>
      </c>
      <c r="H29" s="13">
        <v>0.44444444444444442</v>
      </c>
      <c r="I29" s="26" t="s">
        <v>292</v>
      </c>
      <c r="J29" s="15"/>
      <c r="K29" s="22">
        <v>6180</v>
      </c>
      <c r="L29" s="15" t="s">
        <v>283</v>
      </c>
      <c r="M29" s="15"/>
    </row>
    <row r="30" spans="1:13" hidden="1">
      <c r="A30" s="14">
        <v>29</v>
      </c>
      <c r="B30" s="42">
        <v>45935</v>
      </c>
      <c r="C30" s="12" t="s">
        <v>295</v>
      </c>
      <c r="D30" s="12">
        <v>743</v>
      </c>
      <c r="E30" s="12" t="s">
        <v>294</v>
      </c>
      <c r="F30" s="13">
        <v>0.52430555555555558</v>
      </c>
      <c r="G30" s="12" t="s">
        <v>296</v>
      </c>
      <c r="H30" s="13">
        <v>0.54513888888888884</v>
      </c>
      <c r="I30" s="26" t="s">
        <v>297</v>
      </c>
      <c r="J30" s="15"/>
      <c r="K30" s="22">
        <v>6583</v>
      </c>
      <c r="L30" s="15" t="s">
        <v>283</v>
      </c>
      <c r="M30" s="15"/>
    </row>
    <row r="31" spans="1:13" hidden="1">
      <c r="A31" s="14">
        <v>30</v>
      </c>
      <c r="B31" s="42">
        <v>45935</v>
      </c>
      <c r="C31" s="12" t="s">
        <v>295</v>
      </c>
      <c r="D31" s="12">
        <v>744</v>
      </c>
      <c r="E31" s="12" t="s">
        <v>296</v>
      </c>
      <c r="F31" s="13">
        <v>0.56944444444444442</v>
      </c>
      <c r="G31" s="12" t="s">
        <v>294</v>
      </c>
      <c r="H31" s="13">
        <v>0.59027777777777779</v>
      </c>
      <c r="I31" s="26" t="s">
        <v>289</v>
      </c>
      <c r="J31" s="15"/>
      <c r="K31" s="22">
        <v>5883</v>
      </c>
      <c r="L31" s="15" t="s">
        <v>283</v>
      </c>
      <c r="M31" s="15"/>
    </row>
    <row r="32" spans="1:13" hidden="1">
      <c r="A32" s="14">
        <v>31</v>
      </c>
      <c r="B32" s="42">
        <v>45935</v>
      </c>
      <c r="C32" s="12" t="s">
        <v>295</v>
      </c>
      <c r="D32" s="12">
        <v>834</v>
      </c>
      <c r="E32" s="12" t="s">
        <v>294</v>
      </c>
      <c r="F32" s="13">
        <v>0.61805555555555558</v>
      </c>
      <c r="G32" s="12" t="s">
        <v>298</v>
      </c>
      <c r="H32" s="13">
        <v>0.63888888888888884</v>
      </c>
      <c r="I32" s="26" t="s">
        <v>287</v>
      </c>
      <c r="J32" s="15"/>
      <c r="K32" s="22">
        <v>9570</v>
      </c>
      <c r="L32" s="15" t="s">
        <v>283</v>
      </c>
      <c r="M32" s="15"/>
    </row>
    <row r="33" spans="1:13" hidden="1">
      <c r="A33" s="14">
        <v>32</v>
      </c>
      <c r="B33" s="42">
        <v>45935</v>
      </c>
      <c r="C33" s="12" t="s">
        <v>290</v>
      </c>
      <c r="D33" s="12">
        <v>564</v>
      </c>
      <c r="E33" s="12" t="s">
        <v>298</v>
      </c>
      <c r="F33" s="13">
        <v>0.70486111111111116</v>
      </c>
      <c r="G33" s="12" t="s">
        <v>291</v>
      </c>
      <c r="H33" s="13">
        <v>0.73958333333333337</v>
      </c>
      <c r="I33" s="26" t="s">
        <v>309</v>
      </c>
      <c r="J33" s="15"/>
      <c r="K33" s="22">
        <v>6290</v>
      </c>
      <c r="L33" s="15" t="s">
        <v>283</v>
      </c>
      <c r="M33" s="15"/>
    </row>
    <row r="34" spans="1:13" hidden="1">
      <c r="A34" s="14">
        <v>33</v>
      </c>
      <c r="B34" s="42">
        <v>45935</v>
      </c>
      <c r="C34" s="12" t="s">
        <v>279</v>
      </c>
      <c r="D34" s="12">
        <v>920</v>
      </c>
      <c r="E34" s="12" t="s">
        <v>291</v>
      </c>
      <c r="F34" s="13">
        <v>0.81944444444444442</v>
      </c>
      <c r="G34" s="12" t="s">
        <v>280</v>
      </c>
      <c r="H34" s="13">
        <v>0.91666666666666663</v>
      </c>
      <c r="I34" s="26" t="s">
        <v>310</v>
      </c>
      <c r="J34" s="15"/>
      <c r="K34" s="22">
        <v>22030</v>
      </c>
      <c r="L34" s="15" t="s">
        <v>283</v>
      </c>
      <c r="M34" s="15"/>
    </row>
    <row r="35" spans="1:13" hidden="1">
      <c r="A35" s="14">
        <v>34</v>
      </c>
      <c r="B35" s="42">
        <v>45890</v>
      </c>
      <c r="C35" s="12" t="s">
        <v>279</v>
      </c>
      <c r="D35" s="12">
        <v>487</v>
      </c>
      <c r="E35" s="12" t="s">
        <v>280</v>
      </c>
      <c r="F35" s="13">
        <v>0.84375</v>
      </c>
      <c r="G35" s="12" t="s">
        <v>311</v>
      </c>
      <c r="H35" s="13">
        <v>0.89583333333333337</v>
      </c>
      <c r="I35" s="26"/>
      <c r="J35" s="15"/>
      <c r="K35" s="22">
        <v>0</v>
      </c>
      <c r="L35" s="15" t="s">
        <v>283</v>
      </c>
      <c r="M35" s="15"/>
    </row>
    <row r="36" spans="1:13" hidden="1">
      <c r="A36" s="14">
        <v>35</v>
      </c>
      <c r="B36" s="42">
        <v>45891</v>
      </c>
      <c r="C36" s="12" t="s">
        <v>279</v>
      </c>
      <c r="D36" s="12">
        <v>482</v>
      </c>
      <c r="E36" s="12" t="s">
        <v>311</v>
      </c>
      <c r="F36" s="13">
        <v>0.63541666666666663</v>
      </c>
      <c r="G36" s="12" t="s">
        <v>280</v>
      </c>
      <c r="H36" s="13">
        <v>0.69791666666666663</v>
      </c>
      <c r="I36" s="26"/>
      <c r="J36" s="15"/>
      <c r="K36" s="15">
        <v>0</v>
      </c>
      <c r="L36" s="15" t="s">
        <v>283</v>
      </c>
      <c r="M36" s="15"/>
    </row>
    <row r="37" spans="1:13" hidden="1">
      <c r="A37" s="14">
        <v>36</v>
      </c>
      <c r="B37" s="42">
        <v>45902</v>
      </c>
      <c r="C37" s="12" t="s">
        <v>279</v>
      </c>
      <c r="D37" s="12">
        <v>317</v>
      </c>
      <c r="E37" s="12" t="s">
        <v>280</v>
      </c>
      <c r="F37" s="13">
        <v>0.52083333333333337</v>
      </c>
      <c r="G37" s="12" t="s">
        <v>281</v>
      </c>
      <c r="H37" s="13">
        <v>0.57638888888888884</v>
      </c>
      <c r="I37" s="26"/>
      <c r="J37" s="15"/>
      <c r="K37" s="15">
        <v>0</v>
      </c>
      <c r="L37" s="15" t="s">
        <v>283</v>
      </c>
      <c r="M37" s="15"/>
    </row>
    <row r="38" spans="1:13" hidden="1">
      <c r="A38" s="14">
        <v>37</v>
      </c>
      <c r="B38" s="42">
        <v>45903</v>
      </c>
      <c r="C38" s="12" t="s">
        <v>279</v>
      </c>
      <c r="D38" s="12">
        <v>300</v>
      </c>
      <c r="E38" s="12" t="s">
        <v>281</v>
      </c>
      <c r="F38" s="13">
        <v>0.29166666666666669</v>
      </c>
      <c r="G38" s="12" t="s">
        <v>280</v>
      </c>
      <c r="H38" s="13">
        <v>0.3611111111111111</v>
      </c>
      <c r="I38" s="26"/>
      <c r="J38" s="15"/>
      <c r="K38" s="15">
        <v>0</v>
      </c>
      <c r="L38" s="15" t="s">
        <v>283</v>
      </c>
      <c r="M38" s="15"/>
    </row>
    <row r="39" spans="1:13" hidden="1">
      <c r="A39" s="14">
        <v>38</v>
      </c>
      <c r="B39" s="42">
        <v>45949</v>
      </c>
      <c r="C39" s="12" t="s">
        <v>279</v>
      </c>
      <c r="D39" s="12">
        <v>491</v>
      </c>
      <c r="E39" s="12" t="s">
        <v>280</v>
      </c>
      <c r="F39" s="13">
        <v>0.3125</v>
      </c>
      <c r="G39" s="12" t="s">
        <v>311</v>
      </c>
      <c r="H39" s="13">
        <v>0.375</v>
      </c>
      <c r="I39" s="26"/>
      <c r="J39" s="15"/>
      <c r="K39" s="15">
        <v>20700</v>
      </c>
      <c r="L39" s="15" t="s">
        <v>283</v>
      </c>
      <c r="M39" s="15"/>
    </row>
    <row r="40" spans="1:13" hidden="1">
      <c r="A40" s="14">
        <v>39</v>
      </c>
      <c r="B40" s="42">
        <v>45949</v>
      </c>
      <c r="C40" s="12" t="s">
        <v>279</v>
      </c>
      <c r="D40" s="12">
        <v>492</v>
      </c>
      <c r="E40" s="12" t="s">
        <v>311</v>
      </c>
      <c r="F40" s="13">
        <v>0.40277777777777779</v>
      </c>
      <c r="G40" s="12" t="s">
        <v>280</v>
      </c>
      <c r="H40" s="13">
        <v>0.45833333333333331</v>
      </c>
      <c r="I40" s="26"/>
      <c r="J40" s="15"/>
      <c r="K40" s="15">
        <v>0</v>
      </c>
      <c r="L40" s="15" t="s">
        <v>283</v>
      </c>
      <c r="M40" s="15"/>
    </row>
    <row r="41" spans="1:13" hidden="1">
      <c r="A41" s="14">
        <v>40</v>
      </c>
      <c r="B41" s="42">
        <v>45589</v>
      </c>
      <c r="C41" s="12" t="s">
        <v>279</v>
      </c>
      <c r="D41" s="12">
        <v>319</v>
      </c>
      <c r="E41" s="12" t="s">
        <v>280</v>
      </c>
      <c r="F41" s="13"/>
      <c r="G41" s="12" t="s">
        <v>281</v>
      </c>
      <c r="H41" s="13"/>
      <c r="I41" s="26"/>
      <c r="J41" s="15"/>
      <c r="K41" s="15">
        <v>0</v>
      </c>
      <c r="L41" s="15" t="s">
        <v>283</v>
      </c>
      <c r="M41" s="15"/>
    </row>
    <row r="42" spans="1:13" hidden="1">
      <c r="A42" s="14">
        <v>41</v>
      </c>
      <c r="B42" s="42">
        <v>45590</v>
      </c>
      <c r="C42" s="12" t="s">
        <v>279</v>
      </c>
      <c r="D42" s="12">
        <v>318</v>
      </c>
      <c r="E42" s="12" t="s">
        <v>281</v>
      </c>
      <c r="F42" s="13"/>
      <c r="G42" s="12" t="s">
        <v>280</v>
      </c>
      <c r="H42" s="13"/>
      <c r="I42" s="26"/>
      <c r="J42" s="15"/>
      <c r="K42" s="15">
        <v>0</v>
      </c>
      <c r="L42" s="15" t="s">
        <v>283</v>
      </c>
      <c r="M42" s="15"/>
    </row>
    <row r="43" spans="1:13" hidden="1">
      <c r="A43" s="14">
        <v>42</v>
      </c>
      <c r="B43" s="42">
        <v>45611</v>
      </c>
      <c r="C43" s="12" t="s">
        <v>279</v>
      </c>
      <c r="D43" s="12">
        <v>434</v>
      </c>
      <c r="E43" s="12" t="s">
        <v>280</v>
      </c>
      <c r="F43" s="13"/>
      <c r="G43" s="12" t="s">
        <v>312</v>
      </c>
      <c r="H43" s="13"/>
      <c r="I43" s="26"/>
      <c r="J43" s="15"/>
      <c r="K43" s="15">
        <v>0</v>
      </c>
      <c r="L43" s="15" t="s">
        <v>283</v>
      </c>
      <c r="M43" s="15"/>
    </row>
    <row r="44" spans="1:13" hidden="1">
      <c r="A44" s="14">
        <v>43</v>
      </c>
      <c r="B44" s="42">
        <v>45612</v>
      </c>
      <c r="C44" s="12" t="s">
        <v>279</v>
      </c>
      <c r="D44" s="12">
        <v>431</v>
      </c>
      <c r="E44" s="12" t="s">
        <v>312</v>
      </c>
      <c r="F44" s="13"/>
      <c r="G44" s="12" t="s">
        <v>280</v>
      </c>
      <c r="H44" s="13"/>
      <c r="I44" s="26"/>
      <c r="J44" s="15"/>
      <c r="K44" s="15">
        <v>0</v>
      </c>
      <c r="L44" s="15" t="s">
        <v>283</v>
      </c>
      <c r="M44" s="15"/>
    </row>
    <row r="45" spans="1:13" hidden="1">
      <c r="A45" s="14">
        <v>44</v>
      </c>
      <c r="B45" s="42">
        <v>45650</v>
      </c>
      <c r="C45" s="12" t="s">
        <v>279</v>
      </c>
      <c r="D45" s="12">
        <v>335</v>
      </c>
      <c r="E45" s="12" t="s">
        <v>280</v>
      </c>
      <c r="F45" s="13"/>
      <c r="G45" s="12" t="s">
        <v>281</v>
      </c>
      <c r="H45" s="13"/>
      <c r="I45" s="26"/>
      <c r="J45" s="15"/>
      <c r="K45" s="22">
        <v>17640</v>
      </c>
      <c r="L45" s="15" t="s">
        <v>283</v>
      </c>
      <c r="M45" s="15"/>
    </row>
    <row r="46" spans="1:13" hidden="1">
      <c r="A46" s="14">
        <v>45</v>
      </c>
      <c r="B46" s="42">
        <v>45646</v>
      </c>
      <c r="C46" s="12" t="s">
        <v>279</v>
      </c>
      <c r="D46" s="12">
        <v>431</v>
      </c>
      <c r="E46" s="12" t="s">
        <v>280</v>
      </c>
      <c r="F46" s="13"/>
      <c r="G46" s="12" t="s">
        <v>312</v>
      </c>
      <c r="H46" s="13"/>
      <c r="I46" s="26"/>
      <c r="J46" s="15"/>
      <c r="K46" s="15">
        <v>0</v>
      </c>
      <c r="L46" s="15" t="s">
        <v>283</v>
      </c>
      <c r="M46" s="15"/>
    </row>
    <row r="47" spans="1:13" hidden="1">
      <c r="A47" s="14">
        <v>46</v>
      </c>
      <c r="B47" s="42">
        <v>45647</v>
      </c>
      <c r="C47" s="12" t="s">
        <v>279</v>
      </c>
      <c r="D47" s="12">
        <v>432</v>
      </c>
      <c r="E47" s="12" t="s">
        <v>312</v>
      </c>
      <c r="F47" s="13"/>
      <c r="G47" s="12" t="s">
        <v>280</v>
      </c>
      <c r="H47" s="13"/>
      <c r="I47" s="26"/>
      <c r="J47" s="15"/>
      <c r="K47" s="15">
        <v>0</v>
      </c>
      <c r="L47" s="15" t="s">
        <v>283</v>
      </c>
      <c r="M47" s="15"/>
    </row>
    <row r="48" spans="1:13" hidden="1">
      <c r="A48" s="14">
        <v>47</v>
      </c>
      <c r="B48" s="42">
        <v>45680</v>
      </c>
      <c r="C48" s="12" t="s">
        <v>279</v>
      </c>
      <c r="D48" s="12">
        <v>307</v>
      </c>
      <c r="E48" s="12" t="s">
        <v>280</v>
      </c>
      <c r="F48" s="13"/>
      <c r="G48" s="12" t="s">
        <v>281</v>
      </c>
      <c r="H48" s="13"/>
      <c r="I48" s="26"/>
      <c r="J48" s="15"/>
      <c r="K48" s="15">
        <v>0</v>
      </c>
      <c r="L48" s="15" t="s">
        <v>283</v>
      </c>
      <c r="M48" s="15"/>
    </row>
    <row r="49" spans="1:13" hidden="1">
      <c r="A49" s="14">
        <v>48</v>
      </c>
      <c r="B49" s="42">
        <v>45682</v>
      </c>
      <c r="C49" s="12" t="s">
        <v>279</v>
      </c>
      <c r="D49" s="12">
        <v>306</v>
      </c>
      <c r="E49" s="12" t="s">
        <v>281</v>
      </c>
      <c r="F49" s="13"/>
      <c r="G49" s="12" t="s">
        <v>280</v>
      </c>
      <c r="H49" s="13"/>
      <c r="I49" s="26"/>
      <c r="J49" s="15"/>
      <c r="K49" s="15">
        <v>0</v>
      </c>
      <c r="L49" s="15" t="s">
        <v>283</v>
      </c>
      <c r="M49" s="15"/>
    </row>
    <row r="50" spans="1:13" hidden="1">
      <c r="A50" s="14">
        <v>49</v>
      </c>
      <c r="B50" s="42">
        <v>45727</v>
      </c>
      <c r="C50" s="12" t="s">
        <v>279</v>
      </c>
      <c r="D50" s="12">
        <v>330</v>
      </c>
      <c r="E50" s="12" t="s">
        <v>280</v>
      </c>
      <c r="F50" s="13"/>
      <c r="G50" s="12" t="s">
        <v>281</v>
      </c>
      <c r="H50" s="13"/>
      <c r="I50" s="26"/>
      <c r="J50" s="15"/>
      <c r="K50" s="15">
        <v>0</v>
      </c>
      <c r="L50" s="15" t="s">
        <v>283</v>
      </c>
      <c r="M50" s="15"/>
    </row>
    <row r="51" spans="1:13" hidden="1">
      <c r="A51" s="14">
        <v>50</v>
      </c>
      <c r="B51" s="42">
        <v>45727</v>
      </c>
      <c r="C51" s="12" t="s">
        <v>279</v>
      </c>
      <c r="D51" s="12">
        <v>305</v>
      </c>
      <c r="E51" s="12" t="s">
        <v>281</v>
      </c>
      <c r="F51" s="13"/>
      <c r="G51" s="12" t="s">
        <v>280</v>
      </c>
      <c r="H51" s="13"/>
      <c r="I51" s="26"/>
      <c r="J51" s="15"/>
      <c r="K51" s="15">
        <v>0</v>
      </c>
      <c r="L51" s="15" t="s">
        <v>283</v>
      </c>
      <c r="M51" s="15"/>
    </row>
    <row r="52" spans="1:13" hidden="1">
      <c r="A52" s="14">
        <v>51</v>
      </c>
      <c r="B52" s="42">
        <v>45860</v>
      </c>
      <c r="C52" s="12" t="s">
        <v>279</v>
      </c>
      <c r="D52" s="12">
        <v>307</v>
      </c>
      <c r="E52" s="12" t="s">
        <v>280</v>
      </c>
      <c r="F52" s="13"/>
      <c r="G52" s="12" t="s">
        <v>281</v>
      </c>
      <c r="H52" s="13"/>
      <c r="I52" s="26"/>
      <c r="J52" s="15"/>
      <c r="K52" s="22">
        <v>13320</v>
      </c>
      <c r="L52" s="15" t="s">
        <v>283</v>
      </c>
      <c r="M52" s="15"/>
    </row>
    <row r="53" spans="1:13" hidden="1">
      <c r="A53" s="14">
        <v>52</v>
      </c>
      <c r="B53" s="42">
        <v>45865</v>
      </c>
      <c r="C53" s="12" t="s">
        <v>279</v>
      </c>
      <c r="D53" s="12">
        <v>300</v>
      </c>
      <c r="E53" s="12" t="s">
        <v>281</v>
      </c>
      <c r="F53" s="13"/>
      <c r="G53" s="12" t="s">
        <v>280</v>
      </c>
      <c r="H53" s="13"/>
      <c r="I53" s="26"/>
      <c r="J53" s="15"/>
      <c r="K53" s="22">
        <v>13320</v>
      </c>
      <c r="L53" s="15" t="s">
        <v>283</v>
      </c>
      <c r="M53" s="15"/>
    </row>
    <row r="54" spans="1:13" hidden="1">
      <c r="A54" s="14">
        <v>53</v>
      </c>
      <c r="B54" s="42">
        <v>45871</v>
      </c>
      <c r="C54" s="12" t="s">
        <v>279</v>
      </c>
      <c r="D54" s="12">
        <v>307</v>
      </c>
      <c r="E54" s="12" t="s">
        <v>280</v>
      </c>
      <c r="F54" s="13"/>
      <c r="G54" s="12" t="s">
        <v>313</v>
      </c>
      <c r="H54" s="13"/>
      <c r="I54" s="26"/>
      <c r="J54" s="15"/>
      <c r="K54" s="22">
        <v>22845</v>
      </c>
      <c r="L54" s="15" t="s">
        <v>283</v>
      </c>
      <c r="M54" s="15"/>
    </row>
    <row r="55" spans="1:13" hidden="1">
      <c r="A55" s="14">
        <v>54</v>
      </c>
      <c r="B55" s="42">
        <v>45872</v>
      </c>
      <c r="C55" s="12" t="s">
        <v>279</v>
      </c>
      <c r="D55" s="12">
        <v>300</v>
      </c>
      <c r="E55" s="12" t="s">
        <v>313</v>
      </c>
      <c r="F55" s="13"/>
      <c r="G55" s="12" t="s">
        <v>280</v>
      </c>
      <c r="H55" s="13"/>
      <c r="I55" s="26"/>
      <c r="J55" s="15"/>
      <c r="K55" s="22">
        <v>0</v>
      </c>
      <c r="L55" s="15" t="s">
        <v>283</v>
      </c>
      <c r="M55" s="15"/>
    </row>
    <row r="56" spans="1:13" hidden="1">
      <c r="A56" s="14">
        <v>55</v>
      </c>
      <c r="B56" s="42">
        <v>45875</v>
      </c>
      <c r="C56" s="12" t="s">
        <v>279</v>
      </c>
      <c r="D56" s="12">
        <v>307</v>
      </c>
      <c r="E56" s="12" t="s">
        <v>280</v>
      </c>
      <c r="F56" s="13"/>
      <c r="G56" s="12" t="s">
        <v>314</v>
      </c>
      <c r="H56" s="13"/>
      <c r="I56" s="26"/>
      <c r="J56" s="15"/>
      <c r="K56" s="22">
        <v>0</v>
      </c>
      <c r="L56" s="15" t="s">
        <v>283</v>
      </c>
      <c r="M56" s="15"/>
    </row>
    <row r="57" spans="1:13" hidden="1">
      <c r="A57" s="14">
        <v>56</v>
      </c>
      <c r="B57" s="42">
        <v>45875</v>
      </c>
      <c r="C57" s="12" t="s">
        <v>279</v>
      </c>
      <c r="D57" s="12">
        <v>300</v>
      </c>
      <c r="E57" s="12" t="s">
        <v>315</v>
      </c>
      <c r="F57" s="13"/>
      <c r="G57" s="12" t="s">
        <v>280</v>
      </c>
      <c r="H57" s="13"/>
      <c r="I57" s="26"/>
      <c r="J57" s="15"/>
      <c r="K57" s="22">
        <v>0</v>
      </c>
      <c r="L57" s="15" t="s">
        <v>283</v>
      </c>
      <c r="M57" s="15"/>
    </row>
    <row r="58" spans="1:13" hidden="1">
      <c r="A58" s="14">
        <v>57</v>
      </c>
      <c r="B58" s="42">
        <v>45916</v>
      </c>
      <c r="C58" s="12" t="s">
        <v>279</v>
      </c>
      <c r="D58" s="12">
        <v>307</v>
      </c>
      <c r="E58" s="12" t="s">
        <v>280</v>
      </c>
      <c r="F58" s="13"/>
      <c r="G58" s="12" t="s">
        <v>281</v>
      </c>
      <c r="H58" s="13"/>
      <c r="I58" s="26"/>
      <c r="J58" s="15"/>
      <c r="K58" s="22">
        <v>0</v>
      </c>
      <c r="L58" s="15" t="s">
        <v>283</v>
      </c>
      <c r="M58" s="15"/>
    </row>
    <row r="59" spans="1:13" hidden="1">
      <c r="A59" s="14">
        <v>58</v>
      </c>
      <c r="B59" s="42">
        <v>45918</v>
      </c>
      <c r="C59" s="12" t="s">
        <v>279</v>
      </c>
      <c r="D59" s="12">
        <v>302</v>
      </c>
      <c r="E59" s="12" t="s">
        <v>281</v>
      </c>
      <c r="F59" s="13"/>
      <c r="G59" s="12" t="s">
        <v>280</v>
      </c>
      <c r="H59" s="13"/>
      <c r="I59" s="26"/>
      <c r="J59" s="15"/>
      <c r="K59" s="22">
        <v>0</v>
      </c>
      <c r="L59" s="15" t="s">
        <v>283</v>
      </c>
      <c r="M59" s="15"/>
    </row>
    <row r="60" spans="1:13" hidden="1">
      <c r="A60" s="14">
        <v>59</v>
      </c>
      <c r="B60" s="42">
        <v>45994</v>
      </c>
      <c r="C60" s="12" t="s">
        <v>279</v>
      </c>
      <c r="D60" s="12">
        <v>901</v>
      </c>
      <c r="E60" s="12" t="s">
        <v>280</v>
      </c>
      <c r="F60" s="13">
        <v>0.2638888888888889</v>
      </c>
      <c r="G60" s="12" t="s">
        <v>291</v>
      </c>
      <c r="H60" s="13">
        <v>0.38541666666666669</v>
      </c>
      <c r="I60" s="26"/>
      <c r="J60" s="15"/>
      <c r="K60" s="22">
        <v>10590</v>
      </c>
      <c r="L60" s="15" t="s">
        <v>283</v>
      </c>
      <c r="M60" s="15"/>
    </row>
    <row r="61" spans="1:13" hidden="1">
      <c r="A61" s="14">
        <v>60</v>
      </c>
      <c r="B61" s="42">
        <v>45994</v>
      </c>
      <c r="C61" s="12" t="s">
        <v>279</v>
      </c>
      <c r="D61" s="12" t="s">
        <v>316</v>
      </c>
      <c r="E61" s="12" t="s">
        <v>291</v>
      </c>
      <c r="F61" s="13">
        <v>0.41319444444444442</v>
      </c>
      <c r="G61" s="12" t="s">
        <v>317</v>
      </c>
      <c r="H61" s="13">
        <v>0.43402777777777779</v>
      </c>
      <c r="I61" s="26"/>
      <c r="J61" s="15"/>
      <c r="K61" s="47">
        <v>4640</v>
      </c>
      <c r="L61" s="15" t="s">
        <v>283</v>
      </c>
      <c r="M61" s="15"/>
    </row>
    <row r="62" spans="1:13" hidden="1">
      <c r="A62" s="14">
        <v>61</v>
      </c>
      <c r="B62" s="42">
        <v>45994</v>
      </c>
      <c r="C62" s="12" t="s">
        <v>279</v>
      </c>
      <c r="D62" s="12" t="s">
        <v>318</v>
      </c>
      <c r="E62" s="12" t="s">
        <v>317</v>
      </c>
      <c r="F62" s="13">
        <v>0.4548611111111111</v>
      </c>
      <c r="G62" s="12" t="s">
        <v>291</v>
      </c>
      <c r="H62" s="13">
        <v>0.47916666666666669</v>
      </c>
      <c r="I62" s="26"/>
      <c r="J62" s="15"/>
      <c r="K62" s="47">
        <v>6400</v>
      </c>
      <c r="L62" s="15" t="s">
        <v>283</v>
      </c>
      <c r="M62" s="15"/>
    </row>
    <row r="63" spans="1:13" hidden="1">
      <c r="A63" s="14">
        <v>62</v>
      </c>
      <c r="B63" s="42">
        <v>45994</v>
      </c>
      <c r="C63" s="12" t="s">
        <v>279</v>
      </c>
      <c r="D63" s="12" t="s">
        <v>319</v>
      </c>
      <c r="E63" s="12" t="s">
        <v>291</v>
      </c>
      <c r="F63" s="13">
        <v>0.52777777777777779</v>
      </c>
      <c r="G63" s="12" t="s">
        <v>294</v>
      </c>
      <c r="H63" s="13">
        <v>0.57291666666666663</v>
      </c>
      <c r="I63" s="26"/>
      <c r="J63" s="15"/>
      <c r="K63" s="22">
        <v>4640</v>
      </c>
      <c r="L63" s="15" t="s">
        <v>283</v>
      </c>
      <c r="M63" s="15"/>
    </row>
    <row r="64" spans="1:13" hidden="1">
      <c r="A64" s="14">
        <v>63</v>
      </c>
      <c r="B64" s="42">
        <v>45994</v>
      </c>
      <c r="C64" s="12" t="s">
        <v>279</v>
      </c>
      <c r="D64" s="12" t="s">
        <v>320</v>
      </c>
      <c r="E64" s="12" t="s">
        <v>294</v>
      </c>
      <c r="F64" s="13">
        <v>0.61805555555555558</v>
      </c>
      <c r="G64" s="12" t="s">
        <v>298</v>
      </c>
      <c r="H64" s="13">
        <v>0.63888888888888884</v>
      </c>
      <c r="I64" s="26"/>
      <c r="J64" s="15"/>
      <c r="K64" s="47">
        <v>4400</v>
      </c>
      <c r="L64" s="15" t="s">
        <v>283</v>
      </c>
      <c r="M64" s="15"/>
    </row>
    <row r="65" spans="1:13" hidden="1">
      <c r="A65" s="14">
        <v>64</v>
      </c>
      <c r="B65" s="42">
        <v>45994</v>
      </c>
      <c r="C65" s="12" t="s">
        <v>279</v>
      </c>
      <c r="D65" s="12" t="s">
        <v>321</v>
      </c>
      <c r="E65" s="12" t="s">
        <v>298</v>
      </c>
      <c r="F65" s="13">
        <v>0.65972222222222221</v>
      </c>
      <c r="G65" s="12" t="s">
        <v>299</v>
      </c>
      <c r="H65" s="13">
        <v>0.67708333333333337</v>
      </c>
      <c r="I65" s="26"/>
      <c r="J65" s="15"/>
      <c r="K65" s="22">
        <v>5500</v>
      </c>
      <c r="L65" s="15" t="s">
        <v>283</v>
      </c>
      <c r="M65" s="15"/>
    </row>
    <row r="66" spans="1:13" hidden="1">
      <c r="A66" s="14">
        <v>65</v>
      </c>
      <c r="B66" s="42">
        <v>45994</v>
      </c>
      <c r="C66" s="12" t="s">
        <v>279</v>
      </c>
      <c r="D66" s="12" t="s">
        <v>322</v>
      </c>
      <c r="E66" s="12" t="s">
        <v>299</v>
      </c>
      <c r="F66" s="13">
        <v>0.70138888888888884</v>
      </c>
      <c r="G66" s="12" t="s">
        <v>298</v>
      </c>
      <c r="H66" s="13">
        <v>0.71875</v>
      </c>
      <c r="I66" s="26"/>
      <c r="J66" s="15"/>
      <c r="K66" s="22">
        <v>5500</v>
      </c>
      <c r="L66" s="15" t="s">
        <v>283</v>
      </c>
      <c r="M66" s="15"/>
    </row>
    <row r="67" spans="1:13" hidden="1">
      <c r="A67" s="14">
        <v>66</v>
      </c>
      <c r="B67" s="42">
        <v>45994</v>
      </c>
      <c r="C67" s="12" t="s">
        <v>279</v>
      </c>
      <c r="D67" s="12" t="s">
        <v>323</v>
      </c>
      <c r="E67" s="12" t="s">
        <v>298</v>
      </c>
      <c r="F67" s="13">
        <v>0.76041666666666663</v>
      </c>
      <c r="G67" s="12" t="s">
        <v>291</v>
      </c>
      <c r="H67" s="13">
        <v>0.79513888888888884</v>
      </c>
      <c r="I67" s="26"/>
      <c r="J67" s="15"/>
      <c r="K67" s="22">
        <v>4640</v>
      </c>
      <c r="L67" s="15" t="s">
        <v>283</v>
      </c>
      <c r="M67" s="15"/>
    </row>
    <row r="68" spans="1:13" hidden="1">
      <c r="A68" s="14">
        <v>67</v>
      </c>
      <c r="B68" s="42">
        <v>45994</v>
      </c>
      <c r="C68" s="12" t="s">
        <v>279</v>
      </c>
      <c r="D68" s="12">
        <v>920</v>
      </c>
      <c r="E68" s="12" t="s">
        <v>291</v>
      </c>
      <c r="F68" s="13">
        <v>0.82986111111111116</v>
      </c>
      <c r="G68" s="12" t="s">
        <v>280</v>
      </c>
      <c r="H68" s="13">
        <v>0.92013888888888884</v>
      </c>
      <c r="I68" s="26"/>
      <c r="J68" s="15"/>
      <c r="K68" s="22">
        <v>10590</v>
      </c>
      <c r="L68" s="15" t="s">
        <v>283</v>
      </c>
      <c r="M68" s="15"/>
    </row>
    <row r="69" spans="1:13" hidden="1">
      <c r="A69" s="14">
        <v>68</v>
      </c>
      <c r="B69" s="42">
        <v>45939</v>
      </c>
      <c r="C69" s="12" t="s">
        <v>279</v>
      </c>
      <c r="D69" s="12">
        <v>325</v>
      </c>
      <c r="E69" s="12" t="s">
        <v>280</v>
      </c>
      <c r="F69" s="13"/>
      <c r="G69" s="12" t="s">
        <v>281</v>
      </c>
      <c r="H69" s="13"/>
      <c r="I69" s="26"/>
      <c r="J69" s="15"/>
      <c r="K69" s="22">
        <v>0</v>
      </c>
      <c r="L69" s="15" t="s">
        <v>283</v>
      </c>
      <c r="M69" s="15"/>
    </row>
    <row r="70" spans="1:13" hidden="1">
      <c r="A70" s="14">
        <v>69</v>
      </c>
      <c r="B70" s="42">
        <v>45941</v>
      </c>
      <c r="C70" s="12" t="s">
        <v>279</v>
      </c>
      <c r="D70" s="12">
        <v>310</v>
      </c>
      <c r="E70" s="12" t="s">
        <v>281</v>
      </c>
      <c r="F70" s="13"/>
      <c r="G70" s="12" t="s">
        <v>280</v>
      </c>
      <c r="H70" s="13"/>
      <c r="I70" s="26"/>
      <c r="J70" s="15"/>
      <c r="K70" s="22">
        <v>0</v>
      </c>
      <c r="L70" s="15" t="s">
        <v>283</v>
      </c>
      <c r="M70" s="15"/>
    </row>
    <row r="71" spans="1:13" hidden="1">
      <c r="A71" s="14">
        <v>70</v>
      </c>
      <c r="B71" s="42">
        <v>46052</v>
      </c>
      <c r="C71" s="12" t="s">
        <v>279</v>
      </c>
      <c r="D71" s="12">
        <v>325</v>
      </c>
      <c r="E71" s="12" t="s">
        <v>280</v>
      </c>
      <c r="F71" s="13">
        <v>0.2638888888888889</v>
      </c>
      <c r="G71" s="12" t="s">
        <v>291</v>
      </c>
      <c r="H71" s="13">
        <v>0.38541666666666669</v>
      </c>
      <c r="I71" s="26"/>
      <c r="J71" s="15"/>
      <c r="K71" s="22">
        <f>132568/4</f>
        <v>33142</v>
      </c>
      <c r="L71" s="15" t="s">
        <v>283</v>
      </c>
      <c r="M71" s="15"/>
    </row>
    <row r="72" spans="1:13" hidden="1">
      <c r="A72" s="14">
        <v>71</v>
      </c>
      <c r="B72" s="42">
        <v>46054</v>
      </c>
      <c r="C72" s="12" t="s">
        <v>279</v>
      </c>
      <c r="D72" s="12">
        <v>310</v>
      </c>
      <c r="E72" s="12" t="s">
        <v>291</v>
      </c>
      <c r="F72" s="13">
        <v>0.51736111111111116</v>
      </c>
      <c r="G72" s="12" t="s">
        <v>280</v>
      </c>
      <c r="H72" s="13">
        <v>0.60763888888888884</v>
      </c>
      <c r="I72" s="26"/>
      <c r="J72" s="15"/>
      <c r="K72" s="22">
        <v>0</v>
      </c>
      <c r="L72" s="15" t="s">
        <v>283</v>
      </c>
      <c r="M72" s="15"/>
    </row>
    <row r="73" spans="1:13" hidden="1">
      <c r="A73" s="14">
        <v>72</v>
      </c>
      <c r="B73" s="42">
        <v>45932</v>
      </c>
      <c r="C73" s="12" t="s">
        <v>279</v>
      </c>
      <c r="D73" s="12"/>
      <c r="E73" s="12" t="s">
        <v>280</v>
      </c>
      <c r="F73" s="13"/>
      <c r="G73" s="12" t="s">
        <v>324</v>
      </c>
      <c r="H73" s="13"/>
      <c r="I73" s="26"/>
      <c r="J73" s="15"/>
      <c r="K73" s="22">
        <v>0</v>
      </c>
      <c r="L73" s="15" t="s">
        <v>283</v>
      </c>
      <c r="M73" s="15"/>
    </row>
    <row r="74" spans="1:13" hidden="1">
      <c r="A74" s="14">
        <v>73</v>
      </c>
      <c r="B74" s="42">
        <v>45951</v>
      </c>
      <c r="C74" s="12" t="s">
        <v>279</v>
      </c>
      <c r="D74" s="12"/>
      <c r="E74" s="12" t="s">
        <v>280</v>
      </c>
      <c r="F74" s="13"/>
      <c r="G74" s="12" t="s">
        <v>325</v>
      </c>
      <c r="H74" s="13"/>
      <c r="I74" s="26"/>
      <c r="J74" s="15"/>
      <c r="K74" s="22">
        <v>0</v>
      </c>
      <c r="L74" s="15" t="s">
        <v>283</v>
      </c>
      <c r="M74" s="15"/>
    </row>
    <row r="75" spans="1:13" hidden="1">
      <c r="A75" s="14">
        <v>74</v>
      </c>
      <c r="B75" s="42">
        <v>45953</v>
      </c>
      <c r="C75" s="12" t="s">
        <v>279</v>
      </c>
      <c r="D75" s="12"/>
      <c r="E75" s="12" t="s">
        <v>312</v>
      </c>
      <c r="F75" s="13"/>
      <c r="G75" s="12" t="s">
        <v>281</v>
      </c>
      <c r="H75" s="13"/>
      <c r="I75" s="26"/>
      <c r="J75" s="15"/>
      <c r="K75" s="22">
        <v>0</v>
      </c>
      <c r="L75" s="15" t="s">
        <v>283</v>
      </c>
      <c r="M75" s="15"/>
    </row>
    <row r="76" spans="1:13" hidden="1">
      <c r="A76" s="14">
        <v>75</v>
      </c>
      <c r="B76" s="42">
        <v>45953</v>
      </c>
      <c r="C76" s="12" t="s">
        <v>279</v>
      </c>
      <c r="D76" s="12"/>
      <c r="E76" s="12" t="s">
        <v>281</v>
      </c>
      <c r="F76" s="13"/>
      <c r="G76" s="12" t="s">
        <v>280</v>
      </c>
      <c r="H76" s="13"/>
      <c r="I76" s="26"/>
      <c r="J76" s="15"/>
      <c r="K76" s="22">
        <v>0</v>
      </c>
      <c r="L76" s="15" t="s">
        <v>283</v>
      </c>
      <c r="M76" s="15"/>
    </row>
    <row r="77" spans="1:13" hidden="1">
      <c r="A77" s="14">
        <v>76</v>
      </c>
      <c r="B77" s="42">
        <v>46030</v>
      </c>
      <c r="C77" s="12" t="s">
        <v>279</v>
      </c>
      <c r="D77" s="12"/>
      <c r="E77" s="12" t="s">
        <v>280</v>
      </c>
      <c r="F77" s="13">
        <v>0.78819444444444442</v>
      </c>
      <c r="G77" s="12" t="s">
        <v>281</v>
      </c>
      <c r="H77" s="13">
        <v>0.87847222222222221</v>
      </c>
      <c r="I77" s="26"/>
      <c r="J77" s="15"/>
      <c r="K77" s="47">
        <v>8810</v>
      </c>
      <c r="L77" s="15" t="s">
        <v>283</v>
      </c>
      <c r="M77" s="15"/>
    </row>
    <row r="78" spans="1:13" hidden="1">
      <c r="A78" s="14">
        <v>77</v>
      </c>
      <c r="B78" s="42">
        <v>46031</v>
      </c>
      <c r="C78" s="12" t="s">
        <v>279</v>
      </c>
      <c r="D78" s="12"/>
      <c r="E78" s="12" t="s">
        <v>281</v>
      </c>
      <c r="F78" s="13">
        <v>0.30208333333333331</v>
      </c>
      <c r="G78" s="12" t="s">
        <v>291</v>
      </c>
      <c r="H78" s="13">
        <v>0.375</v>
      </c>
      <c r="I78" s="26"/>
      <c r="J78" s="15"/>
      <c r="K78" s="22">
        <v>10800</v>
      </c>
      <c r="L78" s="15" t="s">
        <v>283</v>
      </c>
      <c r="M78" s="15"/>
    </row>
    <row r="79" spans="1:13" hidden="1">
      <c r="A79" s="14">
        <v>78</v>
      </c>
      <c r="B79" s="42">
        <v>46031</v>
      </c>
      <c r="C79" s="12" t="s">
        <v>279</v>
      </c>
      <c r="D79" s="12"/>
      <c r="E79" s="12" t="s">
        <v>291</v>
      </c>
      <c r="F79" s="13">
        <v>0.40625</v>
      </c>
      <c r="G79" s="12" t="s">
        <v>294</v>
      </c>
      <c r="H79" s="13">
        <v>0.4513888888888889</v>
      </c>
      <c r="I79" s="26"/>
      <c r="J79" s="15"/>
      <c r="K79" s="22">
        <v>4640</v>
      </c>
      <c r="L79" s="15" t="s">
        <v>283</v>
      </c>
      <c r="M79" s="15"/>
    </row>
    <row r="80" spans="1:13" hidden="1">
      <c r="A80" s="14">
        <v>79</v>
      </c>
      <c r="B80" s="42">
        <v>46031</v>
      </c>
      <c r="C80" s="12" t="s">
        <v>279</v>
      </c>
      <c r="D80" s="12"/>
      <c r="E80" s="12" t="s">
        <v>294</v>
      </c>
      <c r="F80" s="13">
        <v>0.47916666666666669</v>
      </c>
      <c r="G80" s="12" t="s">
        <v>291</v>
      </c>
      <c r="H80" s="13">
        <v>0.52083333333333337</v>
      </c>
      <c r="I80" s="26"/>
      <c r="J80" s="15"/>
      <c r="K80" s="22">
        <v>4640</v>
      </c>
      <c r="L80" s="15" t="s">
        <v>283</v>
      </c>
      <c r="M80" s="15"/>
    </row>
    <row r="81" spans="1:13" hidden="1">
      <c r="A81" s="14">
        <v>80</v>
      </c>
      <c r="B81" s="42">
        <v>46031</v>
      </c>
      <c r="C81" s="12" t="s">
        <v>279</v>
      </c>
      <c r="D81" s="12"/>
      <c r="E81" s="12" t="s">
        <v>291</v>
      </c>
      <c r="F81" s="13">
        <v>0.58333333333333337</v>
      </c>
      <c r="G81" s="12" t="s">
        <v>317</v>
      </c>
      <c r="H81" s="13">
        <v>0.60763888888888884</v>
      </c>
      <c r="I81" s="26"/>
      <c r="J81" s="15"/>
      <c r="K81" s="22">
        <v>4640</v>
      </c>
      <c r="L81" s="15" t="s">
        <v>283</v>
      </c>
      <c r="M81" s="15"/>
    </row>
    <row r="82" spans="1:13" hidden="1">
      <c r="A82" s="14">
        <v>81</v>
      </c>
      <c r="B82" s="42">
        <v>46031</v>
      </c>
      <c r="C82" s="12" t="s">
        <v>279</v>
      </c>
      <c r="D82" s="12"/>
      <c r="E82" s="12" t="s">
        <v>317</v>
      </c>
      <c r="F82" s="13">
        <v>0.63541666666666663</v>
      </c>
      <c r="G82" s="12" t="s">
        <v>291</v>
      </c>
      <c r="H82" s="13">
        <v>0.66319444444444442</v>
      </c>
      <c r="I82" s="26"/>
      <c r="J82" s="15"/>
      <c r="K82" s="22">
        <v>4640</v>
      </c>
      <c r="L82" s="15" t="s">
        <v>283</v>
      </c>
      <c r="M82" s="15"/>
    </row>
    <row r="83" spans="1:13" hidden="1">
      <c r="A83" s="14">
        <v>82</v>
      </c>
      <c r="B83" s="42">
        <v>46031</v>
      </c>
      <c r="C83" s="12" t="s">
        <v>279</v>
      </c>
      <c r="D83" s="12"/>
      <c r="E83" s="12" t="s">
        <v>291</v>
      </c>
      <c r="F83" s="13">
        <v>0.69444444444444442</v>
      </c>
      <c r="G83" s="12" t="s">
        <v>298</v>
      </c>
      <c r="H83" s="13">
        <v>0.73263888888888884</v>
      </c>
      <c r="I83" s="26"/>
      <c r="J83" s="15"/>
      <c r="K83" s="22">
        <v>4640</v>
      </c>
      <c r="L83" s="15" t="s">
        <v>283</v>
      </c>
      <c r="M83" s="15"/>
    </row>
    <row r="84" spans="1:13" hidden="1">
      <c r="A84" s="14">
        <v>83</v>
      </c>
      <c r="B84" s="42">
        <v>46031</v>
      </c>
      <c r="C84" s="12" t="s">
        <v>279</v>
      </c>
      <c r="D84" s="12"/>
      <c r="E84" s="12" t="s">
        <v>298</v>
      </c>
      <c r="F84" s="13">
        <v>0.76041666666666663</v>
      </c>
      <c r="G84" s="12" t="s">
        <v>291</v>
      </c>
      <c r="H84" s="13">
        <v>0.79513888888888884</v>
      </c>
      <c r="I84" s="26"/>
      <c r="J84" s="15"/>
      <c r="K84" s="22">
        <v>7500</v>
      </c>
      <c r="L84" s="15" t="s">
        <v>283</v>
      </c>
      <c r="M84" s="15"/>
    </row>
    <row r="85" spans="1:13" hidden="1">
      <c r="A85" s="14">
        <v>84</v>
      </c>
      <c r="B85" s="42">
        <v>46031</v>
      </c>
      <c r="C85" s="12" t="s">
        <v>279</v>
      </c>
      <c r="D85" s="12"/>
      <c r="E85" s="12" t="s">
        <v>291</v>
      </c>
      <c r="F85" s="13">
        <v>0.82291666666666663</v>
      </c>
      <c r="G85" s="12" t="s">
        <v>281</v>
      </c>
      <c r="H85" s="13">
        <v>0.89236111111111116</v>
      </c>
      <c r="I85" s="26"/>
      <c r="J85" s="15"/>
      <c r="K85" s="22">
        <v>8050</v>
      </c>
      <c r="L85" s="15" t="s">
        <v>283</v>
      </c>
      <c r="M85" s="15"/>
    </row>
    <row r="86" spans="1:13" hidden="1">
      <c r="A86" s="14">
        <v>85</v>
      </c>
      <c r="B86" s="42">
        <v>46032</v>
      </c>
      <c r="C86" s="12" t="s">
        <v>279</v>
      </c>
      <c r="D86" s="12"/>
      <c r="E86" s="12" t="s">
        <v>281</v>
      </c>
      <c r="F86" s="13">
        <v>0.30555555555555558</v>
      </c>
      <c r="G86" s="12" t="s">
        <v>288</v>
      </c>
      <c r="H86" s="13">
        <v>0.33333333333333331</v>
      </c>
      <c r="I86" s="26"/>
      <c r="J86" s="15"/>
      <c r="K86" s="22">
        <v>6490</v>
      </c>
      <c r="L86" s="15" t="s">
        <v>283</v>
      </c>
      <c r="M86" s="15"/>
    </row>
    <row r="87" spans="1:13" hidden="1">
      <c r="A87" s="14">
        <v>86</v>
      </c>
      <c r="B87" s="42">
        <v>46032</v>
      </c>
      <c r="C87" s="12" t="s">
        <v>279</v>
      </c>
      <c r="D87" s="12"/>
      <c r="E87" s="12" t="s">
        <v>288</v>
      </c>
      <c r="F87" s="13">
        <v>0.54861111111111116</v>
      </c>
      <c r="G87" s="12" t="s">
        <v>281</v>
      </c>
      <c r="H87" s="13">
        <v>0.58333333333333337</v>
      </c>
      <c r="I87" s="26"/>
      <c r="J87" s="15"/>
      <c r="K87" s="22">
        <v>6490</v>
      </c>
      <c r="L87" s="15" t="s">
        <v>283</v>
      </c>
      <c r="M87" s="15"/>
    </row>
    <row r="88" spans="1:13" hidden="1">
      <c r="A88" s="14">
        <v>87</v>
      </c>
      <c r="B88" s="42">
        <v>46032</v>
      </c>
      <c r="C88" s="12" t="s">
        <v>279</v>
      </c>
      <c r="D88" s="12"/>
      <c r="E88" s="12" t="s">
        <v>281</v>
      </c>
      <c r="F88" s="13">
        <v>0.59722222222222221</v>
      </c>
      <c r="G88" s="12" t="s">
        <v>326</v>
      </c>
      <c r="H88" s="13">
        <v>0.63541666666666663</v>
      </c>
      <c r="I88" s="26"/>
      <c r="J88" s="15"/>
      <c r="K88" s="22">
        <v>6710</v>
      </c>
      <c r="L88" s="15" t="s">
        <v>283</v>
      </c>
      <c r="M88" s="15"/>
    </row>
    <row r="89" spans="1:13" hidden="1">
      <c r="A89" s="14">
        <v>88</v>
      </c>
      <c r="B89" s="42">
        <v>46032</v>
      </c>
      <c r="C89" s="12" t="s">
        <v>279</v>
      </c>
      <c r="D89" s="12"/>
      <c r="E89" s="12" t="s">
        <v>326</v>
      </c>
      <c r="F89" s="13">
        <v>0.66319444444444442</v>
      </c>
      <c r="G89" s="12" t="s">
        <v>281</v>
      </c>
      <c r="H89" s="13">
        <v>0.70486111111111116</v>
      </c>
      <c r="I89" s="26"/>
      <c r="J89" s="15"/>
      <c r="K89" s="22">
        <v>6710</v>
      </c>
      <c r="L89" s="15" t="s">
        <v>283</v>
      </c>
      <c r="M89" s="15"/>
    </row>
    <row r="90" spans="1:13" hidden="1">
      <c r="A90" s="14">
        <v>89</v>
      </c>
      <c r="B90" s="42">
        <v>46033</v>
      </c>
      <c r="C90" s="12" t="s">
        <v>279</v>
      </c>
      <c r="D90" s="12"/>
      <c r="E90" s="12" t="s">
        <v>281</v>
      </c>
      <c r="F90" s="13">
        <v>0.30208333333333331</v>
      </c>
      <c r="G90" s="12" t="s">
        <v>291</v>
      </c>
      <c r="H90" s="13">
        <v>0.375</v>
      </c>
      <c r="I90" s="26"/>
      <c r="J90" s="15"/>
      <c r="K90" s="22">
        <v>9150</v>
      </c>
      <c r="L90" s="15" t="s">
        <v>283</v>
      </c>
      <c r="M90" s="15"/>
    </row>
    <row r="91" spans="1:13" hidden="1">
      <c r="A91" s="14">
        <v>90</v>
      </c>
      <c r="B91" s="42">
        <v>46033</v>
      </c>
      <c r="C91" s="12" t="s">
        <v>279</v>
      </c>
      <c r="D91" s="12"/>
      <c r="E91" s="12" t="s">
        <v>291</v>
      </c>
      <c r="F91" s="13">
        <v>0.40625</v>
      </c>
      <c r="G91" s="12" t="s">
        <v>294</v>
      </c>
      <c r="H91" s="13">
        <v>0.4513888888888889</v>
      </c>
      <c r="I91" s="26"/>
      <c r="J91" s="15"/>
      <c r="K91" s="22">
        <v>5740</v>
      </c>
      <c r="L91" s="15" t="s">
        <v>283</v>
      </c>
      <c r="M91" s="15"/>
    </row>
    <row r="92" spans="1:13" hidden="1">
      <c r="A92" s="14">
        <v>91</v>
      </c>
      <c r="B92" s="42">
        <v>46033</v>
      </c>
      <c r="C92" s="12" t="s">
        <v>279</v>
      </c>
      <c r="D92" s="12"/>
      <c r="E92" s="12" t="s">
        <v>294</v>
      </c>
      <c r="F92" s="13">
        <v>0.47916666666666669</v>
      </c>
      <c r="G92" s="12" t="s">
        <v>291</v>
      </c>
      <c r="H92" s="13">
        <v>0.52083333333333337</v>
      </c>
      <c r="I92" s="26"/>
      <c r="J92" s="15"/>
      <c r="K92" s="22">
        <v>5740</v>
      </c>
      <c r="L92" s="15" t="s">
        <v>283</v>
      </c>
      <c r="M92" s="15"/>
    </row>
    <row r="93" spans="1:13" hidden="1">
      <c r="A93" s="14">
        <v>92</v>
      </c>
      <c r="B93" s="42">
        <v>46033</v>
      </c>
      <c r="C93" s="12" t="s">
        <v>279</v>
      </c>
      <c r="D93" s="12"/>
      <c r="E93" s="12" t="s">
        <v>291</v>
      </c>
      <c r="F93" s="13">
        <v>0.55208333333333337</v>
      </c>
      <c r="G93" s="12" t="s">
        <v>327</v>
      </c>
      <c r="H93" s="13">
        <v>0.57986111111111116</v>
      </c>
      <c r="I93" s="26"/>
      <c r="J93" s="15"/>
      <c r="K93" s="22">
        <v>12340</v>
      </c>
      <c r="L93" s="15" t="s">
        <v>283</v>
      </c>
      <c r="M93" s="15"/>
    </row>
    <row r="94" spans="1:13" hidden="1">
      <c r="A94" s="14">
        <v>93</v>
      </c>
      <c r="B94" s="42">
        <v>46033</v>
      </c>
      <c r="C94" s="12" t="s">
        <v>279</v>
      </c>
      <c r="D94" s="12"/>
      <c r="E94" s="12" t="s">
        <v>327</v>
      </c>
      <c r="F94" s="13">
        <v>0.60069444444444442</v>
      </c>
      <c r="G94" s="12" t="s">
        <v>291</v>
      </c>
      <c r="H94" s="13">
        <v>0.625</v>
      </c>
      <c r="I94" s="26"/>
      <c r="J94" s="15"/>
      <c r="K94" s="22">
        <v>12340</v>
      </c>
      <c r="L94" s="15" t="s">
        <v>283</v>
      </c>
      <c r="M94" s="15"/>
    </row>
    <row r="95" spans="1:13" hidden="1">
      <c r="A95" s="14">
        <v>94</v>
      </c>
      <c r="B95" s="42">
        <v>46033</v>
      </c>
      <c r="C95" s="12" t="s">
        <v>279</v>
      </c>
      <c r="D95" s="12"/>
      <c r="E95" s="12" t="s">
        <v>291</v>
      </c>
      <c r="F95" s="13">
        <v>0.65277777777777779</v>
      </c>
      <c r="G95" s="12" t="s">
        <v>317</v>
      </c>
      <c r="H95" s="13">
        <v>0.67708333333333337</v>
      </c>
      <c r="I95" s="26"/>
      <c r="J95" s="15"/>
      <c r="K95" s="22">
        <v>10910</v>
      </c>
      <c r="L95" s="15" t="s">
        <v>283</v>
      </c>
      <c r="M95" s="15"/>
    </row>
    <row r="96" spans="1:13" hidden="1">
      <c r="A96" s="14">
        <v>95</v>
      </c>
      <c r="B96" s="42">
        <v>46033</v>
      </c>
      <c r="C96" s="12" t="s">
        <v>279</v>
      </c>
      <c r="D96" s="12"/>
      <c r="E96" s="12" t="s">
        <v>317</v>
      </c>
      <c r="F96" s="13">
        <v>0.69791666666666663</v>
      </c>
      <c r="G96" s="12" t="s">
        <v>291</v>
      </c>
      <c r="H96" s="13">
        <v>0.72222222222222221</v>
      </c>
      <c r="I96" s="26"/>
      <c r="J96" s="15"/>
      <c r="K96" s="22">
        <v>4640</v>
      </c>
      <c r="L96" s="15" t="s">
        <v>283</v>
      </c>
      <c r="M96" s="15"/>
    </row>
    <row r="97" spans="1:13" hidden="1">
      <c r="A97" s="14">
        <v>96</v>
      </c>
      <c r="B97" s="42">
        <v>46033</v>
      </c>
      <c r="C97" s="12" t="s">
        <v>279</v>
      </c>
      <c r="D97" s="12"/>
      <c r="E97" s="12" t="s">
        <v>291</v>
      </c>
      <c r="F97" s="13">
        <v>0.79166666666666663</v>
      </c>
      <c r="G97" s="12" t="s">
        <v>280</v>
      </c>
      <c r="H97" s="13">
        <v>0.88194444444444442</v>
      </c>
      <c r="I97" s="26"/>
      <c r="J97" s="15"/>
      <c r="K97" s="22">
        <v>10590</v>
      </c>
      <c r="L97" s="15" t="s">
        <v>283</v>
      </c>
      <c r="M97" s="15"/>
    </row>
    <row r="98" spans="1:13" hidden="1">
      <c r="A98" s="14">
        <v>97</v>
      </c>
      <c r="B98" s="42">
        <v>46046</v>
      </c>
      <c r="C98" s="12" t="s">
        <v>279</v>
      </c>
      <c r="D98" s="12"/>
      <c r="E98" s="12" t="s">
        <v>280</v>
      </c>
      <c r="F98" s="13">
        <v>0.2638888888888889</v>
      </c>
      <c r="G98" s="12" t="s">
        <v>291</v>
      </c>
      <c r="H98" s="13">
        <v>0.38541666666666669</v>
      </c>
      <c r="I98" s="26"/>
      <c r="J98" s="15"/>
      <c r="K98" s="22">
        <v>10590</v>
      </c>
      <c r="L98" s="15" t="s">
        <v>283</v>
      </c>
      <c r="M98" s="15"/>
    </row>
    <row r="99" spans="1:13" hidden="1">
      <c r="A99" s="14">
        <v>98</v>
      </c>
      <c r="B99" s="42">
        <v>46046</v>
      </c>
      <c r="C99" s="12" t="s">
        <v>279</v>
      </c>
      <c r="D99" s="12"/>
      <c r="E99" s="12" t="s">
        <v>291</v>
      </c>
      <c r="F99" s="13">
        <v>0.4548611111111111</v>
      </c>
      <c r="G99" s="12" t="s">
        <v>298</v>
      </c>
      <c r="H99" s="13">
        <v>0.49305555555555558</v>
      </c>
      <c r="I99" s="26"/>
      <c r="J99" s="15"/>
      <c r="K99" s="22">
        <v>5740</v>
      </c>
      <c r="L99" s="15" t="s">
        <v>283</v>
      </c>
      <c r="M99" s="15"/>
    </row>
    <row r="100" spans="1:13" hidden="1">
      <c r="A100" s="14">
        <v>99</v>
      </c>
      <c r="B100" s="42">
        <v>46046</v>
      </c>
      <c r="C100" s="12" t="s">
        <v>279</v>
      </c>
      <c r="D100" s="12"/>
      <c r="E100" s="12" t="s">
        <v>298</v>
      </c>
      <c r="F100" s="13">
        <v>0.52083333333333337</v>
      </c>
      <c r="G100" s="12" t="s">
        <v>291</v>
      </c>
      <c r="H100" s="13">
        <v>0.55555555555555558</v>
      </c>
      <c r="I100" s="26"/>
      <c r="J100" s="15"/>
      <c r="K100" s="22">
        <v>5740</v>
      </c>
      <c r="L100" s="15" t="s">
        <v>283</v>
      </c>
      <c r="M100" s="15"/>
    </row>
    <row r="101" spans="1:13" hidden="1">
      <c r="A101" s="14">
        <v>100</v>
      </c>
      <c r="B101" s="42">
        <v>46046</v>
      </c>
      <c r="C101" s="12" t="s">
        <v>279</v>
      </c>
      <c r="D101" s="12"/>
      <c r="E101" s="12" t="s">
        <v>291</v>
      </c>
      <c r="F101" s="13">
        <v>0.59375</v>
      </c>
      <c r="G101" s="12" t="s">
        <v>328</v>
      </c>
      <c r="H101" s="13">
        <v>0.63541666666666663</v>
      </c>
      <c r="I101" s="26"/>
      <c r="J101" s="15"/>
      <c r="K101" s="22">
        <v>9040</v>
      </c>
      <c r="L101" s="15" t="s">
        <v>283</v>
      </c>
      <c r="M101" s="15"/>
    </row>
    <row r="102" spans="1:13" hidden="1">
      <c r="A102" s="14">
        <v>101</v>
      </c>
      <c r="B102" s="42">
        <v>46046</v>
      </c>
      <c r="C102" s="12" t="s">
        <v>279</v>
      </c>
      <c r="D102" s="12"/>
      <c r="E102" s="12" t="s">
        <v>328</v>
      </c>
      <c r="F102" s="13">
        <v>0.65625</v>
      </c>
      <c r="G102" s="12" t="s">
        <v>291</v>
      </c>
      <c r="H102" s="13">
        <v>0.70138888888888884</v>
      </c>
      <c r="I102" s="26"/>
      <c r="J102" s="15"/>
      <c r="K102" s="22">
        <v>9040</v>
      </c>
      <c r="L102" s="15" t="s">
        <v>283</v>
      </c>
      <c r="M102" s="15"/>
    </row>
    <row r="103" spans="1:13" hidden="1">
      <c r="A103" s="14">
        <v>102</v>
      </c>
      <c r="B103" s="42">
        <v>46046</v>
      </c>
      <c r="C103" s="12" t="s">
        <v>279</v>
      </c>
      <c r="D103" s="12"/>
      <c r="E103" s="12" t="s">
        <v>291</v>
      </c>
      <c r="F103" s="13">
        <v>0.87152777777777779</v>
      </c>
      <c r="G103" s="12" t="s">
        <v>280</v>
      </c>
      <c r="H103" s="13">
        <v>0.96180555555555558</v>
      </c>
      <c r="I103" s="26"/>
      <c r="J103" s="15"/>
      <c r="K103" s="22">
        <v>10590</v>
      </c>
      <c r="L103" s="15" t="s">
        <v>283</v>
      </c>
      <c r="M103" s="15"/>
    </row>
    <row r="104" spans="1:13" hidden="1">
      <c r="A104" s="14">
        <v>103</v>
      </c>
      <c r="B104" s="42">
        <v>45981</v>
      </c>
      <c r="C104" s="12" t="s">
        <v>279</v>
      </c>
      <c r="D104" s="12"/>
      <c r="E104" s="12" t="s">
        <v>280</v>
      </c>
      <c r="F104" s="13"/>
      <c r="G104" s="12" t="s">
        <v>329</v>
      </c>
      <c r="H104" s="13"/>
      <c r="I104" s="26"/>
      <c r="J104" s="15"/>
      <c r="K104" s="22">
        <v>0</v>
      </c>
      <c r="L104" s="15" t="s">
        <v>283</v>
      </c>
      <c r="M104" s="15"/>
    </row>
    <row r="105" spans="1:13" hidden="1">
      <c r="A105" s="14">
        <v>104</v>
      </c>
      <c r="B105" s="42">
        <v>45983</v>
      </c>
      <c r="C105" s="12" t="s">
        <v>279</v>
      </c>
      <c r="D105" s="12"/>
      <c r="E105" s="12" t="s">
        <v>329</v>
      </c>
      <c r="F105" s="13"/>
      <c r="G105" s="12" t="s">
        <v>280</v>
      </c>
      <c r="H105" s="13"/>
      <c r="I105" s="26"/>
      <c r="J105" s="15"/>
      <c r="K105" s="22">
        <v>0</v>
      </c>
      <c r="L105" s="15" t="s">
        <v>283</v>
      </c>
      <c r="M105" s="15"/>
    </row>
    <row r="106" spans="1:13" hidden="1">
      <c r="A106" s="14">
        <v>105</v>
      </c>
      <c r="B106" s="42">
        <v>45985</v>
      </c>
      <c r="C106" s="12" t="s">
        <v>279</v>
      </c>
      <c r="D106" s="12"/>
      <c r="E106" s="12" t="s">
        <v>280</v>
      </c>
      <c r="F106" s="13"/>
      <c r="G106" s="12" t="s">
        <v>281</v>
      </c>
      <c r="H106" s="13"/>
      <c r="I106" s="26"/>
      <c r="J106" s="15"/>
      <c r="K106" s="22">
        <v>0</v>
      </c>
      <c r="L106" s="15" t="s">
        <v>283</v>
      </c>
      <c r="M106" s="15"/>
    </row>
    <row r="107" spans="1:13" hidden="1">
      <c r="A107" s="14">
        <v>106</v>
      </c>
      <c r="B107" s="42">
        <v>45986</v>
      </c>
      <c r="C107" s="12" t="s">
        <v>279</v>
      </c>
      <c r="D107" s="12"/>
      <c r="E107" s="12" t="s">
        <v>281</v>
      </c>
      <c r="F107" s="13"/>
      <c r="G107" s="12" t="s">
        <v>280</v>
      </c>
      <c r="H107" s="13"/>
      <c r="I107" s="26"/>
      <c r="J107" s="15"/>
      <c r="K107" s="22">
        <v>0</v>
      </c>
      <c r="L107" s="15" t="s">
        <v>283</v>
      </c>
      <c r="M107" s="15"/>
    </row>
    <row r="108" spans="1:13" hidden="1">
      <c r="A108" s="14">
        <v>107</v>
      </c>
      <c r="B108" s="42">
        <v>45987</v>
      </c>
      <c r="C108" s="12" t="s">
        <v>279</v>
      </c>
      <c r="D108" s="12"/>
      <c r="E108" s="12" t="s">
        <v>280</v>
      </c>
      <c r="F108" s="13"/>
      <c r="G108" s="12" t="s">
        <v>313</v>
      </c>
      <c r="H108" s="13"/>
      <c r="I108" s="26"/>
      <c r="J108" s="15"/>
      <c r="K108" s="22">
        <v>0</v>
      </c>
      <c r="L108" s="15" t="s">
        <v>283</v>
      </c>
      <c r="M108" s="15"/>
    </row>
    <row r="109" spans="1:13" hidden="1">
      <c r="A109" s="14">
        <v>108</v>
      </c>
      <c r="B109" s="42">
        <v>45988</v>
      </c>
      <c r="C109" s="12" t="s">
        <v>279</v>
      </c>
      <c r="D109" s="12"/>
      <c r="E109" s="12" t="s">
        <v>313</v>
      </c>
      <c r="F109" s="13"/>
      <c r="G109" s="12" t="s">
        <v>280</v>
      </c>
      <c r="H109" s="13"/>
      <c r="I109" s="26"/>
      <c r="J109" s="15"/>
      <c r="K109" s="22">
        <v>0</v>
      </c>
      <c r="L109" s="15" t="s">
        <v>283</v>
      </c>
      <c r="M109" s="15"/>
    </row>
    <row r="110" spans="1:13" hidden="1">
      <c r="A110" s="14">
        <v>109</v>
      </c>
      <c r="B110" s="42">
        <v>45992</v>
      </c>
      <c r="C110" s="12" t="s">
        <v>279</v>
      </c>
      <c r="D110" s="12"/>
      <c r="E110" s="12" t="s">
        <v>280</v>
      </c>
      <c r="F110" s="13"/>
      <c r="G110" s="12" t="s">
        <v>281</v>
      </c>
      <c r="H110" s="13"/>
      <c r="I110" s="26"/>
      <c r="J110" s="15"/>
      <c r="K110" s="22">
        <v>0</v>
      </c>
      <c r="L110" s="15" t="s">
        <v>283</v>
      </c>
      <c r="M110" s="15"/>
    </row>
    <row r="111" spans="1:13" hidden="1">
      <c r="A111" s="14">
        <v>110</v>
      </c>
      <c r="B111" s="42">
        <v>45993</v>
      </c>
      <c r="C111" s="12" t="s">
        <v>279</v>
      </c>
      <c r="D111" s="12"/>
      <c r="E111" s="12" t="s">
        <v>281</v>
      </c>
      <c r="F111" s="13"/>
      <c r="G111" s="12" t="s">
        <v>280</v>
      </c>
      <c r="H111" s="13"/>
      <c r="I111" s="26"/>
      <c r="J111" s="15"/>
      <c r="K111" s="22">
        <v>0</v>
      </c>
      <c r="L111" s="15" t="s">
        <v>283</v>
      </c>
      <c r="M111" s="15"/>
    </row>
    <row r="112" spans="1:13" hidden="1">
      <c r="A112" s="14">
        <v>111</v>
      </c>
      <c r="B112" s="42">
        <v>46059</v>
      </c>
      <c r="C112" s="12" t="s">
        <v>279</v>
      </c>
      <c r="D112" s="12">
        <v>303</v>
      </c>
      <c r="E112" s="12" t="s">
        <v>280</v>
      </c>
      <c r="F112" s="13">
        <v>0.2673611111111111</v>
      </c>
      <c r="G112" s="12" t="s">
        <v>281</v>
      </c>
      <c r="H112" s="13">
        <v>0.35416666666666669</v>
      </c>
      <c r="I112" s="26"/>
      <c r="J112" s="15"/>
      <c r="K112" s="22">
        <v>9360</v>
      </c>
      <c r="L112" s="15" t="s">
        <v>283</v>
      </c>
      <c r="M112" s="15"/>
    </row>
    <row r="113" spans="1:13" hidden="1">
      <c r="A113" s="14">
        <v>112</v>
      </c>
      <c r="B113" s="42">
        <v>46059</v>
      </c>
      <c r="C113" s="12" t="s">
        <v>279</v>
      </c>
      <c r="D113" s="12">
        <v>3581</v>
      </c>
      <c r="E113" s="12" t="s">
        <v>281</v>
      </c>
      <c r="F113" s="13">
        <v>0.37847222222222221</v>
      </c>
      <c r="G113" s="12" t="s">
        <v>311</v>
      </c>
      <c r="H113" s="13">
        <v>0.41319444444444442</v>
      </c>
      <c r="I113" s="26"/>
      <c r="J113" s="15"/>
      <c r="K113" s="22">
        <v>8910</v>
      </c>
      <c r="L113" s="15" t="s">
        <v>283</v>
      </c>
      <c r="M113" s="15"/>
    </row>
    <row r="114" spans="1:13" hidden="1">
      <c r="A114" s="14">
        <v>113</v>
      </c>
      <c r="B114" s="42">
        <v>46059</v>
      </c>
      <c r="C114" s="12" t="s">
        <v>279</v>
      </c>
      <c r="D114" s="12">
        <v>3582</v>
      </c>
      <c r="E114" s="12" t="s">
        <v>311</v>
      </c>
      <c r="F114" s="13">
        <v>0.43402777777777779</v>
      </c>
      <c r="G114" s="12" t="s">
        <v>281</v>
      </c>
      <c r="H114" s="13">
        <v>0.47916666666666669</v>
      </c>
      <c r="I114" s="26"/>
      <c r="J114" s="15"/>
      <c r="K114" s="22">
        <v>8910</v>
      </c>
      <c r="L114" s="15" t="s">
        <v>283</v>
      </c>
      <c r="M114" s="15"/>
    </row>
    <row r="115" spans="1:13" hidden="1">
      <c r="A115" s="14">
        <v>114</v>
      </c>
      <c r="B115" s="42">
        <v>46059</v>
      </c>
      <c r="C115" s="12" t="s">
        <v>279</v>
      </c>
      <c r="D115" s="12"/>
      <c r="E115" s="12" t="s">
        <v>281</v>
      </c>
      <c r="F115" s="13">
        <v>0.49305555555555558</v>
      </c>
      <c r="G115" s="12" t="s">
        <v>288</v>
      </c>
      <c r="H115" s="13">
        <v>0.52777777777777779</v>
      </c>
      <c r="I115" s="26"/>
      <c r="J115" s="15"/>
      <c r="K115" s="22">
        <v>19238</v>
      </c>
      <c r="L115" s="15" t="s">
        <v>283</v>
      </c>
      <c r="M115" s="15"/>
    </row>
    <row r="116" spans="1:13" hidden="1">
      <c r="A116" s="14">
        <v>115</v>
      </c>
      <c r="B116" s="42">
        <v>46059</v>
      </c>
      <c r="C116" s="12" t="s">
        <v>279</v>
      </c>
      <c r="D116" s="12"/>
      <c r="E116" s="12" t="s">
        <v>288</v>
      </c>
      <c r="F116" s="13">
        <v>0.54861111111111116</v>
      </c>
      <c r="G116" s="12" t="s">
        <v>281</v>
      </c>
      <c r="H116" s="13">
        <v>0.58333333333333337</v>
      </c>
      <c r="I116" s="26"/>
      <c r="J116" s="15"/>
      <c r="K116" s="22">
        <v>0</v>
      </c>
      <c r="L116" s="15" t="s">
        <v>283</v>
      </c>
      <c r="M116" s="15"/>
    </row>
    <row r="117" spans="1:13" hidden="1">
      <c r="A117" s="14">
        <v>118</v>
      </c>
      <c r="B117" s="42">
        <v>46059</v>
      </c>
      <c r="C117" s="12" t="s">
        <v>290</v>
      </c>
      <c r="D117" s="12">
        <v>63</v>
      </c>
      <c r="E117" s="12" t="s">
        <v>281</v>
      </c>
      <c r="F117" s="13">
        <v>0.73263888888888884</v>
      </c>
      <c r="G117" s="12" t="s">
        <v>291</v>
      </c>
      <c r="H117" s="13">
        <v>0.80902777777777779</v>
      </c>
      <c r="I117" s="26"/>
      <c r="J117" s="15"/>
      <c r="K117" s="22">
        <v>9150</v>
      </c>
      <c r="L117" s="15" t="s">
        <v>283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291</v>
      </c>
      <c r="F118" s="13">
        <v>0.60069444444444442</v>
      </c>
      <c r="G118" s="12" t="s">
        <v>298</v>
      </c>
      <c r="H118" s="13">
        <v>0.64236111111111116</v>
      </c>
      <c r="I118" s="26"/>
      <c r="J118" s="15"/>
      <c r="K118" s="22">
        <v>5740</v>
      </c>
      <c r="L118" s="15" t="s">
        <v>283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298</v>
      </c>
      <c r="F119" s="13">
        <v>0.67013888888888884</v>
      </c>
      <c r="G119" s="12" t="s">
        <v>291</v>
      </c>
      <c r="H119" s="13">
        <v>0.70486111111111116</v>
      </c>
      <c r="I119" s="26"/>
      <c r="J119" s="15"/>
      <c r="K119" s="22">
        <v>5740</v>
      </c>
      <c r="L119" s="15" t="s">
        <v>283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291</v>
      </c>
      <c r="F120" s="13">
        <v>0.72222222222222221</v>
      </c>
      <c r="G120" s="12" t="s">
        <v>317</v>
      </c>
      <c r="H120" s="13">
        <v>0.74652777777777779</v>
      </c>
      <c r="I120" s="26"/>
      <c r="J120" s="15"/>
      <c r="K120" s="22">
        <v>4640</v>
      </c>
      <c r="L120" s="15" t="s">
        <v>283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317</v>
      </c>
      <c r="F121" s="13">
        <v>0.76736111111111116</v>
      </c>
      <c r="G121" s="12" t="s">
        <v>291</v>
      </c>
      <c r="H121" s="13">
        <v>0.79513888888888884</v>
      </c>
      <c r="I121" s="26"/>
      <c r="J121" s="15"/>
      <c r="K121" s="22">
        <v>9260</v>
      </c>
      <c r="L121" s="15" t="s">
        <v>283</v>
      </c>
      <c r="M121" s="15"/>
    </row>
    <row r="122" spans="1:13" hidden="1">
      <c r="A122" s="14">
        <v>130</v>
      </c>
      <c r="B122" s="42">
        <v>46060</v>
      </c>
      <c r="C122" s="12" t="s">
        <v>290</v>
      </c>
      <c r="D122" s="12">
        <v>62</v>
      </c>
      <c r="E122" s="12" t="s">
        <v>291</v>
      </c>
      <c r="F122" s="13">
        <v>0.82291666666666663</v>
      </c>
      <c r="G122" s="12" t="s">
        <v>281</v>
      </c>
      <c r="H122" s="13">
        <v>0.89236111111111116</v>
      </c>
      <c r="I122" s="26"/>
      <c r="J122" s="15"/>
      <c r="K122" s="22">
        <v>10250</v>
      </c>
      <c r="L122" s="15" t="s">
        <v>283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281</v>
      </c>
      <c r="F123" s="13">
        <v>0.30208333333333331</v>
      </c>
      <c r="G123" s="12" t="s">
        <v>291</v>
      </c>
      <c r="H123" s="13">
        <v>0.37847222222222221</v>
      </c>
      <c r="I123" s="26"/>
      <c r="J123" s="15"/>
      <c r="K123" s="22">
        <v>10250</v>
      </c>
      <c r="L123" s="15" t="s">
        <v>283</v>
      </c>
      <c r="M123" s="15"/>
    </row>
    <row r="124" spans="1:13" hidden="1">
      <c r="A124" s="14">
        <v>132</v>
      </c>
      <c r="B124" s="42">
        <v>46061</v>
      </c>
      <c r="C124" s="12" t="s">
        <v>295</v>
      </c>
      <c r="D124" s="12">
        <v>873</v>
      </c>
      <c r="E124" s="12" t="s">
        <v>291</v>
      </c>
      <c r="F124" s="13">
        <v>0.41319444444444442</v>
      </c>
      <c r="G124" s="12" t="s">
        <v>317</v>
      </c>
      <c r="H124" s="13">
        <v>0.43402777777777779</v>
      </c>
      <c r="I124" s="26"/>
      <c r="J124" s="15"/>
      <c r="K124" s="22">
        <v>4640</v>
      </c>
      <c r="L124" s="15" t="s">
        <v>283</v>
      </c>
      <c r="M124" s="15"/>
    </row>
    <row r="125" spans="1:13" hidden="1">
      <c r="A125" s="14">
        <v>133</v>
      </c>
      <c r="B125" s="42">
        <v>46061</v>
      </c>
      <c r="C125" s="12" t="s">
        <v>295</v>
      </c>
      <c r="D125" s="12">
        <v>874</v>
      </c>
      <c r="E125" s="12" t="s">
        <v>317</v>
      </c>
      <c r="F125" s="13">
        <v>0.4548611111111111</v>
      </c>
      <c r="G125" s="12" t="s">
        <v>291</v>
      </c>
      <c r="H125" s="13">
        <v>0.4826388888888889</v>
      </c>
      <c r="I125" s="26"/>
      <c r="J125" s="15"/>
      <c r="K125" s="22">
        <v>6620</v>
      </c>
      <c r="L125" s="15" t="s">
        <v>283</v>
      </c>
      <c r="M125" s="15"/>
    </row>
    <row r="126" spans="1:13" hidden="1">
      <c r="A126" s="14">
        <v>134</v>
      </c>
      <c r="B126" s="42">
        <v>46061</v>
      </c>
      <c r="C126" s="12" t="s">
        <v>290</v>
      </c>
      <c r="D126" s="12">
        <v>559</v>
      </c>
      <c r="E126" s="12" t="s">
        <v>291</v>
      </c>
      <c r="F126" s="13">
        <v>0.50694444444444442</v>
      </c>
      <c r="G126" s="12" t="s">
        <v>298</v>
      </c>
      <c r="H126" s="13">
        <v>0.54861111111111116</v>
      </c>
      <c r="I126" s="26"/>
      <c r="J126" s="15"/>
      <c r="K126" s="22">
        <v>5740</v>
      </c>
      <c r="L126" s="15" t="s">
        <v>283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298</v>
      </c>
      <c r="F127" s="13">
        <v>0.57291666666666663</v>
      </c>
      <c r="G127" s="12" t="s">
        <v>291</v>
      </c>
      <c r="H127" s="13">
        <v>0.60763888888888884</v>
      </c>
      <c r="I127" s="26"/>
      <c r="J127" s="15"/>
      <c r="K127" s="22">
        <v>5740</v>
      </c>
      <c r="L127" s="15" t="s">
        <v>283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291</v>
      </c>
      <c r="F128" s="13">
        <v>0.625</v>
      </c>
      <c r="G128" s="12" t="s">
        <v>294</v>
      </c>
      <c r="H128" s="13">
        <v>0.67013888888888884</v>
      </c>
      <c r="I128" s="26"/>
      <c r="J128" s="15"/>
      <c r="K128" s="22">
        <v>5740</v>
      </c>
      <c r="L128" s="15" t="s">
        <v>283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294</v>
      </c>
      <c r="F129" s="13">
        <v>0.73958333333333337</v>
      </c>
      <c r="G129" s="12" t="s">
        <v>296</v>
      </c>
      <c r="H129" s="13">
        <v>0.76388888888888884</v>
      </c>
      <c r="I129" s="26"/>
      <c r="J129" s="15"/>
      <c r="K129" s="22">
        <v>6600</v>
      </c>
      <c r="L129" s="15" t="s">
        <v>283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296</v>
      </c>
      <c r="F130" s="13">
        <v>0.78472222222222221</v>
      </c>
      <c r="G130" s="12" t="s">
        <v>291</v>
      </c>
      <c r="H130" s="13">
        <v>0.83680555555555558</v>
      </c>
      <c r="I130" s="26"/>
      <c r="J130" s="15"/>
      <c r="K130" s="22">
        <v>10140</v>
      </c>
      <c r="L130" s="15" t="s">
        <v>283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291</v>
      </c>
      <c r="F131" s="13">
        <v>0.87152777777777779</v>
      </c>
      <c r="G131" s="12" t="s">
        <v>280</v>
      </c>
      <c r="H131" s="13">
        <v>0.96180555555555558</v>
      </c>
      <c r="I131" s="26"/>
      <c r="J131" s="15"/>
      <c r="K131" s="22">
        <v>10590</v>
      </c>
      <c r="L131" s="15" t="s">
        <v>283</v>
      </c>
      <c r="M131" s="15"/>
    </row>
    <row r="132" spans="1:13" hidden="1">
      <c r="A132" s="14">
        <v>140</v>
      </c>
      <c r="B132" s="42">
        <v>46063</v>
      </c>
      <c r="C132" s="12" t="s">
        <v>279</v>
      </c>
      <c r="D132" s="12">
        <v>331</v>
      </c>
      <c r="E132" s="12" t="s">
        <v>280</v>
      </c>
      <c r="F132" s="13">
        <v>0.77777777777777779</v>
      </c>
      <c r="G132" s="12" t="s">
        <v>281</v>
      </c>
      <c r="H132" s="13">
        <v>0.86111111111111116</v>
      </c>
      <c r="I132" s="26"/>
      <c r="J132" s="15"/>
      <c r="K132" s="22">
        <v>9360</v>
      </c>
      <c r="L132" s="15" t="s">
        <v>283</v>
      </c>
      <c r="M132" s="15"/>
    </row>
    <row r="133" spans="1:13" hidden="1">
      <c r="A133" s="14">
        <v>141</v>
      </c>
      <c r="B133" s="42">
        <v>46064</v>
      </c>
      <c r="C133" s="12" t="s">
        <v>290</v>
      </c>
      <c r="D133" s="12">
        <v>51</v>
      </c>
      <c r="E133" s="12" t="s">
        <v>281</v>
      </c>
      <c r="F133" s="13">
        <v>0.30208333333333331</v>
      </c>
      <c r="G133" s="12" t="s">
        <v>291</v>
      </c>
      <c r="H133" s="13">
        <v>0.37847222222222221</v>
      </c>
      <c r="I133" s="26"/>
      <c r="J133" s="15"/>
      <c r="K133" s="22">
        <v>10800</v>
      </c>
      <c r="L133" s="15" t="s">
        <v>283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291</v>
      </c>
      <c r="F134" s="13">
        <v>0.41319444444444442</v>
      </c>
      <c r="G134" s="12" t="s">
        <v>294</v>
      </c>
      <c r="H134" s="13">
        <v>0.4548611111111111</v>
      </c>
      <c r="I134" s="26"/>
      <c r="J134" s="15"/>
      <c r="K134" s="22">
        <v>5740</v>
      </c>
      <c r="L134" s="15" t="s">
        <v>283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294</v>
      </c>
      <c r="F135" s="13">
        <v>0.4826388888888889</v>
      </c>
      <c r="G135" s="12" t="s">
        <v>291</v>
      </c>
      <c r="H135" s="13">
        <v>0.52430555555555558</v>
      </c>
      <c r="I135" s="26"/>
      <c r="J135" s="15"/>
      <c r="K135" s="22">
        <v>5740</v>
      </c>
      <c r="L135" s="15" t="s">
        <v>283</v>
      </c>
      <c r="M135" s="15"/>
    </row>
    <row r="136" spans="1:13" hidden="1">
      <c r="A136" s="14">
        <v>144</v>
      </c>
      <c r="B136" s="42">
        <v>46064</v>
      </c>
      <c r="C136" s="12" t="s">
        <v>295</v>
      </c>
      <c r="D136" s="12">
        <v>727</v>
      </c>
      <c r="E136" s="12" t="s">
        <v>291</v>
      </c>
      <c r="F136" s="13">
        <v>0.61805555555555558</v>
      </c>
      <c r="G136" s="12" t="s">
        <v>296</v>
      </c>
      <c r="H136" s="13">
        <v>0.67708333333333337</v>
      </c>
      <c r="I136" s="26"/>
      <c r="J136" s="15"/>
      <c r="K136" s="22">
        <v>10140</v>
      </c>
      <c r="L136" s="15" t="s">
        <v>283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296</v>
      </c>
      <c r="F137" s="13">
        <v>0.69791666666666663</v>
      </c>
      <c r="G137" s="12" t="s">
        <v>294</v>
      </c>
      <c r="H137" s="13">
        <v>0.71875</v>
      </c>
      <c r="I137" s="26"/>
      <c r="J137" s="15"/>
      <c r="K137" s="22">
        <v>7040</v>
      </c>
      <c r="L137" s="15" t="s">
        <v>283</v>
      </c>
      <c r="M137" s="15"/>
    </row>
    <row r="138" spans="1:13" hidden="1">
      <c r="A138" s="14">
        <v>146</v>
      </c>
      <c r="B138" s="42">
        <v>46064</v>
      </c>
      <c r="C138" s="12" t="s">
        <v>279</v>
      </c>
      <c r="D138" s="12">
        <v>974</v>
      </c>
      <c r="E138" s="12" t="s">
        <v>294</v>
      </c>
      <c r="F138" s="13">
        <v>0.80902777777777779</v>
      </c>
      <c r="G138" s="12" t="s">
        <v>280</v>
      </c>
      <c r="H138" s="13">
        <v>0.91666666666666663</v>
      </c>
      <c r="I138" s="26"/>
      <c r="J138" s="15"/>
      <c r="K138" s="22">
        <v>10900</v>
      </c>
      <c r="L138" s="15" t="s">
        <v>283</v>
      </c>
      <c r="M138" s="15"/>
    </row>
    <row r="139" spans="1:13" hidden="1">
      <c r="A139" s="14">
        <v>147</v>
      </c>
      <c r="B139" s="42">
        <v>46074</v>
      </c>
      <c r="C139" s="12" t="s">
        <v>279</v>
      </c>
      <c r="D139" s="12">
        <v>325</v>
      </c>
      <c r="E139" s="12" t="s">
        <v>280</v>
      </c>
      <c r="F139" s="13">
        <v>0.65972222222222221</v>
      </c>
      <c r="G139" s="12" t="s">
        <v>281</v>
      </c>
      <c r="H139" s="13">
        <v>0.74652777777777779</v>
      </c>
      <c r="I139" s="26"/>
      <c r="J139" s="15"/>
      <c r="K139" s="22">
        <f>10460+18600-10010</f>
        <v>19050</v>
      </c>
      <c r="L139" s="15" t="s">
        <v>283</v>
      </c>
      <c r="M139" s="15" t="s">
        <v>330</v>
      </c>
    </row>
    <row r="140" spans="1:13" hidden="1">
      <c r="A140" s="14">
        <v>148</v>
      </c>
      <c r="B140" s="42">
        <v>46074</v>
      </c>
      <c r="C140" s="12" t="s">
        <v>279</v>
      </c>
      <c r="D140" s="12">
        <v>3639</v>
      </c>
      <c r="E140" s="12" t="s">
        <v>281</v>
      </c>
      <c r="F140" s="13">
        <v>0.80208333333333337</v>
      </c>
      <c r="G140" s="12" t="s">
        <v>288</v>
      </c>
      <c r="H140" s="13">
        <v>0.83333333333333337</v>
      </c>
      <c r="I140" s="26"/>
      <c r="J140" s="15"/>
      <c r="K140" s="22">
        <v>11020</v>
      </c>
      <c r="L140" s="15" t="s">
        <v>283</v>
      </c>
      <c r="M140" s="15"/>
    </row>
    <row r="141" spans="1:13" hidden="1">
      <c r="A141" s="14">
        <v>149</v>
      </c>
      <c r="B141" s="42">
        <v>46074</v>
      </c>
      <c r="C141" s="12" t="s">
        <v>279</v>
      </c>
      <c r="D141" s="12">
        <v>3642</v>
      </c>
      <c r="E141" s="12" t="s">
        <v>288</v>
      </c>
      <c r="F141" s="13">
        <v>0.85763888888888884</v>
      </c>
      <c r="G141" s="12" t="s">
        <v>281</v>
      </c>
      <c r="H141" s="13">
        <v>0.89583333333333337</v>
      </c>
      <c r="I141" s="26"/>
      <c r="J141" s="15"/>
      <c r="K141" s="22">
        <v>0</v>
      </c>
      <c r="L141" s="15" t="s">
        <v>283</v>
      </c>
      <c r="M141" s="15"/>
    </row>
    <row r="142" spans="1:13" hidden="1">
      <c r="A142" s="14">
        <v>150</v>
      </c>
      <c r="B142" s="42">
        <v>46075</v>
      </c>
      <c r="C142" s="12" t="s">
        <v>290</v>
      </c>
      <c r="D142" s="12">
        <v>51</v>
      </c>
      <c r="E142" s="12" t="s">
        <v>281</v>
      </c>
      <c r="F142" s="13">
        <v>0.30208333333333331</v>
      </c>
      <c r="G142" s="12" t="s">
        <v>291</v>
      </c>
      <c r="H142" s="13">
        <v>0.37847222222222221</v>
      </c>
      <c r="I142" s="26"/>
      <c r="J142" s="15"/>
      <c r="K142" s="22">
        <v>12670</v>
      </c>
      <c r="L142" s="15" t="s">
        <v>283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291</v>
      </c>
      <c r="F143" s="13">
        <v>0.44791666666666669</v>
      </c>
      <c r="G143" s="12" t="s">
        <v>294</v>
      </c>
      <c r="H143" s="13">
        <v>0.49305555555555558</v>
      </c>
      <c r="I143" s="26"/>
      <c r="J143" s="15"/>
      <c r="K143" s="22">
        <v>5740</v>
      </c>
      <c r="L143" s="15" t="s">
        <v>283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294</v>
      </c>
      <c r="F144" s="13">
        <v>0.52083333333333337</v>
      </c>
      <c r="G144" s="12" t="s">
        <v>291</v>
      </c>
      <c r="H144" s="13">
        <v>0.5625</v>
      </c>
      <c r="I144" s="26"/>
      <c r="J144" s="15"/>
      <c r="K144" s="22">
        <v>5740</v>
      </c>
      <c r="L144" s="15" t="s">
        <v>283</v>
      </c>
      <c r="M144" s="15"/>
    </row>
    <row r="145" spans="1:13" hidden="1">
      <c r="A145" s="14">
        <v>153</v>
      </c>
      <c r="B145" s="42">
        <v>46075</v>
      </c>
      <c r="C145" s="12" t="s">
        <v>290</v>
      </c>
      <c r="D145" s="12">
        <v>563</v>
      </c>
      <c r="E145" s="12" t="s">
        <v>291</v>
      </c>
      <c r="F145" s="13">
        <v>0.60069444444444442</v>
      </c>
      <c r="G145" s="12" t="s">
        <v>298</v>
      </c>
      <c r="H145" s="13">
        <v>0.64236111111111116</v>
      </c>
      <c r="I145" s="26"/>
      <c r="J145" s="15"/>
      <c r="K145" s="22">
        <v>5740</v>
      </c>
      <c r="L145" s="15" t="s">
        <v>283</v>
      </c>
      <c r="M145" s="15"/>
    </row>
    <row r="146" spans="1:13" hidden="1">
      <c r="A146" s="14">
        <v>154</v>
      </c>
      <c r="B146" s="42">
        <v>46075</v>
      </c>
      <c r="C146" s="12" t="s">
        <v>295</v>
      </c>
      <c r="D146" s="12">
        <v>897</v>
      </c>
      <c r="E146" s="12" t="s">
        <v>298</v>
      </c>
      <c r="F146" s="13">
        <v>0.65972222222222221</v>
      </c>
      <c r="G146" s="12" t="s">
        <v>299</v>
      </c>
      <c r="H146" s="13">
        <v>0.67708333333333337</v>
      </c>
      <c r="I146" s="26"/>
      <c r="J146" s="15"/>
      <c r="K146" s="22">
        <v>9350</v>
      </c>
      <c r="L146" s="15" t="s">
        <v>283</v>
      </c>
      <c r="M146" s="15"/>
    </row>
    <row r="147" spans="1:13" hidden="1">
      <c r="A147" s="14">
        <v>155</v>
      </c>
      <c r="B147" s="42">
        <v>46075</v>
      </c>
      <c r="C147" s="12" t="s">
        <v>295</v>
      </c>
      <c r="D147" s="12">
        <v>898</v>
      </c>
      <c r="E147" s="12" t="s">
        <v>299</v>
      </c>
      <c r="F147" s="13">
        <v>0.70138888888888884</v>
      </c>
      <c r="G147" s="12" t="s">
        <v>298</v>
      </c>
      <c r="H147" s="13">
        <v>0.71875</v>
      </c>
      <c r="I147" s="26"/>
      <c r="J147" s="15"/>
      <c r="K147" s="22">
        <v>5500</v>
      </c>
      <c r="L147" s="15" t="s">
        <v>283</v>
      </c>
      <c r="M147" s="15"/>
    </row>
    <row r="148" spans="1:13" hidden="1">
      <c r="A148" s="14">
        <v>156</v>
      </c>
      <c r="B148" s="42">
        <v>46075</v>
      </c>
      <c r="C148" s="12" t="s">
        <v>295</v>
      </c>
      <c r="D148" s="12">
        <v>839</v>
      </c>
      <c r="E148" s="12" t="s">
        <v>298</v>
      </c>
      <c r="F148" s="13">
        <v>0.73958333333333337</v>
      </c>
      <c r="G148" s="12" t="s">
        <v>294</v>
      </c>
      <c r="H148" s="13">
        <v>0.76041666666666663</v>
      </c>
      <c r="I148" s="26"/>
      <c r="J148" s="15"/>
      <c r="K148" s="22">
        <v>14520</v>
      </c>
      <c r="L148" s="15" t="s">
        <v>283</v>
      </c>
      <c r="M148" s="15"/>
    </row>
    <row r="149" spans="1:13" hidden="1">
      <c r="A149" s="14">
        <v>157</v>
      </c>
      <c r="B149" s="42">
        <v>46075</v>
      </c>
      <c r="C149" s="12" t="s">
        <v>279</v>
      </c>
      <c r="D149" s="12">
        <v>974</v>
      </c>
      <c r="E149" s="12" t="s">
        <v>294</v>
      </c>
      <c r="F149" s="13">
        <v>0.80902777777777779</v>
      </c>
      <c r="G149" s="12" t="s">
        <v>280</v>
      </c>
      <c r="H149" s="13">
        <v>0.91666666666666663</v>
      </c>
      <c r="I149" s="26"/>
      <c r="J149" s="15"/>
      <c r="K149" s="22">
        <v>10900</v>
      </c>
      <c r="L149" s="15" t="s">
        <v>283</v>
      </c>
      <c r="M149" s="15"/>
    </row>
    <row r="150" spans="1:13" hidden="1">
      <c r="A150" s="14">
        <v>158</v>
      </c>
      <c r="B150" s="42">
        <v>46078</v>
      </c>
      <c r="C150" s="12" t="s">
        <v>279</v>
      </c>
      <c r="D150" s="12">
        <v>303</v>
      </c>
      <c r="E150" s="12" t="s">
        <v>280</v>
      </c>
      <c r="F150" s="13">
        <v>0.2673611111111111</v>
      </c>
      <c r="G150" s="12" t="s">
        <v>281</v>
      </c>
      <c r="H150" s="13">
        <v>0.35416666666666669</v>
      </c>
      <c r="I150" s="26"/>
      <c r="J150" s="15"/>
      <c r="K150" s="22">
        <v>9360</v>
      </c>
      <c r="L150" s="15" t="s">
        <v>283</v>
      </c>
      <c r="M150" s="15"/>
    </row>
    <row r="151" spans="1:13" hidden="1">
      <c r="A151" s="14">
        <v>159</v>
      </c>
      <c r="B151" s="42">
        <v>46078</v>
      </c>
      <c r="C151" s="12" t="s">
        <v>279</v>
      </c>
      <c r="D151" s="12">
        <v>3581</v>
      </c>
      <c r="E151" s="12" t="s">
        <v>281</v>
      </c>
      <c r="F151" s="13">
        <v>0.37847222222222221</v>
      </c>
      <c r="G151" s="12" t="s">
        <v>311</v>
      </c>
      <c r="H151" s="13">
        <v>0.41319444444444442</v>
      </c>
      <c r="I151" s="26"/>
      <c r="J151" s="15"/>
      <c r="K151" s="22">
        <v>8910</v>
      </c>
      <c r="L151" s="15" t="s">
        <v>283</v>
      </c>
      <c r="M151" s="15"/>
    </row>
    <row r="152" spans="1:13" hidden="1">
      <c r="A152" s="14">
        <v>160</v>
      </c>
      <c r="B152" s="42">
        <v>46078</v>
      </c>
      <c r="C152" s="12" t="s">
        <v>279</v>
      </c>
      <c r="D152" s="12">
        <v>3582</v>
      </c>
      <c r="E152" s="12" t="s">
        <v>311</v>
      </c>
      <c r="F152" s="13">
        <v>0.43402777777777779</v>
      </c>
      <c r="G152" s="12" t="s">
        <v>281</v>
      </c>
      <c r="H152" s="13">
        <v>0.47916666666666669</v>
      </c>
      <c r="I152" s="26"/>
      <c r="J152" s="15"/>
      <c r="K152" s="22">
        <v>8910</v>
      </c>
      <c r="L152" s="15" t="s">
        <v>283</v>
      </c>
      <c r="M152" s="15"/>
    </row>
    <row r="153" spans="1:13" hidden="1">
      <c r="A153" s="14">
        <v>161</v>
      </c>
      <c r="B153" s="42">
        <v>46078</v>
      </c>
      <c r="C153" s="12" t="s">
        <v>290</v>
      </c>
      <c r="D153" s="12">
        <v>57</v>
      </c>
      <c r="E153" s="12" t="s">
        <v>281</v>
      </c>
      <c r="F153" s="13">
        <v>0.54166666666666663</v>
      </c>
      <c r="G153" s="12" t="s">
        <v>291</v>
      </c>
      <c r="H153" s="13">
        <v>0.625</v>
      </c>
      <c r="I153" s="26"/>
      <c r="J153" s="15"/>
      <c r="K153" s="22">
        <v>9150</v>
      </c>
      <c r="L153" s="15" t="s">
        <v>283</v>
      </c>
      <c r="M153" s="15"/>
    </row>
    <row r="154" spans="1:13" hidden="1">
      <c r="A154" s="14">
        <v>162</v>
      </c>
      <c r="B154" s="42">
        <v>46078</v>
      </c>
      <c r="C154" s="12" t="s">
        <v>290</v>
      </c>
      <c r="D154" s="12">
        <v>565</v>
      </c>
      <c r="E154" s="12" t="s">
        <v>291</v>
      </c>
      <c r="F154" s="13">
        <v>0.65277777777777779</v>
      </c>
      <c r="G154" s="12" t="s">
        <v>298</v>
      </c>
      <c r="H154" s="13">
        <v>0.69097222222222221</v>
      </c>
      <c r="I154" s="26"/>
      <c r="J154" s="15"/>
      <c r="K154" s="22">
        <v>4640</v>
      </c>
      <c r="L154" s="15" t="s">
        <v>283</v>
      </c>
      <c r="M154" s="15"/>
    </row>
    <row r="155" spans="1:13" hidden="1">
      <c r="A155" s="14">
        <v>163</v>
      </c>
      <c r="B155" s="42">
        <v>46078</v>
      </c>
      <c r="C155" s="12" t="s">
        <v>290</v>
      </c>
      <c r="D155" s="12">
        <v>564</v>
      </c>
      <c r="E155" s="12" t="s">
        <v>298</v>
      </c>
      <c r="F155" s="13">
        <v>0.71875</v>
      </c>
      <c r="G155" s="12" t="s">
        <v>291</v>
      </c>
      <c r="H155" s="13">
        <v>0.75347222222222221</v>
      </c>
      <c r="I155" s="26"/>
      <c r="J155" s="15"/>
      <c r="K155" s="22">
        <v>4640</v>
      </c>
      <c r="L155" s="15" t="s">
        <v>283</v>
      </c>
      <c r="M155" s="15"/>
    </row>
    <row r="156" spans="1:13" hidden="1">
      <c r="A156" s="14">
        <v>164</v>
      </c>
      <c r="B156" s="42">
        <v>46078</v>
      </c>
      <c r="C156" s="12" t="s">
        <v>279</v>
      </c>
      <c r="D156" s="12">
        <v>920</v>
      </c>
      <c r="E156" s="12" t="s">
        <v>291</v>
      </c>
      <c r="F156" s="13">
        <v>0.82986111111111116</v>
      </c>
      <c r="G156" s="12" t="s">
        <v>280</v>
      </c>
      <c r="H156" s="13">
        <v>0.92013888888888884</v>
      </c>
      <c r="I156" s="26"/>
      <c r="J156" s="15"/>
      <c r="K156" s="22">
        <v>10590</v>
      </c>
      <c r="L156" s="15" t="s">
        <v>283</v>
      </c>
      <c r="M156" s="15"/>
    </row>
    <row r="157" spans="1:13" hidden="1">
      <c r="A157" s="14">
        <v>165</v>
      </c>
      <c r="B157" s="42">
        <v>46012</v>
      </c>
      <c r="C157" s="12" t="s">
        <v>279</v>
      </c>
      <c r="D157" s="12"/>
      <c r="E157" s="12" t="s">
        <v>280</v>
      </c>
      <c r="F157" s="13"/>
      <c r="G157" s="12" t="s">
        <v>281</v>
      </c>
      <c r="H157" s="13"/>
      <c r="I157" s="26"/>
      <c r="J157" s="15"/>
      <c r="K157" s="22">
        <v>0</v>
      </c>
      <c r="L157" s="15" t="s">
        <v>283</v>
      </c>
      <c r="M157" s="15"/>
    </row>
    <row r="158" spans="1:13" hidden="1">
      <c r="A158" s="14">
        <v>166</v>
      </c>
      <c r="B158" s="42">
        <v>46013</v>
      </c>
      <c r="C158" s="12" t="s">
        <v>279</v>
      </c>
      <c r="D158" s="12"/>
      <c r="E158" s="12" t="s">
        <v>281</v>
      </c>
      <c r="F158" s="13"/>
      <c r="G158" s="12" t="s">
        <v>280</v>
      </c>
      <c r="H158" s="13"/>
      <c r="I158" s="26"/>
      <c r="J158" s="15"/>
      <c r="K158" s="22">
        <v>0</v>
      </c>
      <c r="L158" s="15" t="s">
        <v>283</v>
      </c>
      <c r="M158" s="15"/>
    </row>
    <row r="159" spans="1:13" hidden="1">
      <c r="A159" s="14">
        <v>167</v>
      </c>
      <c r="B159" s="42">
        <v>46009</v>
      </c>
      <c r="C159" s="12" t="s">
        <v>279</v>
      </c>
      <c r="D159" s="12"/>
      <c r="E159" s="12" t="s">
        <v>280</v>
      </c>
      <c r="F159" s="13"/>
      <c r="G159" s="12" t="s">
        <v>291</v>
      </c>
      <c r="H159" s="13"/>
      <c r="I159" s="26"/>
      <c r="J159" s="15"/>
      <c r="K159" s="22">
        <v>0</v>
      </c>
      <c r="L159" s="15" t="s">
        <v>283</v>
      </c>
      <c r="M159" s="15"/>
    </row>
    <row r="160" spans="1:13" hidden="1">
      <c r="A160" s="14">
        <v>168</v>
      </c>
      <c r="B160" s="42">
        <v>46010</v>
      </c>
      <c r="C160" s="12" t="s">
        <v>279</v>
      </c>
      <c r="D160" s="12"/>
      <c r="E160" s="12" t="s">
        <v>291</v>
      </c>
      <c r="F160" s="13"/>
      <c r="G160" s="12" t="s">
        <v>280</v>
      </c>
      <c r="H160" s="13"/>
      <c r="I160" s="26"/>
      <c r="J160" s="15"/>
      <c r="K160" s="22">
        <v>0</v>
      </c>
      <c r="L160" s="15" t="s">
        <v>283</v>
      </c>
      <c r="M160" s="15"/>
    </row>
    <row r="161" spans="1:13" hidden="1">
      <c r="A161" s="14">
        <v>169</v>
      </c>
      <c r="B161" s="42">
        <v>46037</v>
      </c>
      <c r="C161" s="12" t="s">
        <v>279</v>
      </c>
      <c r="D161" s="12"/>
      <c r="E161" s="12" t="s">
        <v>280</v>
      </c>
      <c r="F161" s="13"/>
      <c r="G161" s="12" t="s">
        <v>313</v>
      </c>
      <c r="H161" s="13"/>
      <c r="I161" s="26"/>
      <c r="J161" s="15"/>
      <c r="K161" s="22">
        <v>0</v>
      </c>
      <c r="L161" s="15" t="s">
        <v>283</v>
      </c>
      <c r="M161" s="15"/>
    </row>
    <row r="162" spans="1:13" hidden="1">
      <c r="A162" s="14">
        <v>170</v>
      </c>
      <c r="B162" s="42">
        <v>46037</v>
      </c>
      <c r="C162" s="12" t="s">
        <v>279</v>
      </c>
      <c r="D162" s="12"/>
      <c r="E162" s="12" t="s">
        <v>331</v>
      </c>
      <c r="F162" s="13"/>
      <c r="G162" s="12" t="s">
        <v>280</v>
      </c>
      <c r="H162" s="13"/>
      <c r="I162" s="26"/>
      <c r="J162" s="15"/>
      <c r="K162" s="22">
        <v>0</v>
      </c>
      <c r="L162" s="15" t="s">
        <v>283</v>
      </c>
      <c r="M162" s="15"/>
    </row>
    <row r="163" spans="1:13" hidden="1">
      <c r="A163" s="14">
        <v>171</v>
      </c>
      <c r="B163" s="42">
        <v>46028</v>
      </c>
      <c r="C163" s="12" t="s">
        <v>279</v>
      </c>
      <c r="D163" s="12"/>
      <c r="E163" s="12" t="s">
        <v>280</v>
      </c>
      <c r="F163" s="13"/>
      <c r="G163" s="12" t="s">
        <v>332</v>
      </c>
      <c r="H163" s="13"/>
      <c r="I163" s="26"/>
      <c r="J163" s="15"/>
      <c r="K163" s="22">
        <v>0</v>
      </c>
      <c r="L163" s="15" t="s">
        <v>283</v>
      </c>
      <c r="M163" s="15"/>
    </row>
    <row r="164" spans="1:13" hidden="1">
      <c r="A164" s="14">
        <v>172</v>
      </c>
      <c r="B164" s="42">
        <v>46030</v>
      </c>
      <c r="C164" s="12" t="s">
        <v>279</v>
      </c>
      <c r="D164" s="12"/>
      <c r="E164" s="12" t="s">
        <v>332</v>
      </c>
      <c r="F164" s="13"/>
      <c r="G164" s="12" t="s">
        <v>280</v>
      </c>
      <c r="H164" s="13"/>
      <c r="I164" s="26"/>
      <c r="J164" s="15"/>
      <c r="K164" s="22">
        <v>0</v>
      </c>
      <c r="L164" s="15" t="s">
        <v>283</v>
      </c>
      <c r="M164" s="15"/>
    </row>
    <row r="165" spans="1:13" hidden="1">
      <c r="A165" s="14">
        <v>173</v>
      </c>
      <c r="B165" s="42">
        <v>46091</v>
      </c>
      <c r="C165" s="12" t="s">
        <v>279</v>
      </c>
      <c r="D165" s="12" t="s">
        <v>333</v>
      </c>
      <c r="E165" s="12" t="s">
        <v>280</v>
      </c>
      <c r="F165" s="13">
        <v>0.2638888888888889</v>
      </c>
      <c r="G165" s="12" t="s">
        <v>291</v>
      </c>
      <c r="H165" s="13">
        <v>0.38194444444444442</v>
      </c>
      <c r="I165" s="26"/>
      <c r="J165" s="15"/>
      <c r="K165" s="22">
        <v>10590</v>
      </c>
      <c r="L165" s="15" t="s">
        <v>283</v>
      </c>
      <c r="M165" s="15"/>
    </row>
    <row r="166" spans="1:13" hidden="1">
      <c r="A166" s="14">
        <v>174</v>
      </c>
      <c r="B166" s="42">
        <v>46091</v>
      </c>
      <c r="C166" s="12" t="s">
        <v>290</v>
      </c>
      <c r="D166" s="12" t="s">
        <v>334</v>
      </c>
      <c r="E166" s="12" t="s">
        <v>291</v>
      </c>
      <c r="F166" s="13">
        <v>0.40625</v>
      </c>
      <c r="G166" s="12" t="s">
        <v>294</v>
      </c>
      <c r="H166" s="13">
        <v>0.44791666666666669</v>
      </c>
      <c r="I166" s="26"/>
      <c r="J166" s="15"/>
      <c r="K166" s="22">
        <v>4640</v>
      </c>
      <c r="L166" s="15" t="s">
        <v>283</v>
      </c>
      <c r="M166" s="15"/>
    </row>
    <row r="167" spans="1:13" hidden="1">
      <c r="A167" s="14">
        <v>175</v>
      </c>
      <c r="B167" s="42">
        <v>46091</v>
      </c>
      <c r="C167" s="12" t="s">
        <v>295</v>
      </c>
      <c r="D167" s="12" t="s">
        <v>335</v>
      </c>
      <c r="E167" s="12" t="s">
        <v>294</v>
      </c>
      <c r="F167" s="13">
        <v>0.52430555555555558</v>
      </c>
      <c r="G167" s="12" t="s">
        <v>296</v>
      </c>
      <c r="H167" s="13">
        <v>0.54513888888888884</v>
      </c>
      <c r="I167" s="26"/>
      <c r="J167" s="15"/>
      <c r="K167" s="22">
        <v>7150</v>
      </c>
      <c r="L167" s="15" t="s">
        <v>283</v>
      </c>
      <c r="M167" s="15"/>
    </row>
    <row r="168" spans="1:13" hidden="1">
      <c r="A168" s="14">
        <v>176</v>
      </c>
      <c r="B168" s="42">
        <v>46091</v>
      </c>
      <c r="C168" s="12" t="s">
        <v>295</v>
      </c>
      <c r="D168" s="12" t="s">
        <v>336</v>
      </c>
      <c r="E168" s="12" t="s">
        <v>296</v>
      </c>
      <c r="F168" s="13">
        <v>0.56597222222222221</v>
      </c>
      <c r="G168" s="12" t="s">
        <v>294</v>
      </c>
      <c r="H168" s="13">
        <v>0.58680555555555558</v>
      </c>
      <c r="I168" s="26"/>
      <c r="J168" s="15"/>
      <c r="K168" s="22">
        <v>7150</v>
      </c>
      <c r="L168" s="15" t="s">
        <v>283</v>
      </c>
      <c r="M168" s="15"/>
    </row>
    <row r="169" spans="1:13" hidden="1">
      <c r="A169" s="14">
        <v>177</v>
      </c>
      <c r="B169" s="42">
        <v>46091</v>
      </c>
      <c r="C169" s="12" t="s">
        <v>295</v>
      </c>
      <c r="D169" s="12" t="s">
        <v>337</v>
      </c>
      <c r="E169" s="12" t="s">
        <v>294</v>
      </c>
      <c r="F169" s="13">
        <v>0.61111111111111116</v>
      </c>
      <c r="G169" s="12" t="s">
        <v>298</v>
      </c>
      <c r="H169" s="13">
        <v>0.63541666666666663</v>
      </c>
      <c r="I169" s="26"/>
      <c r="J169" s="15"/>
      <c r="K169" s="22">
        <v>15510</v>
      </c>
      <c r="L169" s="15" t="s">
        <v>283</v>
      </c>
      <c r="M169" s="15"/>
    </row>
    <row r="170" spans="1:13" hidden="1">
      <c r="A170" s="14">
        <v>178</v>
      </c>
      <c r="B170" s="42">
        <v>46091</v>
      </c>
      <c r="C170" s="12" t="s">
        <v>295</v>
      </c>
      <c r="D170" s="12" t="s">
        <v>338</v>
      </c>
      <c r="E170" s="12" t="s">
        <v>298</v>
      </c>
      <c r="F170" s="13">
        <v>0.65625</v>
      </c>
      <c r="G170" s="12" t="s">
        <v>299</v>
      </c>
      <c r="H170" s="13">
        <v>0.67361111111111116</v>
      </c>
      <c r="I170" s="26"/>
      <c r="J170" s="15"/>
      <c r="K170" s="22">
        <v>6600</v>
      </c>
      <c r="L170" s="15" t="s">
        <v>283</v>
      </c>
      <c r="M170" s="15"/>
    </row>
    <row r="171" spans="1:13" hidden="1">
      <c r="A171" s="14">
        <v>179</v>
      </c>
      <c r="B171" s="42">
        <v>46091</v>
      </c>
      <c r="C171" s="12" t="s">
        <v>295</v>
      </c>
      <c r="D171" s="12" t="s">
        <v>339</v>
      </c>
      <c r="E171" s="12" t="s">
        <v>299</v>
      </c>
      <c r="F171" s="13">
        <v>0.69791666666666663</v>
      </c>
      <c r="G171" s="12" t="s">
        <v>298</v>
      </c>
      <c r="H171" s="13">
        <v>0.71527777777777779</v>
      </c>
      <c r="I171" s="26"/>
      <c r="J171" s="15"/>
      <c r="K171" s="22">
        <v>6600</v>
      </c>
      <c r="L171" s="15" t="s">
        <v>283</v>
      </c>
      <c r="M171" s="15"/>
    </row>
    <row r="172" spans="1:13" hidden="1">
      <c r="A172" s="14">
        <v>180</v>
      </c>
      <c r="B172" s="42">
        <v>46091</v>
      </c>
      <c r="C172" s="12" t="s">
        <v>295</v>
      </c>
      <c r="D172" s="12" t="s">
        <v>340</v>
      </c>
      <c r="E172" s="12" t="s">
        <v>298</v>
      </c>
      <c r="F172" s="13">
        <v>0.73611111111111116</v>
      </c>
      <c r="G172" s="12" t="s">
        <v>294</v>
      </c>
      <c r="H172" s="13">
        <v>0.75694444444444442</v>
      </c>
      <c r="I172" s="26"/>
      <c r="J172" s="15"/>
      <c r="K172" s="22">
        <v>6600</v>
      </c>
      <c r="L172" s="15" t="s">
        <v>283</v>
      </c>
      <c r="M172" s="15"/>
    </row>
    <row r="173" spans="1:13" hidden="1">
      <c r="A173" s="14">
        <v>181</v>
      </c>
      <c r="B173" s="42">
        <v>46091</v>
      </c>
      <c r="C173" s="12" t="s">
        <v>290</v>
      </c>
      <c r="D173" s="12" t="s">
        <v>341</v>
      </c>
      <c r="E173" s="12" t="s">
        <v>294</v>
      </c>
      <c r="F173" s="13">
        <v>0.78472222222222221</v>
      </c>
      <c r="G173" s="12" t="s">
        <v>291</v>
      </c>
      <c r="H173" s="13">
        <v>0.82638888888888884</v>
      </c>
      <c r="I173" s="26"/>
      <c r="J173" s="15"/>
      <c r="K173" s="22">
        <v>4640</v>
      </c>
      <c r="L173" s="15" t="s">
        <v>283</v>
      </c>
      <c r="M173" s="15"/>
    </row>
    <row r="174" spans="1:13" hidden="1">
      <c r="A174" s="14">
        <v>182</v>
      </c>
      <c r="B174" s="42">
        <v>46091</v>
      </c>
      <c r="C174" s="12" t="s">
        <v>279</v>
      </c>
      <c r="D174" s="12" t="s">
        <v>342</v>
      </c>
      <c r="E174" s="12" t="s">
        <v>291</v>
      </c>
      <c r="F174" s="13">
        <v>0.86805555555555558</v>
      </c>
      <c r="G174" s="12" t="s">
        <v>280</v>
      </c>
      <c r="H174" s="13">
        <v>0.96180555555555558</v>
      </c>
      <c r="I174" s="26"/>
      <c r="J174" s="15"/>
      <c r="K174" s="22">
        <v>10590</v>
      </c>
      <c r="L174" s="15" t="s">
        <v>283</v>
      </c>
      <c r="M174" s="15"/>
    </row>
    <row r="175" spans="1:13" hidden="1">
      <c r="A175" s="14">
        <v>183</v>
      </c>
      <c r="B175" s="42">
        <v>46049</v>
      </c>
      <c r="C175" s="12" t="s">
        <v>279</v>
      </c>
      <c r="D175" s="12"/>
      <c r="E175" s="12" t="s">
        <v>280</v>
      </c>
      <c r="F175" s="13">
        <v>0.40277777777777779</v>
      </c>
      <c r="G175" s="12" t="s">
        <v>291</v>
      </c>
      <c r="H175" s="13">
        <v>0.52777777777777779</v>
      </c>
      <c r="I175" s="26"/>
      <c r="J175" s="15"/>
      <c r="K175" s="22">
        <v>0</v>
      </c>
      <c r="L175" s="15" t="s">
        <v>283</v>
      </c>
      <c r="M175" s="15"/>
    </row>
    <row r="176" spans="1:13" hidden="1">
      <c r="A176" s="14">
        <v>184</v>
      </c>
      <c r="B176" s="42">
        <v>46050</v>
      </c>
      <c r="C176" s="12" t="s">
        <v>279</v>
      </c>
      <c r="D176" s="12"/>
      <c r="E176" s="12" t="s">
        <v>291</v>
      </c>
      <c r="F176" s="13">
        <v>0.47569444444444442</v>
      </c>
      <c r="G176" s="12" t="s">
        <v>280</v>
      </c>
      <c r="H176" s="13">
        <v>0.56597222222222221</v>
      </c>
      <c r="I176" s="26"/>
      <c r="J176" s="15"/>
      <c r="K176" s="22">
        <v>0</v>
      </c>
      <c r="L176" s="15" t="s">
        <v>283</v>
      </c>
      <c r="M176" s="15"/>
    </row>
    <row r="177" spans="1:13" hidden="1">
      <c r="A177" s="14">
        <v>185</v>
      </c>
      <c r="B177" s="42">
        <v>46055</v>
      </c>
      <c r="C177" s="12" t="s">
        <v>279</v>
      </c>
      <c r="D177" s="12"/>
      <c r="E177" s="12" t="s">
        <v>280</v>
      </c>
      <c r="F177" s="13">
        <v>0.49652777777777779</v>
      </c>
      <c r="G177" s="12" t="s">
        <v>291</v>
      </c>
      <c r="H177" s="13">
        <v>0.61805555555555558</v>
      </c>
      <c r="I177" s="26"/>
      <c r="J177" s="15"/>
      <c r="K177" s="22">
        <v>0</v>
      </c>
      <c r="L177" s="15" t="s">
        <v>283</v>
      </c>
      <c r="M177" s="15"/>
    </row>
    <row r="178" spans="1:13" hidden="1">
      <c r="A178" s="14">
        <v>186</v>
      </c>
      <c r="B178" s="42">
        <v>46057</v>
      </c>
      <c r="C178" s="12" t="s">
        <v>279</v>
      </c>
      <c r="D178" s="12"/>
      <c r="E178" s="12" t="s">
        <v>291</v>
      </c>
      <c r="F178" s="13">
        <v>0.47569444444444442</v>
      </c>
      <c r="G178" s="12" t="s">
        <v>280</v>
      </c>
      <c r="H178" s="13">
        <v>0.56597222222222221</v>
      </c>
      <c r="I178" s="26"/>
      <c r="J178" s="15"/>
      <c r="K178" s="22">
        <v>0</v>
      </c>
      <c r="L178" s="15" t="s">
        <v>283</v>
      </c>
      <c r="M178" s="15"/>
    </row>
    <row r="179" spans="1:13" hidden="1">
      <c r="A179" s="14">
        <v>187</v>
      </c>
      <c r="B179" s="42">
        <v>46062</v>
      </c>
      <c r="C179" s="12" t="s">
        <v>279</v>
      </c>
      <c r="D179" s="12"/>
      <c r="E179" s="12" t="s">
        <v>280</v>
      </c>
      <c r="F179" s="13">
        <v>0.32291666666666669</v>
      </c>
      <c r="G179" s="12" t="s">
        <v>324</v>
      </c>
      <c r="H179" s="13">
        <v>0.38194444444444442</v>
      </c>
      <c r="I179" s="26"/>
      <c r="J179" s="15"/>
      <c r="K179" s="22">
        <v>0</v>
      </c>
      <c r="L179" s="15" t="s">
        <v>283</v>
      </c>
      <c r="M179" s="15"/>
    </row>
    <row r="180" spans="1:13" hidden="1">
      <c r="A180" s="14">
        <v>188</v>
      </c>
      <c r="B180" s="42">
        <v>46063</v>
      </c>
      <c r="C180" s="12" t="s">
        <v>279</v>
      </c>
      <c r="D180" s="12"/>
      <c r="E180" s="12" t="s">
        <v>324</v>
      </c>
      <c r="F180" s="13">
        <v>0.2986111111111111</v>
      </c>
      <c r="G180" s="12" t="s">
        <v>280</v>
      </c>
      <c r="H180" s="13">
        <v>0.35069444444444442</v>
      </c>
      <c r="I180" s="26"/>
      <c r="J180" s="15"/>
      <c r="K180" s="22">
        <v>0</v>
      </c>
      <c r="L180" s="15" t="s">
        <v>283</v>
      </c>
      <c r="M180" s="15"/>
    </row>
    <row r="181" spans="1:13" hidden="1">
      <c r="A181" s="14">
        <v>189</v>
      </c>
      <c r="B181" s="42">
        <v>46125</v>
      </c>
      <c r="C181" s="12" t="s">
        <v>279</v>
      </c>
      <c r="D181" s="12">
        <v>585</v>
      </c>
      <c r="E181" s="12" t="s">
        <v>280</v>
      </c>
      <c r="F181" s="13">
        <v>0.3125</v>
      </c>
      <c r="G181" s="12" t="s">
        <v>343</v>
      </c>
      <c r="H181" s="13">
        <v>0.36805555555555558</v>
      </c>
      <c r="I181" s="26">
        <v>0.12152777777777778</v>
      </c>
      <c r="J181" s="15" t="s">
        <v>344</v>
      </c>
      <c r="K181" s="22">
        <v>9800</v>
      </c>
      <c r="L181" s="15" t="s">
        <v>283</v>
      </c>
      <c r="M181" s="15"/>
    </row>
    <row r="182" spans="1:13" hidden="1">
      <c r="A182" s="14">
        <v>190</v>
      </c>
      <c r="B182" s="42">
        <v>46125</v>
      </c>
      <c r="C182" s="12" t="s">
        <v>345</v>
      </c>
      <c r="D182" s="12">
        <v>2791</v>
      </c>
      <c r="E182" s="12" t="s">
        <v>343</v>
      </c>
      <c r="F182" s="13">
        <v>0.48958333333333331</v>
      </c>
      <c r="G182" s="12" t="s">
        <v>346</v>
      </c>
      <c r="H182" s="13">
        <v>0.51041666666666663</v>
      </c>
      <c r="I182" s="26">
        <v>2.0833333333333332E-2</v>
      </c>
      <c r="J182" s="15" t="s">
        <v>344</v>
      </c>
      <c r="K182" s="22">
        <v>11912</v>
      </c>
      <c r="L182" s="15" t="s">
        <v>283</v>
      </c>
      <c r="M182" s="15"/>
    </row>
    <row r="183" spans="1:13" hidden="1">
      <c r="A183" s="14">
        <v>191</v>
      </c>
      <c r="B183" s="42">
        <v>46125</v>
      </c>
      <c r="C183" s="12" t="s">
        <v>345</v>
      </c>
      <c r="D183" s="12">
        <v>2792</v>
      </c>
      <c r="E183" s="12" t="s">
        <v>346</v>
      </c>
      <c r="F183" s="13">
        <v>0.53125</v>
      </c>
      <c r="G183" s="12" t="s">
        <v>343</v>
      </c>
      <c r="H183" s="13">
        <v>0.55208333333333337</v>
      </c>
      <c r="I183" s="26">
        <v>2.0833333333333332E-2</v>
      </c>
      <c r="J183" s="15" t="s">
        <v>344</v>
      </c>
      <c r="K183" s="22">
        <v>0</v>
      </c>
      <c r="L183" s="15" t="s">
        <v>283</v>
      </c>
      <c r="M183" s="15"/>
    </row>
    <row r="184" spans="1:13" hidden="1">
      <c r="A184" s="14">
        <v>192</v>
      </c>
      <c r="B184" s="42">
        <v>46125</v>
      </c>
      <c r="C184" s="12" t="s">
        <v>345</v>
      </c>
      <c r="D184" s="12">
        <v>2748</v>
      </c>
      <c r="E184" s="12" t="s">
        <v>343</v>
      </c>
      <c r="F184" s="13">
        <v>0.57291666666666663</v>
      </c>
      <c r="G184" s="12" t="s">
        <v>347</v>
      </c>
      <c r="H184" s="13">
        <v>0.60069444444444442</v>
      </c>
      <c r="I184" s="26">
        <v>3.125E-2</v>
      </c>
      <c r="J184" s="15" t="s">
        <v>344</v>
      </c>
      <c r="K184" s="22">
        <v>13584</v>
      </c>
      <c r="L184" s="15" t="s">
        <v>283</v>
      </c>
      <c r="M184" s="15"/>
    </row>
    <row r="185" spans="1:13" hidden="1">
      <c r="A185" s="14">
        <v>193</v>
      </c>
      <c r="B185" s="42">
        <v>46125</v>
      </c>
      <c r="C185" s="12" t="s">
        <v>345</v>
      </c>
      <c r="D185" s="12">
        <v>2737</v>
      </c>
      <c r="E185" s="12" t="s">
        <v>347</v>
      </c>
      <c r="F185" s="13">
        <v>0.63194444444444442</v>
      </c>
      <c r="G185" s="12" t="s">
        <v>348</v>
      </c>
      <c r="H185" s="13">
        <v>0.66666666666666663</v>
      </c>
      <c r="I185" s="26">
        <v>2.0833333333333332E-2</v>
      </c>
      <c r="J185" s="15" t="s">
        <v>344</v>
      </c>
      <c r="K185" s="22">
        <v>5940</v>
      </c>
      <c r="L185" s="15" t="s">
        <v>283</v>
      </c>
      <c r="M185" s="15"/>
    </row>
    <row r="186" spans="1:13" hidden="1">
      <c r="A186" s="14">
        <v>194</v>
      </c>
      <c r="B186" s="42">
        <v>46125</v>
      </c>
      <c r="C186" s="12" t="s">
        <v>345</v>
      </c>
      <c r="D186" s="12">
        <v>2738</v>
      </c>
      <c r="E186" s="12" t="s">
        <v>348</v>
      </c>
      <c r="F186" s="13">
        <v>0.6875</v>
      </c>
      <c r="G186" s="12" t="s">
        <v>347</v>
      </c>
      <c r="H186" s="13">
        <v>0.72569444444444442</v>
      </c>
      <c r="I186" s="26">
        <v>2.7777777777777776E-2</v>
      </c>
      <c r="J186" s="15" t="s">
        <v>344</v>
      </c>
      <c r="K186" s="22">
        <v>5940</v>
      </c>
      <c r="L186" s="15" t="s">
        <v>283</v>
      </c>
      <c r="M186" s="15"/>
    </row>
    <row r="187" spans="1:13" hidden="1">
      <c r="A187" s="14">
        <v>195</v>
      </c>
      <c r="B187" s="42">
        <v>46125</v>
      </c>
      <c r="C187" s="12" t="s">
        <v>345</v>
      </c>
      <c r="D187" s="12">
        <v>2755</v>
      </c>
      <c r="E187" s="12" t="s">
        <v>347</v>
      </c>
      <c r="F187" s="13">
        <v>0.75347222222222221</v>
      </c>
      <c r="G187" s="12" t="s">
        <v>343</v>
      </c>
      <c r="H187" s="13">
        <v>0.78125</v>
      </c>
      <c r="I187" s="26">
        <v>3.125E-2</v>
      </c>
      <c r="J187" s="15" t="s">
        <v>344</v>
      </c>
      <c r="K187" s="22">
        <v>0</v>
      </c>
      <c r="L187" s="15" t="s">
        <v>283</v>
      </c>
      <c r="M187" s="15"/>
    </row>
    <row r="188" spans="1:13" hidden="1">
      <c r="A188" s="14">
        <v>196</v>
      </c>
      <c r="B188" s="42">
        <v>46125</v>
      </c>
      <c r="C188" s="12" t="s">
        <v>279</v>
      </c>
      <c r="D188" s="12">
        <v>588</v>
      </c>
      <c r="E188" s="12" t="s">
        <v>343</v>
      </c>
      <c r="F188" s="13">
        <v>0.8125</v>
      </c>
      <c r="G188" s="12" t="s">
        <v>280</v>
      </c>
      <c r="H188" s="13">
        <v>0.875</v>
      </c>
      <c r="I188" s="26"/>
      <c r="J188" s="15" t="s">
        <v>344</v>
      </c>
      <c r="K188" s="22">
        <v>9800</v>
      </c>
      <c r="L188" s="15" t="s">
        <v>283</v>
      </c>
      <c r="M188" s="15"/>
    </row>
    <row r="189" spans="1:13" hidden="1">
      <c r="A189" s="14">
        <v>197</v>
      </c>
      <c r="B189" s="42">
        <v>46137</v>
      </c>
      <c r="C189" s="12" t="s">
        <v>279</v>
      </c>
      <c r="D189" s="12">
        <v>553</v>
      </c>
      <c r="E189" s="12" t="s">
        <v>280</v>
      </c>
      <c r="F189" s="13">
        <v>0.46527777777777779</v>
      </c>
      <c r="G189" s="12" t="s">
        <v>349</v>
      </c>
      <c r="H189" s="13">
        <v>0.53125</v>
      </c>
      <c r="I189" s="26">
        <v>3.4722222222222224E-2</v>
      </c>
      <c r="J189" s="15" t="s">
        <v>344</v>
      </c>
      <c r="K189" s="22">
        <v>9800</v>
      </c>
      <c r="L189" s="15" t="s">
        <v>283</v>
      </c>
      <c r="M189" s="15"/>
    </row>
    <row r="190" spans="1:13" hidden="1">
      <c r="A190" s="14">
        <v>198</v>
      </c>
      <c r="B190" s="42">
        <v>46137</v>
      </c>
      <c r="C190" s="12" t="s">
        <v>279</v>
      </c>
      <c r="D190" s="12">
        <v>554</v>
      </c>
      <c r="E190" s="12" t="s">
        <v>349</v>
      </c>
      <c r="F190" s="13">
        <v>0.56597222222222221</v>
      </c>
      <c r="G190" s="12" t="s">
        <v>280</v>
      </c>
      <c r="H190" s="13">
        <v>0.64236111111111116</v>
      </c>
      <c r="I190" s="26">
        <v>4.1666666666666664E-2</v>
      </c>
      <c r="J190" s="15" t="s">
        <v>344</v>
      </c>
      <c r="K190" s="22">
        <v>9800</v>
      </c>
      <c r="L190" s="15" t="s">
        <v>283</v>
      </c>
      <c r="M190" s="15"/>
    </row>
    <row r="191" spans="1:13" hidden="1">
      <c r="A191" s="14">
        <v>199</v>
      </c>
      <c r="B191" s="42">
        <v>46137</v>
      </c>
      <c r="C191" s="12" t="s">
        <v>279</v>
      </c>
      <c r="D191" s="12">
        <v>695</v>
      </c>
      <c r="E191" s="12" t="s">
        <v>280</v>
      </c>
      <c r="F191" s="13">
        <v>0.68402777777777779</v>
      </c>
      <c r="G191" s="12" t="s">
        <v>288</v>
      </c>
      <c r="H191" s="13">
        <v>0.75694444444444442</v>
      </c>
      <c r="I191" s="26">
        <v>9.7222222222222224E-2</v>
      </c>
      <c r="J191" s="15" t="s">
        <v>344</v>
      </c>
      <c r="K191" s="22">
        <v>10900</v>
      </c>
      <c r="L191" s="15" t="s">
        <v>283</v>
      </c>
      <c r="M191" s="15"/>
    </row>
    <row r="192" spans="1:13" hidden="1">
      <c r="A192" s="14">
        <v>200</v>
      </c>
      <c r="B192" s="42">
        <v>46137</v>
      </c>
      <c r="C192" s="12" t="s">
        <v>279</v>
      </c>
      <c r="D192" s="12">
        <v>3642</v>
      </c>
      <c r="E192" s="12" t="s">
        <v>288</v>
      </c>
      <c r="F192" s="13">
        <v>0.85416666666666663</v>
      </c>
      <c r="G192" s="12" t="s">
        <v>281</v>
      </c>
      <c r="H192" s="13">
        <v>0.89583333333333337</v>
      </c>
      <c r="I192" s="26"/>
      <c r="J192" s="15" t="s">
        <v>344</v>
      </c>
      <c r="K192" s="22">
        <v>5610</v>
      </c>
      <c r="L192" s="15" t="s">
        <v>283</v>
      </c>
      <c r="M192" s="15"/>
    </row>
    <row r="193" spans="1:13" hidden="1">
      <c r="A193" s="14">
        <v>201</v>
      </c>
      <c r="B193" s="42">
        <v>46138</v>
      </c>
      <c r="C193" s="12" t="s">
        <v>290</v>
      </c>
      <c r="D193" s="12">
        <v>51</v>
      </c>
      <c r="E193" s="12" t="s">
        <v>281</v>
      </c>
      <c r="F193" s="13">
        <v>0.30208333333333331</v>
      </c>
      <c r="G193" s="12" t="s">
        <v>291</v>
      </c>
      <c r="H193" s="13">
        <v>0.37847222222222221</v>
      </c>
      <c r="I193" s="26">
        <v>2.7777777777777776E-2</v>
      </c>
      <c r="J193" s="15" t="s">
        <v>344</v>
      </c>
      <c r="K193" s="22">
        <v>10250</v>
      </c>
      <c r="L193" s="15" t="s">
        <v>283</v>
      </c>
      <c r="M193" s="15"/>
    </row>
    <row r="194" spans="1:13" hidden="1">
      <c r="A194" s="14">
        <v>202</v>
      </c>
      <c r="B194" s="42">
        <v>46138</v>
      </c>
      <c r="C194" s="12" t="s">
        <v>290</v>
      </c>
      <c r="D194" s="12">
        <v>605</v>
      </c>
      <c r="E194" s="12" t="s">
        <v>291</v>
      </c>
      <c r="F194" s="13">
        <v>0.40625</v>
      </c>
      <c r="G194" s="12" t="s">
        <v>294</v>
      </c>
      <c r="H194" s="13">
        <v>0.44791666666666669</v>
      </c>
      <c r="I194" s="26">
        <v>7.2916666666666671E-2</v>
      </c>
      <c r="J194" s="15" t="s">
        <v>344</v>
      </c>
      <c r="K194" s="22">
        <v>4640</v>
      </c>
      <c r="L194" s="15" t="s">
        <v>283</v>
      </c>
      <c r="M194" s="15"/>
    </row>
    <row r="195" spans="1:13" hidden="1">
      <c r="A195" s="14">
        <v>203</v>
      </c>
      <c r="B195" s="42">
        <v>46138</v>
      </c>
      <c r="C195" s="12" t="s">
        <v>290</v>
      </c>
      <c r="D195" s="12">
        <v>608</v>
      </c>
      <c r="E195" s="12" t="s">
        <v>294</v>
      </c>
      <c r="F195" s="13">
        <v>0.52083333333333337</v>
      </c>
      <c r="G195" s="12" t="s">
        <v>291</v>
      </c>
      <c r="H195" s="13">
        <v>0.5625</v>
      </c>
      <c r="I195" s="26">
        <v>2.7777777777777776E-2</v>
      </c>
      <c r="J195" s="15" t="s">
        <v>344</v>
      </c>
      <c r="K195" s="22">
        <v>5740</v>
      </c>
      <c r="L195" s="15" t="s">
        <v>283</v>
      </c>
      <c r="M195" s="15"/>
    </row>
    <row r="196" spans="1:13" hidden="1">
      <c r="A196" s="14">
        <v>204</v>
      </c>
      <c r="B196" s="42">
        <v>46138</v>
      </c>
      <c r="C196" s="12" t="s">
        <v>290</v>
      </c>
      <c r="D196" s="12">
        <v>211</v>
      </c>
      <c r="E196" s="12" t="s">
        <v>291</v>
      </c>
      <c r="F196" s="13">
        <v>0.59027777777777779</v>
      </c>
      <c r="G196" s="12" t="s">
        <v>317</v>
      </c>
      <c r="H196" s="13">
        <v>0.61458333333333337</v>
      </c>
      <c r="I196" s="26">
        <v>1.0416666666666666E-2</v>
      </c>
      <c r="J196" s="15" t="s">
        <v>344</v>
      </c>
      <c r="K196" s="22">
        <v>4640</v>
      </c>
      <c r="L196" s="15" t="s">
        <v>283</v>
      </c>
      <c r="M196" s="15"/>
    </row>
    <row r="197" spans="1:13" hidden="1">
      <c r="A197" s="14">
        <v>205</v>
      </c>
      <c r="B197" s="42">
        <v>46138</v>
      </c>
      <c r="C197" s="12" t="s">
        <v>290</v>
      </c>
      <c r="D197" s="12">
        <v>212</v>
      </c>
      <c r="E197" s="12" t="s">
        <v>317</v>
      </c>
      <c r="F197" s="13">
        <v>0.625</v>
      </c>
      <c r="G197" s="12" t="s">
        <v>291</v>
      </c>
      <c r="H197" s="13">
        <v>0.65277777777777779</v>
      </c>
      <c r="I197" s="26">
        <v>2.7777777777777776E-2</v>
      </c>
      <c r="J197" s="15" t="s">
        <v>344</v>
      </c>
      <c r="K197" s="22">
        <v>5190</v>
      </c>
      <c r="L197" s="15" t="s">
        <v>283</v>
      </c>
      <c r="M197" s="15"/>
    </row>
    <row r="198" spans="1:13" hidden="1">
      <c r="A198" s="14">
        <v>206</v>
      </c>
      <c r="B198" s="42">
        <v>46138</v>
      </c>
      <c r="C198" s="12" t="s">
        <v>290</v>
      </c>
      <c r="D198" s="12">
        <v>567</v>
      </c>
      <c r="E198" s="12" t="s">
        <v>291</v>
      </c>
      <c r="F198" s="13">
        <v>0.68055555555555558</v>
      </c>
      <c r="G198" s="12" t="s">
        <v>298</v>
      </c>
      <c r="H198" s="13">
        <v>0.71875</v>
      </c>
      <c r="I198" s="26">
        <v>2.7777777777777776E-2</v>
      </c>
      <c r="J198" s="15" t="s">
        <v>344</v>
      </c>
      <c r="K198" s="22">
        <v>5190</v>
      </c>
      <c r="L198" s="15" t="s">
        <v>283</v>
      </c>
      <c r="M198" s="15"/>
    </row>
    <row r="199" spans="1:13" hidden="1">
      <c r="A199" s="14">
        <v>207</v>
      </c>
      <c r="B199" s="42">
        <v>46138</v>
      </c>
      <c r="C199" s="12" t="s">
        <v>290</v>
      </c>
      <c r="D199" s="12">
        <v>566</v>
      </c>
      <c r="E199" s="12" t="s">
        <v>298</v>
      </c>
      <c r="F199" s="13">
        <v>0.74652777777777779</v>
      </c>
      <c r="G199" s="12" t="s">
        <v>291</v>
      </c>
      <c r="H199" s="13">
        <v>0.78125</v>
      </c>
      <c r="I199" s="26">
        <v>7.9861111111111105E-2</v>
      </c>
      <c r="J199" s="15" t="s">
        <v>344</v>
      </c>
      <c r="K199" s="22">
        <v>5190</v>
      </c>
      <c r="L199" s="15" t="s">
        <v>283</v>
      </c>
      <c r="M199" s="15"/>
    </row>
    <row r="200" spans="1:13" hidden="1">
      <c r="A200" s="14">
        <v>208</v>
      </c>
      <c r="B200" s="42">
        <v>46138</v>
      </c>
      <c r="C200" s="12" t="s">
        <v>279</v>
      </c>
      <c r="D200" s="12">
        <v>922</v>
      </c>
      <c r="E200" s="12" t="s">
        <v>291</v>
      </c>
      <c r="F200" s="13">
        <v>0.86111111111111116</v>
      </c>
      <c r="G200" s="12" t="s">
        <v>280</v>
      </c>
      <c r="H200" s="13">
        <v>0.95833333333333337</v>
      </c>
      <c r="I200" s="26"/>
      <c r="J200" s="15" t="s">
        <v>344</v>
      </c>
      <c r="K200" s="22">
        <v>10590</v>
      </c>
      <c r="L200" s="15" t="s">
        <v>283</v>
      </c>
      <c r="M200" s="15"/>
    </row>
    <row r="201" spans="1:13">
      <c r="A201" s="14">
        <v>209</v>
      </c>
      <c r="B201" s="42">
        <v>46429</v>
      </c>
      <c r="C201" s="12" t="s">
        <v>279</v>
      </c>
      <c r="D201" s="23" t="s">
        <v>350</v>
      </c>
      <c r="E201" s="12" t="s">
        <v>280</v>
      </c>
      <c r="F201" s="13">
        <v>0.91319444444444442</v>
      </c>
      <c r="G201" s="12" t="s">
        <v>351</v>
      </c>
      <c r="H201" s="13">
        <v>0.40277777777777779</v>
      </c>
      <c r="I201" s="26"/>
      <c r="J201" s="15" t="s">
        <v>344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279</v>
      </c>
      <c r="D202" s="23" t="s">
        <v>352</v>
      </c>
      <c r="E202" s="12" t="s">
        <v>351</v>
      </c>
      <c r="F202" s="13">
        <v>0.4861111111111111</v>
      </c>
      <c r="G202" s="12" t="s">
        <v>280</v>
      </c>
      <c r="H202" s="13">
        <v>0.67013888888888884</v>
      </c>
      <c r="I202" s="26"/>
      <c r="J202" s="15" t="s">
        <v>344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279</v>
      </c>
      <c r="D203" s="12">
        <v>8663</v>
      </c>
      <c r="E203" s="12" t="s">
        <v>353</v>
      </c>
      <c r="F203" s="13">
        <v>0.37152777777777779</v>
      </c>
      <c r="G203" s="12" t="s">
        <v>354</v>
      </c>
      <c r="H203" s="13">
        <v>0.4826388888888889</v>
      </c>
      <c r="I203" s="26"/>
      <c r="J203" s="15" t="s">
        <v>344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279</v>
      </c>
      <c r="D204" s="12">
        <v>8664</v>
      </c>
      <c r="E204" s="12" t="s">
        <v>354</v>
      </c>
      <c r="F204" s="13">
        <v>0.53125</v>
      </c>
      <c r="G204" s="12" t="s">
        <v>353</v>
      </c>
      <c r="H204" s="13">
        <v>0.71875</v>
      </c>
      <c r="I204" s="26"/>
      <c r="J204" s="15" t="s">
        <v>344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279</v>
      </c>
      <c r="D205" s="12">
        <v>189</v>
      </c>
      <c r="E205" s="12" t="s">
        <v>280</v>
      </c>
      <c r="F205" s="13">
        <v>0.69097222222222221</v>
      </c>
      <c r="G205" s="12" t="s">
        <v>313</v>
      </c>
      <c r="H205" s="13">
        <v>0.73958333333333337</v>
      </c>
      <c r="I205" s="26"/>
      <c r="J205" s="15" t="s">
        <v>344</v>
      </c>
      <c r="K205" s="22">
        <v>11000</v>
      </c>
      <c r="L205" s="15" t="s">
        <v>283</v>
      </c>
      <c r="M205" s="15"/>
    </row>
    <row r="206" spans="1:13" hidden="1">
      <c r="A206" s="14">
        <v>214</v>
      </c>
      <c r="B206" s="42">
        <v>46081</v>
      </c>
      <c r="C206" s="12" t="s">
        <v>279</v>
      </c>
      <c r="D206" s="12">
        <v>192</v>
      </c>
      <c r="E206" s="12" t="s">
        <v>313</v>
      </c>
      <c r="F206" s="13">
        <v>0.76736111111111116</v>
      </c>
      <c r="G206" s="12" t="s">
        <v>280</v>
      </c>
      <c r="H206" s="13">
        <v>0.81597222222222221</v>
      </c>
      <c r="I206" s="26"/>
      <c r="J206" s="15" t="s">
        <v>344</v>
      </c>
      <c r="K206" s="22">
        <v>11000</v>
      </c>
      <c r="L206" s="15" t="s">
        <v>283</v>
      </c>
      <c r="M206" s="15"/>
    </row>
    <row r="207" spans="1:13" hidden="1">
      <c r="A207" s="14">
        <v>215</v>
      </c>
      <c r="B207" s="42">
        <v>46110</v>
      </c>
      <c r="C207" s="12" t="s">
        <v>279</v>
      </c>
      <c r="D207" s="12" t="s">
        <v>355</v>
      </c>
      <c r="E207" s="12" t="s">
        <v>280</v>
      </c>
      <c r="F207" s="13">
        <v>0.63541666666666663</v>
      </c>
      <c r="G207" s="12" t="s">
        <v>281</v>
      </c>
      <c r="H207" s="13">
        <v>0.71527777777777779</v>
      </c>
      <c r="I207" s="26"/>
      <c r="J207" s="15"/>
      <c r="K207" s="22">
        <v>0</v>
      </c>
      <c r="L207" s="15" t="s">
        <v>283</v>
      </c>
      <c r="M207" s="15"/>
    </row>
    <row r="208" spans="1:13" hidden="1">
      <c r="A208" s="14">
        <v>216</v>
      </c>
      <c r="B208" s="42">
        <v>46111</v>
      </c>
      <c r="C208" s="12" t="s">
        <v>279</v>
      </c>
      <c r="D208" s="12" t="s">
        <v>356</v>
      </c>
      <c r="E208" s="12" t="s">
        <v>281</v>
      </c>
      <c r="F208" s="13">
        <v>0.76388888888888884</v>
      </c>
      <c r="G208" s="12" t="s">
        <v>280</v>
      </c>
      <c r="H208" s="13">
        <v>0.83680555555555558</v>
      </c>
      <c r="I208" s="26"/>
      <c r="J208" s="15"/>
      <c r="K208" s="22">
        <v>0</v>
      </c>
      <c r="L208" s="15" t="s">
        <v>283</v>
      </c>
      <c r="M208" s="15"/>
    </row>
    <row r="209" spans="1:13" hidden="1">
      <c r="A209" s="14">
        <v>217</v>
      </c>
      <c r="B209" s="42">
        <v>46119</v>
      </c>
      <c r="C209" s="12" t="s">
        <v>279</v>
      </c>
      <c r="D209" s="12" t="s">
        <v>355</v>
      </c>
      <c r="E209" s="12" t="s">
        <v>280</v>
      </c>
      <c r="F209" s="13">
        <v>0.35416666666666669</v>
      </c>
      <c r="G209" s="12" t="s">
        <v>357</v>
      </c>
      <c r="H209" s="13">
        <v>0.39930555555555558</v>
      </c>
      <c r="I209" s="26"/>
      <c r="J209" s="15"/>
      <c r="K209" s="22">
        <v>0</v>
      </c>
      <c r="L209" s="15" t="s">
        <v>283</v>
      </c>
      <c r="M209" s="15"/>
    </row>
    <row r="210" spans="1:13" hidden="1">
      <c r="A210" s="14">
        <v>218</v>
      </c>
      <c r="B210" s="42">
        <v>46121</v>
      </c>
      <c r="C210" s="12" t="s">
        <v>279</v>
      </c>
      <c r="D210" s="12" t="s">
        <v>356</v>
      </c>
      <c r="E210" s="12" t="s">
        <v>357</v>
      </c>
      <c r="F210" s="13">
        <v>0.76736111111111116</v>
      </c>
      <c r="G210" s="12" t="s">
        <v>280</v>
      </c>
      <c r="H210" s="13">
        <v>0.81944444444444442</v>
      </c>
      <c r="I210" s="26"/>
      <c r="J210" s="15"/>
      <c r="K210" s="22">
        <v>0</v>
      </c>
      <c r="L210" s="15" t="s">
        <v>283</v>
      </c>
      <c r="M210" s="15"/>
    </row>
    <row r="211" spans="1:13" hidden="1">
      <c r="A211" s="14">
        <v>219</v>
      </c>
      <c r="B211" s="42">
        <v>46042</v>
      </c>
      <c r="C211" s="12" t="s">
        <v>279</v>
      </c>
      <c r="D211" s="73"/>
      <c r="E211" s="12" t="s">
        <v>280</v>
      </c>
      <c r="F211" s="13"/>
      <c r="G211" s="12" t="s">
        <v>281</v>
      </c>
      <c r="H211" s="13"/>
      <c r="I211" s="26"/>
      <c r="J211" s="15"/>
      <c r="K211" s="22">
        <v>0</v>
      </c>
      <c r="L211" s="15" t="s">
        <v>283</v>
      </c>
      <c r="M211" s="15"/>
    </row>
    <row r="212" spans="1:13" hidden="1">
      <c r="A212" s="14">
        <v>220</v>
      </c>
      <c r="B212" s="42">
        <v>46042</v>
      </c>
      <c r="C212" s="12" t="s">
        <v>279</v>
      </c>
      <c r="D212" s="73"/>
      <c r="E212" s="12" t="s">
        <v>281</v>
      </c>
      <c r="F212" s="13"/>
      <c r="G212" s="12" t="s">
        <v>280</v>
      </c>
      <c r="H212" s="13"/>
      <c r="I212" s="26"/>
      <c r="J212" s="15"/>
      <c r="K212" s="22">
        <v>0</v>
      </c>
      <c r="L212" s="15" t="s">
        <v>283</v>
      </c>
      <c r="M212" s="15"/>
    </row>
    <row r="213" spans="1:13" ht="15.75" hidden="1">
      <c r="A213" s="14">
        <v>221</v>
      </c>
      <c r="B213" s="42">
        <v>46104</v>
      </c>
      <c r="C213" s="12" t="s">
        <v>279</v>
      </c>
      <c r="D213" s="12" t="s">
        <v>358</v>
      </c>
      <c r="E213" s="12" t="s">
        <v>280</v>
      </c>
      <c r="F213" s="13">
        <v>0.60763888888888884</v>
      </c>
      <c r="G213" s="71" t="s">
        <v>315</v>
      </c>
      <c r="H213" s="13">
        <v>0.65625</v>
      </c>
      <c r="I213" s="26"/>
      <c r="J213" s="15"/>
      <c r="K213" s="22">
        <v>0</v>
      </c>
      <c r="L213" s="15" t="s">
        <v>283</v>
      </c>
      <c r="M213" s="15"/>
    </row>
    <row r="214" spans="1:13" ht="15.75" hidden="1">
      <c r="A214" s="14">
        <v>222</v>
      </c>
      <c r="B214" s="42">
        <v>46105</v>
      </c>
      <c r="C214" s="12" t="s">
        <v>279</v>
      </c>
      <c r="D214" s="12" t="s">
        <v>359</v>
      </c>
      <c r="E214" s="72" t="s">
        <v>315</v>
      </c>
      <c r="F214" s="13">
        <v>0.69791666666666663</v>
      </c>
      <c r="G214" s="12" t="s">
        <v>280</v>
      </c>
      <c r="H214" s="13">
        <v>0.75</v>
      </c>
      <c r="I214" s="26"/>
      <c r="J214" s="15"/>
      <c r="K214" s="22">
        <v>0</v>
      </c>
      <c r="L214" s="15" t="s">
        <v>283</v>
      </c>
      <c r="M214" s="15"/>
    </row>
    <row r="215" spans="1:13" hidden="1">
      <c r="A215" s="14">
        <v>223</v>
      </c>
      <c r="B215" s="42">
        <v>46127</v>
      </c>
      <c r="C215" s="12" t="s">
        <v>279</v>
      </c>
      <c r="D215" s="12" t="s">
        <v>360</v>
      </c>
      <c r="E215" s="12" t="s">
        <v>280</v>
      </c>
      <c r="F215" s="13">
        <v>0.33333333333333331</v>
      </c>
      <c r="G215" s="12" t="s">
        <v>361</v>
      </c>
      <c r="H215" s="13">
        <v>0.40625</v>
      </c>
      <c r="I215" s="26"/>
      <c r="J215" s="15"/>
      <c r="K215" s="22">
        <v>0</v>
      </c>
      <c r="L215" s="15" t="s">
        <v>283</v>
      </c>
      <c r="M215" s="15"/>
    </row>
    <row r="216" spans="1:13" hidden="1">
      <c r="A216" s="14">
        <v>224</v>
      </c>
      <c r="B216" s="42">
        <v>46128</v>
      </c>
      <c r="C216" s="12" t="s">
        <v>279</v>
      </c>
      <c r="D216" s="12" t="s">
        <v>362</v>
      </c>
      <c r="E216" s="12" t="s">
        <v>324</v>
      </c>
      <c r="F216" s="13">
        <v>0.72222222222222221</v>
      </c>
      <c r="G216" s="12" t="s">
        <v>280</v>
      </c>
      <c r="H216" s="13">
        <v>0.78125</v>
      </c>
      <c r="I216" s="26"/>
      <c r="J216" s="15"/>
      <c r="K216" s="22">
        <v>0</v>
      </c>
      <c r="L216" s="15" t="s">
        <v>283</v>
      </c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363</v>
      </c>
      <c r="K281" s="11">
        <f>SUM(テーブル4[料金])</f>
        <v>1335784</v>
      </c>
    </row>
    <row r="282" spans="10:11">
      <c r="J282" t="s">
        <v>364</v>
      </c>
      <c r="K282">
        <f>COUNTA(テーブル4[料金])*5</f>
        <v>1055</v>
      </c>
    </row>
    <row r="283" spans="10:11">
      <c r="J283" t="s">
        <v>5</v>
      </c>
      <c r="K283">
        <f>COUNTA(テーブル4[料金])</f>
        <v>211</v>
      </c>
    </row>
    <row r="284" spans="10:11">
      <c r="J284" t="s">
        <v>365</v>
      </c>
      <c r="K284" s="41">
        <f>K281/K282</f>
        <v>1266.145971563981</v>
      </c>
    </row>
    <row r="296" spans="1:8">
      <c r="A296" s="24" t="s">
        <v>267</v>
      </c>
      <c r="B296" s="24" t="s">
        <v>268</v>
      </c>
      <c r="C296" s="24" t="s">
        <v>269</v>
      </c>
      <c r="D296" s="24" t="s">
        <v>270</v>
      </c>
      <c r="E296" s="24" t="s">
        <v>271</v>
      </c>
      <c r="F296" s="24" t="s">
        <v>272</v>
      </c>
      <c r="G296" s="24" t="s">
        <v>273</v>
      </c>
      <c r="H296" s="24" t="s">
        <v>274</v>
      </c>
    </row>
    <row r="297" spans="1:8">
      <c r="A297">
        <v>1</v>
      </c>
      <c r="B297" t="s">
        <v>290</v>
      </c>
      <c r="C297">
        <v>51</v>
      </c>
      <c r="D297" t="s">
        <v>281</v>
      </c>
      <c r="E297" s="25">
        <v>0.2986111111111111</v>
      </c>
      <c r="F297" t="s">
        <v>291</v>
      </c>
      <c r="G297" s="25">
        <v>0.36805555555555558</v>
      </c>
      <c r="H297" t="s">
        <v>282</v>
      </c>
    </row>
    <row r="298" spans="1:8">
      <c r="A298">
        <v>2</v>
      </c>
      <c r="B298" t="s">
        <v>295</v>
      </c>
      <c r="C298">
        <v>873</v>
      </c>
      <c r="D298" t="s">
        <v>291</v>
      </c>
      <c r="E298" s="25">
        <v>0.41319444444444442</v>
      </c>
      <c r="F298" t="s">
        <v>317</v>
      </c>
      <c r="G298" s="25">
        <v>0.43402777777777779</v>
      </c>
      <c r="H298" t="s">
        <v>366</v>
      </c>
    </row>
    <row r="299" spans="1:8">
      <c r="A299">
        <v>3</v>
      </c>
      <c r="B299" t="s">
        <v>295</v>
      </c>
      <c r="C299">
        <v>874</v>
      </c>
      <c r="D299" t="s">
        <v>317</v>
      </c>
      <c r="E299" s="25">
        <v>0.45833333333333331</v>
      </c>
      <c r="F299" t="s">
        <v>291</v>
      </c>
      <c r="G299" s="25">
        <v>0.4826388888888889</v>
      </c>
      <c r="H299" t="s">
        <v>287</v>
      </c>
    </row>
    <row r="300" spans="1:8">
      <c r="A300">
        <v>4</v>
      </c>
      <c r="B300" t="s">
        <v>290</v>
      </c>
      <c r="C300">
        <v>609</v>
      </c>
      <c r="D300" t="s">
        <v>291</v>
      </c>
      <c r="E300" s="25">
        <v>0.53472222222222221</v>
      </c>
      <c r="F300" t="s">
        <v>294</v>
      </c>
      <c r="G300" s="25">
        <v>0.57291666666666663</v>
      </c>
      <c r="H300" t="s">
        <v>367</v>
      </c>
    </row>
    <row r="301" spans="1:8">
      <c r="A301">
        <v>5</v>
      </c>
      <c r="B301" t="s">
        <v>290</v>
      </c>
      <c r="C301">
        <v>614</v>
      </c>
      <c r="D301" t="s">
        <v>294</v>
      </c>
      <c r="E301" s="25">
        <v>0.60069444444444442</v>
      </c>
      <c r="F301" t="s">
        <v>291</v>
      </c>
      <c r="G301" s="25">
        <v>0.64583333333333337</v>
      </c>
      <c r="H301" t="s">
        <v>292</v>
      </c>
    </row>
    <row r="302" spans="1:8">
      <c r="A302">
        <v>6</v>
      </c>
      <c r="B302" t="s">
        <v>290</v>
      </c>
      <c r="C302">
        <v>567</v>
      </c>
      <c r="D302" t="s">
        <v>291</v>
      </c>
      <c r="E302" s="25">
        <v>0.67361111111111116</v>
      </c>
      <c r="F302" t="s">
        <v>298</v>
      </c>
      <c r="G302" s="25">
        <v>0.70833333333333337</v>
      </c>
      <c r="H302" t="s">
        <v>292</v>
      </c>
    </row>
    <row r="303" spans="1:8">
      <c r="A303">
        <v>7</v>
      </c>
      <c r="B303" t="s">
        <v>290</v>
      </c>
      <c r="C303">
        <v>566</v>
      </c>
      <c r="D303" t="s">
        <v>298</v>
      </c>
      <c r="E303" s="25">
        <v>0.73611111111111116</v>
      </c>
      <c r="F303" t="s">
        <v>291</v>
      </c>
      <c r="G303" s="25">
        <v>0.77430555555555558</v>
      </c>
      <c r="H303" t="s">
        <v>292</v>
      </c>
    </row>
    <row r="304" spans="1:8">
      <c r="A304">
        <v>8</v>
      </c>
      <c r="B304" t="s">
        <v>279</v>
      </c>
      <c r="C304">
        <v>920</v>
      </c>
      <c r="D304" t="s">
        <v>291</v>
      </c>
      <c r="E304" s="25">
        <v>0.80902777777777779</v>
      </c>
      <c r="F304" t="s">
        <v>280</v>
      </c>
      <c r="G304" s="25">
        <v>0.91666666666666663</v>
      </c>
      <c r="H304" t="s">
        <v>368</v>
      </c>
    </row>
    <row r="307" spans="1:9">
      <c r="A307" s="24" t="s">
        <v>267</v>
      </c>
      <c r="B307" s="24" t="s">
        <v>268</v>
      </c>
      <c r="C307" s="24" t="s">
        <v>269</v>
      </c>
      <c r="D307" s="24" t="s">
        <v>270</v>
      </c>
      <c r="E307" s="24" t="s">
        <v>271</v>
      </c>
      <c r="F307" s="24" t="s">
        <v>272</v>
      </c>
      <c r="G307" s="24" t="s">
        <v>273</v>
      </c>
      <c r="H307" s="24" t="s">
        <v>274</v>
      </c>
    </row>
    <row r="308" spans="1:9">
      <c r="A308">
        <v>1</v>
      </c>
      <c r="B308" t="s">
        <v>290</v>
      </c>
      <c r="C308">
        <v>51</v>
      </c>
      <c r="D308" t="s">
        <v>281</v>
      </c>
      <c r="E308" s="25">
        <v>0.2986111111111111</v>
      </c>
      <c r="F308" t="s">
        <v>291</v>
      </c>
      <c r="G308" s="25">
        <v>0.36805555555555558</v>
      </c>
      <c r="H308" t="s">
        <v>282</v>
      </c>
    </row>
    <row r="309" spans="1:9">
      <c r="A309">
        <v>2</v>
      </c>
      <c r="B309" t="s">
        <v>290</v>
      </c>
      <c r="C309">
        <v>605</v>
      </c>
      <c r="D309" t="s">
        <v>291</v>
      </c>
      <c r="E309" s="25">
        <v>0.39583333333333331</v>
      </c>
      <c r="F309" t="s">
        <v>294</v>
      </c>
      <c r="G309" s="25">
        <v>0.43402777777777779</v>
      </c>
      <c r="H309" t="s">
        <v>292</v>
      </c>
    </row>
    <row r="310" spans="1:9">
      <c r="A310">
        <v>3</v>
      </c>
      <c r="B310" t="s">
        <v>295</v>
      </c>
      <c r="C310">
        <v>743</v>
      </c>
      <c r="D310" t="s">
        <v>294</v>
      </c>
      <c r="E310" s="25">
        <v>0.52430555555555558</v>
      </c>
      <c r="F310" t="s">
        <v>296</v>
      </c>
      <c r="G310" s="25">
        <v>0.54513888888888884</v>
      </c>
      <c r="H310" t="s">
        <v>297</v>
      </c>
    </row>
    <row r="311" spans="1:9">
      <c r="A311">
        <v>4</v>
      </c>
      <c r="B311" t="s">
        <v>295</v>
      </c>
      <c r="C311">
        <v>744</v>
      </c>
      <c r="D311" t="s">
        <v>296</v>
      </c>
      <c r="E311" s="25">
        <v>0.56597222222222221</v>
      </c>
      <c r="F311" t="s">
        <v>294</v>
      </c>
      <c r="G311" s="25">
        <v>0.58680555555555558</v>
      </c>
      <c r="H311" t="s">
        <v>289</v>
      </c>
    </row>
    <row r="312" spans="1:9">
      <c r="A312">
        <v>5</v>
      </c>
      <c r="B312" t="s">
        <v>295</v>
      </c>
      <c r="C312">
        <v>834</v>
      </c>
      <c r="D312" t="s">
        <v>294</v>
      </c>
      <c r="E312" s="25">
        <v>0.61111111111111116</v>
      </c>
      <c r="F312" t="s">
        <v>298</v>
      </c>
      <c r="G312" s="25">
        <v>0.63194444444444442</v>
      </c>
      <c r="H312" t="s">
        <v>287</v>
      </c>
    </row>
    <row r="313" spans="1:9">
      <c r="A313">
        <v>6</v>
      </c>
      <c r="B313" t="s">
        <v>290</v>
      </c>
      <c r="C313">
        <v>564</v>
      </c>
      <c r="D313" t="s">
        <v>298</v>
      </c>
      <c r="E313" s="25">
        <v>0.69791666666666663</v>
      </c>
      <c r="F313" t="s">
        <v>291</v>
      </c>
      <c r="G313" s="25">
        <v>0.73611111111111116</v>
      </c>
      <c r="H313" t="s">
        <v>309</v>
      </c>
    </row>
    <row r="314" spans="1:9">
      <c r="A314">
        <v>7</v>
      </c>
      <c r="B314" t="s">
        <v>279</v>
      </c>
      <c r="C314">
        <v>920</v>
      </c>
      <c r="D314" t="s">
        <v>291</v>
      </c>
      <c r="E314" s="25">
        <v>0.80902777777777779</v>
      </c>
      <c r="F314" t="s">
        <v>280</v>
      </c>
      <c r="G314" s="25">
        <v>0.91666666666666663</v>
      </c>
      <c r="H314" t="s">
        <v>310</v>
      </c>
    </row>
    <row r="316" spans="1:9" ht="14.25">
      <c r="A316" s="48">
        <v>1</v>
      </c>
      <c r="B316" s="49" t="s">
        <v>279</v>
      </c>
      <c r="C316" s="49">
        <v>901</v>
      </c>
      <c r="D316" s="49" t="s">
        <v>280</v>
      </c>
      <c r="E316" s="50">
        <v>0.27083333333333331</v>
      </c>
      <c r="F316" s="49" t="s">
        <v>291</v>
      </c>
      <c r="G316" s="50">
        <v>0.375</v>
      </c>
      <c r="H316" s="51" t="s">
        <v>369</v>
      </c>
      <c r="I316" s="52"/>
    </row>
    <row r="317" spans="1:9" ht="14.25">
      <c r="A317" s="53">
        <v>2</v>
      </c>
      <c r="B317" s="54" t="s">
        <v>290</v>
      </c>
      <c r="C317" s="54">
        <v>605</v>
      </c>
      <c r="D317" s="54" t="s">
        <v>291</v>
      </c>
      <c r="E317" s="55">
        <v>0.39930555555555558</v>
      </c>
      <c r="F317" s="54" t="s">
        <v>294</v>
      </c>
      <c r="G317" s="55">
        <v>0.44097222222222221</v>
      </c>
      <c r="H317" s="54" t="s">
        <v>287</v>
      </c>
      <c r="I317" s="56"/>
    </row>
    <row r="318" spans="1:9" ht="14.25">
      <c r="A318" s="48">
        <v>3</v>
      </c>
      <c r="B318" s="49" t="s">
        <v>295</v>
      </c>
      <c r="C318" s="49">
        <v>743</v>
      </c>
      <c r="D318" s="49" t="s">
        <v>294</v>
      </c>
      <c r="E318" s="50">
        <v>0.52430555555555558</v>
      </c>
      <c r="F318" s="49" t="s">
        <v>296</v>
      </c>
      <c r="G318" s="50">
        <v>0.54513888888888884</v>
      </c>
      <c r="H318" s="49" t="s">
        <v>370</v>
      </c>
      <c r="I318" s="52"/>
    </row>
    <row r="319" spans="1:9" ht="14.25">
      <c r="A319" s="53">
        <v>4</v>
      </c>
      <c r="B319" s="54" t="s">
        <v>295</v>
      </c>
      <c r="C319" s="54">
        <v>744</v>
      </c>
      <c r="D319" s="54" t="s">
        <v>296</v>
      </c>
      <c r="E319" s="55">
        <v>0.56597222222222221</v>
      </c>
      <c r="F319" s="54" t="s">
        <v>294</v>
      </c>
      <c r="G319" s="55">
        <v>0.58680555555555558</v>
      </c>
      <c r="H319" s="54" t="s">
        <v>289</v>
      </c>
      <c r="I319" s="56"/>
    </row>
    <row r="320" spans="1:9" ht="14.25">
      <c r="A320" s="48">
        <v>5</v>
      </c>
      <c r="B320" s="49" t="s">
        <v>295</v>
      </c>
      <c r="C320" s="49">
        <v>834</v>
      </c>
      <c r="D320" s="49" t="s">
        <v>294</v>
      </c>
      <c r="E320" s="50">
        <v>0.61111111111111116</v>
      </c>
      <c r="F320" s="49" t="s">
        <v>298</v>
      </c>
      <c r="G320" s="50">
        <v>0.63194444444444442</v>
      </c>
      <c r="H320" s="49" t="s">
        <v>287</v>
      </c>
      <c r="I320" s="52"/>
    </row>
    <row r="321" spans="1:9" ht="14.25">
      <c r="A321" s="53">
        <v>6</v>
      </c>
      <c r="B321" s="54" t="s">
        <v>295</v>
      </c>
      <c r="C321" s="54">
        <v>897</v>
      </c>
      <c r="D321" s="54" t="s">
        <v>298</v>
      </c>
      <c r="E321" s="55">
        <v>0.65277777777777779</v>
      </c>
      <c r="F321" s="54" t="s">
        <v>299</v>
      </c>
      <c r="G321" s="55">
        <v>0.67013888888888884</v>
      </c>
      <c r="H321" s="54" t="s">
        <v>289</v>
      </c>
      <c r="I321" s="56"/>
    </row>
    <row r="322" spans="1:9" ht="14.25">
      <c r="A322" s="48">
        <v>7</v>
      </c>
      <c r="B322" s="49" t="s">
        <v>295</v>
      </c>
      <c r="C322" s="49">
        <v>898</v>
      </c>
      <c r="D322" s="49" t="s">
        <v>299</v>
      </c>
      <c r="E322" s="50">
        <v>0.69444444444444442</v>
      </c>
      <c r="F322" s="49" t="s">
        <v>298</v>
      </c>
      <c r="G322" s="50">
        <v>0.71180555555555558</v>
      </c>
      <c r="H322" s="49" t="s">
        <v>287</v>
      </c>
      <c r="I322" s="52"/>
    </row>
    <row r="323" spans="1:9" ht="14.25">
      <c r="A323" s="53">
        <v>8</v>
      </c>
      <c r="B323" s="54" t="s">
        <v>290</v>
      </c>
      <c r="C323" s="54">
        <v>572</v>
      </c>
      <c r="D323" s="54" t="s">
        <v>298</v>
      </c>
      <c r="E323" s="55">
        <v>0.74652777777777779</v>
      </c>
      <c r="F323" s="54" t="s">
        <v>291</v>
      </c>
      <c r="G323" s="55">
        <v>0.78472222222222221</v>
      </c>
      <c r="H323" s="54" t="s">
        <v>368</v>
      </c>
      <c r="I323" s="56"/>
    </row>
    <row r="324" spans="1:9" ht="14.25">
      <c r="A324" s="57">
        <v>9</v>
      </c>
      <c r="B324" s="58" t="s">
        <v>279</v>
      </c>
      <c r="C324" s="58">
        <v>920</v>
      </c>
      <c r="D324" s="58" t="s">
        <v>291</v>
      </c>
      <c r="E324" s="59">
        <v>0.8125</v>
      </c>
      <c r="F324" s="58" t="s">
        <v>280</v>
      </c>
      <c r="G324" s="59">
        <v>0.91666666666666663</v>
      </c>
      <c r="H324" s="58" t="s">
        <v>292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2026-05-07T13:05:04Z</dcterms:modified>
  <cp:category/>
  <cp:contentStatus/>
</cp:coreProperties>
</file>