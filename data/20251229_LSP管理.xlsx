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14A12BEC-ACE0-4F03-A3BB-FFD25A3C0D97}" xr6:coauthVersionLast="47" xr6:coauthVersionMax="47" xr10:uidLastSave="{00000000-0000-0000-0000-000000000000}"/>
  <bookViews>
    <workbookView xWindow="0" yWindow="500" windowWidth="33600" windowHeight="20500" firstSheet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0" i="5" l="1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<sst xmlns="http://schemas.openxmlformats.org/spreadsheetml/2006/main" count="2166" uniqueCount="310">
  <si>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</si>
  <si>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</si>
  <si>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</si>
  <si>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</si>
  <si>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</si>
  <si>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</si>
  <si>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</si>
  <si>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</si>
  <si>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</si>
  <si>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</si>
  <si>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</si>
  <si>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</si>
  <si>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</si>
  <si>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</si>
  <si>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</si>
  <si>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</si>
  <si>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</si>
  <si>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</si>
  <si>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</si>
  <si>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</si>
  <si>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</si>
  <si>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</si>
  <si>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</si>
  <si>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</si>
  <si>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</si>
  <si>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</si>
  <si>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</si>
  <si>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</si>
  <si>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</si>
  <si>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</si>
  <si>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</si>
  <si>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</si>
  <si>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</si>
  <si>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</si>
  <si>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</si>
  <si>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</si>
  <si>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</si>
  <si>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</si>
  <si>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</si>
  <si>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</si>
  <si>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</si>
  <si>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</si>
  <si>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</si>
  <si>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</si>
  <si>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</si>
  <si>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</si>
  <si>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</si>
  <si>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</si>
  <si>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</si>
  <si>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</si>
  <si>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</si>
  <si>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</si>
  <si>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</si>
  <si>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</si>
  <si>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</si>
  <si>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</si>
  <si>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</si>
  <si>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</si>
  <si>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</si>
  <si>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</si>
  <si>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</si>
  <si>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</si>
  <si>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</si>
  <si>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</si>
  <si>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</si>
  <si>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</si>
  <si>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</si>
  <si>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</si>
  <si>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</si>
  <si>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</si>
  <si>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</si>
  <si>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</si>
  <si>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</si>
  <si>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</si>
  <si>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</si>
  <si>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</si>
  <si>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</si>
  <si>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</si>
  <si>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</si>
  <si>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</si>
  <si>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</si>
  <si>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</si>
  <si>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</si>
  <si>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</si>
  <si>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</si>
  <si>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</si>
  <si>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</si>
  <si>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</si>
  <si>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</si>
  <si>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</si>
  <si>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</si>
  <si>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</si>
  <si>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</si>
  <si>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</si>
  <si>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</si>
  <si>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</si>
  <si>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</si>
  <si>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</si>
  <si>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</si>
  <si>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</si>
  <si>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</si>
  <si>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</si>
  <si>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</si>
  <si>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</si>
  <si>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</si>
  <si>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</si>
  <si>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</si>
  <si>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</si>
  <si>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</si>
  <si>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</si>
  <si>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</si>
  <si>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</si>
  <si>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</si>
  <si>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</si>
  <si>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</si>
  <si>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</si>
  <si>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</si>
  <si>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</si>
  <si>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</si>
  <si>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</si>
  <si>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</si>
  <si>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</si>
  <si>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</si>
  <si>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</si>
  <si>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</si>
  <si>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</si>
  <si>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</si>
  <si>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</si>
  <si>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</si>
  <si>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</si>
  <si>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</si>
  <si>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</si>
  <si>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</si>
  <si>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</si>
  <si>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</si>
  <si>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</si>
  <si>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</si>
  <si>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</si>
  <si>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</si>
  <si>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</si>
  <si>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</si>
  <si>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</si>
  <si>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</si>
  <si>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</si>
  <si>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</si>
  <si>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</si>
  <si>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</si>
  <si>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</si>
  <si>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</si>
  <si>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</si>
  <si>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</si>
  <si>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</si>
  <si>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</si>
  <si>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</si>
  <si>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</si>
  <si>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</si>
  <si>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</si>
  <si>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</si>
  <si>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</si>
  <si>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</si>
  <si>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</si>
  <si>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</si>
  <si>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</si>
  <si>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</si>
  <si>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</si>
  <si>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</si>
  <si>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</si>
  <si>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</si>
  <si>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</si>
  <si>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</si>
  <si>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</si>
  <si>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</si>
  <si>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</si>
  <si>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</si>
  <si>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</si>
  <si>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</si>
  <si>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</si>
  <si>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</si>
  <si>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</si>
  <si>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</si>
  <si>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</si>
  <si>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</si>
  <si>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</si>
  <si>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</si>
  <si>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</si>
  <si>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</si>
  <si>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</si>
  <si>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</si>
  <si>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</si>
  <si>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</si>
  <si>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</si>
  <si>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</si>
  <si>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</si>
  <si>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</si>
  <si>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</si>
  <si>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</si>
  <si>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</si>
  <si>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</si>
  <si>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</si>
  <si>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</si>
  <si>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</si>
  <si>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</si>
  <si>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</si>
  <si>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</si>
  <si>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</si>
  <si>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</si>
  <si>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</si>
  <si>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JALカード利用</t>
  </si>
  <si>
    <t>JAL ふるさと納税</t>
  </si>
  <si>
    <t>JALマイレージパーク利用</t>
  </si>
  <si>
    <t>JAL Wellness &amp; Travel利用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</si>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</sst>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95957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4714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21">
                  <c:v>46066</c:v>
                </c:pt>
                <c:pt idx="22">
                  <c:v>46065</c:v>
                </c:pt>
                <c:pt idx="23">
                  <c:v>46064</c:v>
                </c:pt>
                <c:pt idx="24">
                  <c:v>46064</c:v>
                </c:pt>
                <c:pt idx="25">
                  <c:v>46063</c:v>
                </c:pt>
                <c:pt idx="26">
                  <c:v>46062</c:v>
                </c:pt>
                <c:pt idx="27">
                  <c:v>46061</c:v>
                </c:pt>
                <c:pt idx="28">
                  <c:v>46059</c:v>
                </c:pt>
                <c:pt idx="29">
                  <c:v>46057</c:v>
                </c:pt>
                <c:pt idx="30">
                  <c:v>46056</c:v>
                </c:pt>
                <c:pt idx="31">
                  <c:v>46055</c:v>
                </c:pt>
                <c:pt idx="32">
                  <c:v>46054</c:v>
                </c:pt>
                <c:pt idx="33">
                  <c:v>46052</c:v>
                </c:pt>
                <c:pt idx="34">
                  <c:v>46051</c:v>
                </c:pt>
                <c:pt idx="35">
                  <c:v>46048</c:v>
                </c:pt>
                <c:pt idx="36">
                  <c:v>46047</c:v>
                </c:pt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1020</c:v>
                </c:pt>
                <c:pt idx="1">
                  <c:v>1020</c:v>
                </c:pt>
                <c:pt idx="2">
                  <c:v>1020</c:v>
                </c:pt>
                <c:pt idx="3">
                  <c:v>1020</c:v>
                </c:pt>
                <c:pt idx="4">
                  <c:v>1020</c:v>
                </c:pt>
                <c:pt idx="5">
                  <c:v>1020</c:v>
                </c:pt>
                <c:pt idx="6">
                  <c:v>1020</c:v>
                </c:pt>
                <c:pt idx="7">
                  <c:v>1020</c:v>
                </c:pt>
                <c:pt idx="8">
                  <c:v>1020</c:v>
                </c:pt>
                <c:pt idx="9">
                  <c:v>1020</c:v>
                </c:pt>
                <c:pt idx="10">
                  <c:v>1020</c:v>
                </c:pt>
                <c:pt idx="11">
                  <c:v>1020</c:v>
                </c:pt>
                <c:pt idx="12">
                  <c:v>1020</c:v>
                </c:pt>
                <c:pt idx="13">
                  <c:v>1020</c:v>
                </c:pt>
                <c:pt idx="14">
                  <c:v>1020</c:v>
                </c:pt>
                <c:pt idx="15">
                  <c:v>1020</c:v>
                </c:pt>
                <c:pt idx="16">
                  <c:v>1020</c:v>
                </c:pt>
                <c:pt idx="17">
                  <c:v>1020</c:v>
                </c:pt>
                <c:pt idx="18">
                  <c:v>1020</c:v>
                </c:pt>
                <c:pt idx="19">
                  <c:v>1020</c:v>
                </c:pt>
                <c:pt idx="20">
                  <c:v>1020</c:v>
                </c:pt>
                <c:pt idx="21">
                  <c:v>1020</c:v>
                </c:pt>
                <c:pt idx="22">
                  <c:v>990</c:v>
                </c:pt>
                <c:pt idx="23">
                  <c:v>980</c:v>
                </c:pt>
                <c:pt idx="24">
                  <c:v>970</c:v>
                </c:pt>
                <c:pt idx="25">
                  <c:v>965</c:v>
                </c:pt>
                <c:pt idx="26">
                  <c:v>920</c:v>
                </c:pt>
                <c:pt idx="27">
                  <c:v>895</c:v>
                </c:pt>
                <c:pt idx="28">
                  <c:v>865</c:v>
                </c:pt>
                <c:pt idx="29">
                  <c:v>860</c:v>
                </c:pt>
                <c:pt idx="30">
                  <c:v>855</c:v>
                </c:pt>
                <c:pt idx="31">
                  <c:v>850</c:v>
                </c:pt>
                <c:pt idx="32">
                  <c:v>840</c:v>
                </c:pt>
                <c:pt idx="33">
                  <c:v>835</c:v>
                </c:pt>
                <c:pt idx="34">
                  <c:v>830</c:v>
                </c:pt>
                <c:pt idx="35">
                  <c:v>825</c:v>
                </c:pt>
                <c:pt idx="36">
                  <c:v>795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805</c:v>
                </c:pt>
                <c:pt idx="1">
                  <c:v>70</c:v>
                </c:pt>
                <c:pt idx="2">
                  <c:v>90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drawing" Target="../drawings/drawing1.xm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41"/>
  <sheetViews>
    <sheetView tabSelected="1" workbookViewId="0">
      <pane xSplit="1" ySplit="3" topLeftCell="B425" activePane="bottomRight" state="frozen"/>
      <selection pane="bottomRight" activeCell="L441" sqref="L441:M441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95957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4714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116506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3">
        <v>0</v>
      </c>
      <c r="G83" s="73">
        <v>6</v>
      </c>
      <c r="H83" s="73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3">
        <v>0</v>
      </c>
      <c r="G93" s="73">
        <v>27</v>
      </c>
      <c r="H93" s="73">
        <v>27</v>
      </c>
      <c r="I93" s="30">
        <v>26082</v>
      </c>
      <c r="J93" s="73">
        <v>0</v>
      </c>
      <c r="K93" s="73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3">
        <v>0</v>
      </c>
      <c r="G102" s="73">
        <v>31</v>
      </c>
      <c r="H102" s="73">
        <v>31</v>
      </c>
      <c r="I102" s="30">
        <v>29798</v>
      </c>
      <c r="J102" s="73">
        <v>0</v>
      </c>
      <c r="K102" s="73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3">
        <v>0</v>
      </c>
      <c r="G121" s="73">
        <v>19</v>
      </c>
      <c r="H121" s="73">
        <v>19</v>
      </c>
      <c r="I121" s="30">
        <v>33230</v>
      </c>
      <c r="J121" s="73">
        <v>0</v>
      </c>
      <c r="K121" s="73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3">
        <v>0</v>
      </c>
      <c r="G129" s="73">
        <v>12</v>
      </c>
      <c r="H129" s="73">
        <v>12</v>
      </c>
      <c r="I129" s="30">
        <v>35516</v>
      </c>
      <c r="J129" s="73">
        <v>0</v>
      </c>
      <c r="K129" s="73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3">
        <v>0</v>
      </c>
      <c r="H132" s="30">
        <v>-1500</v>
      </c>
      <c r="I132" s="30">
        <v>34093</v>
      </c>
      <c r="J132" s="73">
        <v>0</v>
      </c>
      <c r="K132" s="73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3">
        <v>0</v>
      </c>
      <c r="G144" s="73">
        <v>8</v>
      </c>
      <c r="H144" s="73">
        <v>8</v>
      </c>
      <c r="I144" s="30">
        <v>7816</v>
      </c>
      <c r="J144" s="73">
        <v>0</v>
      </c>
      <c r="K144" s="73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3">
        <v>0</v>
      </c>
      <c r="G169" s="73">
        <v>219</v>
      </c>
      <c r="H169" s="73">
        <v>219</v>
      </c>
      <c r="I169" s="30">
        <v>13221</v>
      </c>
      <c r="J169" s="73">
        <v>0</v>
      </c>
      <c r="K169" s="73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3">
        <v>0</v>
      </c>
      <c r="G197" s="73">
        <v>23</v>
      </c>
      <c r="H197" s="73">
        <v>23</v>
      </c>
      <c r="I197" s="30">
        <v>28633</v>
      </c>
      <c r="J197" s="73">
        <v>0</v>
      </c>
      <c r="K197" s="73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3">
        <v>0</v>
      </c>
      <c r="G206" s="73">
        <v>17</v>
      </c>
      <c r="H206" s="73">
        <v>17</v>
      </c>
      <c r="I206" s="30">
        <v>30042</v>
      </c>
      <c r="J206" s="73">
        <v>0</v>
      </c>
      <c r="K206" s="73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3">
        <v>0</v>
      </c>
      <c r="G216" s="73">
        <v>19</v>
      </c>
      <c r="H216" s="73">
        <v>19</v>
      </c>
      <c r="I216" s="30">
        <v>33545</v>
      </c>
      <c r="J216" s="73">
        <v>0</v>
      </c>
      <c r="K216" s="73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3">
        <v>0</v>
      </c>
      <c r="G223" s="73">
        <v>21</v>
      </c>
      <c r="H223" s="73">
        <v>21</v>
      </c>
      <c r="I223" s="30">
        <v>33641</v>
      </c>
      <c r="J223" s="73">
        <v>0</v>
      </c>
      <c r="K223" s="73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3">
        <v>0</v>
      </c>
      <c r="G240" s="73">
        <v>32</v>
      </c>
      <c r="H240" s="73">
        <v>32</v>
      </c>
      <c r="I240" s="30">
        <v>41285</v>
      </c>
      <c r="J240" s="73">
        <v>0</v>
      </c>
      <c r="K240" s="73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3">
        <v>0</v>
      </c>
      <c r="G261" s="73">
        <v>9</v>
      </c>
      <c r="H261" s="73">
        <v>9</v>
      </c>
      <c r="I261" s="30">
        <v>47493</v>
      </c>
      <c r="J261" s="73">
        <v>0</v>
      </c>
      <c r="K261" s="73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3">
        <v>0</v>
      </c>
      <c r="G279" s="73">
        <v>10</v>
      </c>
      <c r="H279" s="73">
        <v>10</v>
      </c>
      <c r="I279" s="30">
        <v>52350</v>
      </c>
      <c r="J279" s="73">
        <v>0</v>
      </c>
      <c r="K279" s="73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3">
        <v>0</v>
      </c>
      <c r="G302" s="73">
        <v>10</v>
      </c>
      <c r="H302" s="73">
        <v>10</v>
      </c>
      <c r="I302" s="30">
        <v>58239</v>
      </c>
      <c r="J302" s="73">
        <v>0</v>
      </c>
      <c r="K302" s="73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3">
        <v>0</v>
      </c>
      <c r="G319" s="73">
        <v>57</v>
      </c>
      <c r="H319" s="73">
        <v>57</v>
      </c>
      <c r="I319" s="30">
        <v>61925</v>
      </c>
      <c r="J319" s="73">
        <v>0</v>
      </c>
      <c r="K319" s="73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2">
        <v>0</v>
      </c>
      <c r="G320" s="72">
        <v>20</v>
      </c>
      <c r="H320" s="72">
        <v>20</v>
      </c>
      <c r="I320" s="4">
        <v>74571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2">
        <v>0</v>
      </c>
      <c r="G321" s="72">
        <v>10</v>
      </c>
      <c r="H321" s="72">
        <v>10</v>
      </c>
      <c r="I321" s="4">
        <v>74581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2">
        <v>0</v>
      </c>
      <c r="G322" s="72">
        <v>57</v>
      </c>
      <c r="H322" s="72">
        <v>57</v>
      </c>
      <c r="I322" s="4">
        <v>74638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2">
        <v>0</v>
      </c>
      <c r="G323" s="72">
        <v>24</v>
      </c>
      <c r="H323" s="72">
        <v>24</v>
      </c>
      <c r="I323" s="4">
        <v>74662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2">
        <v>0</v>
      </c>
      <c r="G324" s="72">
        <v>12</v>
      </c>
      <c r="H324" s="72">
        <v>12</v>
      </c>
      <c r="I324" s="4">
        <v>74674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2">
        <v>392</v>
      </c>
      <c r="G325" s="28">
        <v>462</v>
      </c>
      <c r="H325" s="72">
        <v>854</v>
      </c>
      <c r="I325" s="4">
        <v>75528</v>
      </c>
      <c r="J325" s="4">
        <v>1184</v>
      </c>
      <c r="K325" s="72">
        <v>1</v>
      </c>
      <c r="L325" s="72">
        <f t="shared" si="32"/>
        <v>80658</v>
      </c>
      <c r="M325" s="72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2">
        <v>0</v>
      </c>
      <c r="G326" s="72">
        <v>10</v>
      </c>
      <c r="H326" s="72">
        <v>10</v>
      </c>
      <c r="I326" s="4">
        <v>75538</v>
      </c>
      <c r="J326" s="72">
        <v>0</v>
      </c>
      <c r="K326" s="72">
        <v>0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2">
        <v>0</v>
      </c>
      <c r="G327" s="4">
        <v>2000</v>
      </c>
      <c r="H327" s="4">
        <v>2000</v>
      </c>
      <c r="I327" s="4">
        <v>77538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2">
        <v>0</v>
      </c>
      <c r="G328" s="72">
        <v>58</v>
      </c>
      <c r="H328" s="72">
        <v>58</v>
      </c>
      <c r="I328" s="4">
        <v>77596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2">
        <v>284</v>
      </c>
      <c r="G329" s="28">
        <v>298</v>
      </c>
      <c r="H329" s="72">
        <v>582</v>
      </c>
      <c r="I329" s="4">
        <v>65587</v>
      </c>
      <c r="J329" s="72">
        <v>568</v>
      </c>
      <c r="K329" s="72">
        <v>1</v>
      </c>
      <c r="L329" s="72">
        <f t="shared" si="32"/>
        <v>81226</v>
      </c>
      <c r="M329" s="72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2">
        <v>392</v>
      </c>
      <c r="G330" s="28">
        <v>462</v>
      </c>
      <c r="H330" s="72">
        <v>854</v>
      </c>
      <c r="I330" s="4">
        <v>66441</v>
      </c>
      <c r="J330" s="4">
        <v>1184</v>
      </c>
      <c r="K330" s="72">
        <v>1</v>
      </c>
      <c r="L330" s="72">
        <f t="shared" si="32"/>
        <v>82410</v>
      </c>
      <c r="M330" s="72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2">
        <v>0</v>
      </c>
      <c r="G331" s="72">
        <v>2</v>
      </c>
      <c r="H331" s="72">
        <v>2</v>
      </c>
      <c r="I331" s="4">
        <v>66443</v>
      </c>
      <c r="J331" s="72">
        <v>0</v>
      </c>
      <c r="K331" s="72">
        <v>0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2">
        <v>0</v>
      </c>
      <c r="G332" s="72">
        <v>11</v>
      </c>
      <c r="H332" s="72">
        <v>11</v>
      </c>
      <c r="I332" s="4">
        <v>66454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2">
        <v>124</v>
      </c>
      <c r="G333" s="28">
        <v>130</v>
      </c>
      <c r="H333" s="72">
        <v>254</v>
      </c>
      <c r="I333" s="4">
        <v>66708</v>
      </c>
      <c r="J333" s="72">
        <v>248</v>
      </c>
      <c r="K333" s="72">
        <v>1</v>
      </c>
      <c r="L333" s="72">
        <f t="shared" si="32"/>
        <v>82658</v>
      </c>
      <c r="M333" s="72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66962</v>
      </c>
      <c r="J334" s="72">
        <v>248</v>
      </c>
      <c r="K334" s="72">
        <v>1</v>
      </c>
      <c r="L334" s="72">
        <f t="shared" si="32"/>
        <v>82906</v>
      </c>
      <c r="M334" s="72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2">
        <v>133</v>
      </c>
      <c r="G335" s="28">
        <v>190</v>
      </c>
      <c r="H335" s="72">
        <v>323</v>
      </c>
      <c r="I335" s="4">
        <v>67285</v>
      </c>
      <c r="J335" s="72">
        <v>466</v>
      </c>
      <c r="K335" s="72">
        <v>1</v>
      </c>
      <c r="L335" s="72">
        <f t="shared" si="32"/>
        <v>83372</v>
      </c>
      <c r="M335" s="72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2">
        <v>89</v>
      </c>
      <c r="G336" s="28">
        <v>93</v>
      </c>
      <c r="H336" s="72">
        <v>182</v>
      </c>
      <c r="I336" s="4">
        <v>67467</v>
      </c>
      <c r="J336" s="72">
        <v>178</v>
      </c>
      <c r="K336" s="72">
        <v>1</v>
      </c>
      <c r="L336" s="72">
        <f t="shared" si="32"/>
        <v>83550</v>
      </c>
      <c r="M336" s="72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2">
        <v>30</v>
      </c>
      <c r="G337" s="28">
        <v>32</v>
      </c>
      <c r="H337" s="72">
        <v>62</v>
      </c>
      <c r="I337" s="4">
        <v>67529</v>
      </c>
      <c r="J337" s="72">
        <v>60</v>
      </c>
      <c r="K337" s="72">
        <v>1</v>
      </c>
      <c r="L337" s="72">
        <f t="shared" si="32"/>
        <v>83610</v>
      </c>
      <c r="M337" s="72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67591</v>
      </c>
      <c r="J338" s="72">
        <v>60</v>
      </c>
      <c r="K338" s="72">
        <v>1</v>
      </c>
      <c r="L338" s="72">
        <f t="shared" si="32"/>
        <v>83670</v>
      </c>
      <c r="M338" s="72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2">
        <v>269</v>
      </c>
      <c r="G339" s="28">
        <v>282</v>
      </c>
      <c r="H339" s="72">
        <v>551</v>
      </c>
      <c r="I339" s="4">
        <v>68142</v>
      </c>
      <c r="J339" s="72">
        <v>538</v>
      </c>
      <c r="K339" s="72">
        <v>1</v>
      </c>
      <c r="L339" s="72">
        <f t="shared" si="32"/>
        <v>84208</v>
      </c>
      <c r="M339" s="72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2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2">
        <v>1</v>
      </c>
      <c r="L340" s="72">
        <f t="shared" si="32"/>
        <v>85214</v>
      </c>
      <c r="M340" s="72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2">
        <v>0</v>
      </c>
      <c r="G341" s="72">
        <v>9</v>
      </c>
      <c r="H341" s="72">
        <v>9</v>
      </c>
      <c r="I341" s="4">
        <v>69380</v>
      </c>
      <c r="J341" s="72">
        <v>0</v>
      </c>
      <c r="K341" s="72">
        <v>0</v>
      </c>
      <c r="L341" s="72">
        <f t="shared" si="32"/>
        <v>85214</v>
      </c>
      <c r="M341" s="72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2">
        <v>63</v>
      </c>
      <c r="G342" s="28">
        <v>66</v>
      </c>
      <c r="H342" s="72">
        <v>129</v>
      </c>
      <c r="I342" s="4">
        <v>69509</v>
      </c>
      <c r="J342" s="72">
        <v>126</v>
      </c>
      <c r="K342" s="72">
        <v>1</v>
      </c>
      <c r="L342" s="72">
        <f t="shared" si="32"/>
        <v>85340</v>
      </c>
      <c r="M342" s="72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69638</v>
      </c>
      <c r="J343" s="72">
        <v>126</v>
      </c>
      <c r="K343" s="72">
        <v>1</v>
      </c>
      <c r="L343" s="72">
        <f t="shared" si="32"/>
        <v>85466</v>
      </c>
      <c r="M343" s="72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2">
        <v>98</v>
      </c>
      <c r="G344" s="28">
        <v>153</v>
      </c>
      <c r="H344" s="72">
        <v>251</v>
      </c>
      <c r="I344" s="4">
        <v>69889</v>
      </c>
      <c r="J344" s="72">
        <v>396</v>
      </c>
      <c r="K344" s="72">
        <v>1</v>
      </c>
      <c r="L344" s="72">
        <f t="shared" si="32"/>
        <v>85862</v>
      </c>
      <c r="M344" s="72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70140</v>
      </c>
      <c r="J345" s="72">
        <v>396</v>
      </c>
      <c r="K345" s="72">
        <v>1</v>
      </c>
      <c r="L345" s="72">
        <f t="shared" si="32"/>
        <v>86258</v>
      </c>
      <c r="M345" s="72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2">
        <v>0</v>
      </c>
      <c r="G346" s="72">
        <v>9</v>
      </c>
      <c r="H346" s="72">
        <v>9</v>
      </c>
      <c r="I346" s="4">
        <v>70149</v>
      </c>
      <c r="J346" s="72">
        <v>0</v>
      </c>
      <c r="K346" s="72">
        <v>0</v>
      </c>
      <c r="L346" s="72">
        <f t="shared" si="32"/>
        <v>86258</v>
      </c>
      <c r="M346" s="72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2">
        <v>30</v>
      </c>
      <c r="G347" s="28">
        <v>32</v>
      </c>
      <c r="H347" s="72">
        <v>62</v>
      </c>
      <c r="I347" s="4">
        <v>70211</v>
      </c>
      <c r="J347" s="72">
        <v>60</v>
      </c>
      <c r="K347" s="72">
        <v>1</v>
      </c>
      <c r="L347" s="72">
        <f t="shared" si="32"/>
        <v>86318</v>
      </c>
      <c r="M347" s="72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2">
        <v>44</v>
      </c>
      <c r="G348" s="28">
        <v>96</v>
      </c>
      <c r="H348" s="72">
        <v>140</v>
      </c>
      <c r="I348" s="4">
        <v>70351</v>
      </c>
      <c r="J348" s="72">
        <v>288</v>
      </c>
      <c r="K348" s="72">
        <v>1</v>
      </c>
      <c r="L348" s="72">
        <f t="shared" ref="L348:L352" si="34">J348+L347</f>
        <v>86606</v>
      </c>
      <c r="M348" s="72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2">
        <v>37</v>
      </c>
      <c r="G349" s="28">
        <v>39</v>
      </c>
      <c r="H349" s="72">
        <v>76</v>
      </c>
      <c r="I349" s="4">
        <v>70427</v>
      </c>
      <c r="J349" s="72">
        <v>74</v>
      </c>
      <c r="K349" s="72">
        <v>1</v>
      </c>
      <c r="L349" s="72">
        <f t="shared" si="34"/>
        <v>86680</v>
      </c>
      <c r="M349" s="72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70503</v>
      </c>
      <c r="J350" s="72">
        <v>74</v>
      </c>
      <c r="K350" s="72">
        <v>1</v>
      </c>
      <c r="L350" s="72">
        <f t="shared" si="34"/>
        <v>86754</v>
      </c>
      <c r="M350" s="72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2">
        <v>124</v>
      </c>
      <c r="G351" s="28">
        <v>130</v>
      </c>
      <c r="H351" s="72">
        <v>254</v>
      </c>
      <c r="I351" s="4">
        <v>70757</v>
      </c>
      <c r="J351" s="72">
        <v>248</v>
      </c>
      <c r="K351" s="72">
        <v>1</v>
      </c>
      <c r="L351" s="72">
        <f t="shared" si="34"/>
        <v>87002</v>
      </c>
      <c r="M351" s="72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71011</v>
      </c>
      <c r="J352" s="72">
        <v>248</v>
      </c>
      <c r="K352" s="72">
        <v>1</v>
      </c>
      <c r="L352" s="72">
        <f t="shared" si="34"/>
        <v>87250</v>
      </c>
      <c r="M352" s="72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2">
        <v>269</v>
      </c>
      <c r="G353" s="28">
        <v>282</v>
      </c>
      <c r="H353" s="72">
        <v>551</v>
      </c>
      <c r="I353" s="4">
        <v>71562</v>
      </c>
      <c r="J353" s="72">
        <v>538</v>
      </c>
      <c r="K353" s="72">
        <v>1</v>
      </c>
      <c r="L353" s="72">
        <f t="shared" ref="L353:L355" si="36">J353+L352</f>
        <v>87788</v>
      </c>
      <c r="M353" s="72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2">
        <v>492</v>
      </c>
      <c r="G354" s="28">
        <v>517</v>
      </c>
      <c r="H354" s="4">
        <v>1009</v>
      </c>
      <c r="I354" s="4">
        <v>72571</v>
      </c>
      <c r="J354" s="72">
        <v>984</v>
      </c>
      <c r="K354" s="72">
        <v>1</v>
      </c>
      <c r="L354" s="72">
        <f t="shared" si="36"/>
        <v>88772</v>
      </c>
      <c r="M354" s="72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2">
        <v>0</v>
      </c>
      <c r="G355" s="72">
        <v>2</v>
      </c>
      <c r="H355" s="72">
        <v>2</v>
      </c>
      <c r="I355" s="4">
        <v>72573</v>
      </c>
      <c r="J355" s="72">
        <v>0</v>
      </c>
      <c r="K355" s="72">
        <v>0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2">
        <v>0</v>
      </c>
      <c r="G356" s="72">
        <v>79</v>
      </c>
      <c r="H356" s="72">
        <v>79</v>
      </c>
      <c r="I356" s="4">
        <v>72652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2">
        <v>0</v>
      </c>
      <c r="G357" s="72">
        <v>61</v>
      </c>
      <c r="H357" s="72">
        <v>61</v>
      </c>
      <c r="I357" s="4">
        <v>72713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2">
        <v>0</v>
      </c>
      <c r="H358" s="4">
        <v>12624</v>
      </c>
      <c r="I358" s="4">
        <v>85337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2">
        <v>0</v>
      </c>
      <c r="G359" s="72">
        <v>8</v>
      </c>
      <c r="H359" s="72">
        <v>8</v>
      </c>
      <c r="I359" s="4">
        <v>85345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2">
        <v>0</v>
      </c>
      <c r="G360" s="72">
        <v>13</v>
      </c>
      <c r="H360" s="72">
        <v>13</v>
      </c>
      <c r="I360" s="4">
        <v>85358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2">
        <v>232</v>
      </c>
      <c r="G361" s="28">
        <v>294</v>
      </c>
      <c r="H361" s="72">
        <v>526</v>
      </c>
      <c r="I361" s="4">
        <v>85884</v>
      </c>
      <c r="J361" s="72">
        <v>864</v>
      </c>
      <c r="K361" s="72">
        <v>1</v>
      </c>
      <c r="L361" s="72">
        <f t="shared" si="38"/>
        <v>89636</v>
      </c>
      <c r="M361" s="72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2">
        <v>0</v>
      </c>
      <c r="G362" s="72">
        <v>8</v>
      </c>
      <c r="H362" s="72">
        <v>8</v>
      </c>
      <c r="I362" s="4">
        <v>85892</v>
      </c>
      <c r="J362" s="72">
        <v>0</v>
      </c>
      <c r="K362" s="72">
        <v>0</v>
      </c>
      <c r="L362" s="72">
        <f t="shared" si="38"/>
        <v>89636</v>
      </c>
      <c r="M362" s="72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86418</v>
      </c>
      <c r="J363" s="72">
        <v>864</v>
      </c>
      <c r="K363" s="72">
        <v>1</v>
      </c>
      <c r="L363" s="72">
        <f t="shared" si="38"/>
        <v>90500</v>
      </c>
      <c r="M363" s="72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2">
        <v>0</v>
      </c>
      <c r="G364" s="72">
        <v>6</v>
      </c>
      <c r="H364" s="72">
        <v>6</v>
      </c>
      <c r="I364" s="4">
        <v>86424</v>
      </c>
      <c r="J364" s="72">
        <v>0</v>
      </c>
      <c r="K364" s="72">
        <v>0</v>
      </c>
      <c r="L364" s="72">
        <f t="shared" si="38"/>
        <v>90500</v>
      </c>
      <c r="M364" s="72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2">
        <v>0</v>
      </c>
      <c r="G365" s="72">
        <v>7</v>
      </c>
      <c r="H365" s="72">
        <v>7</v>
      </c>
      <c r="I365" s="4">
        <v>86431</v>
      </c>
      <c r="J365" s="72">
        <v>0</v>
      </c>
      <c r="K365" s="72">
        <v>0</v>
      </c>
      <c r="L365" s="72">
        <f t="shared" si="38"/>
        <v>90500</v>
      </c>
      <c r="M365" s="72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3">
        <v>0</v>
      </c>
      <c r="G366" s="73">
        <v>19</v>
      </c>
      <c r="H366" s="73">
        <v>19</v>
      </c>
      <c r="I366" s="30">
        <v>86450</v>
      </c>
      <c r="J366" s="73">
        <v>0</v>
      </c>
      <c r="K366" s="73">
        <v>0</v>
      </c>
      <c r="L366" s="72">
        <f t="shared" si="38"/>
        <v>90500</v>
      </c>
      <c r="M366" s="72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2">
        <v>0</v>
      </c>
      <c r="G367" s="72">
        <v>16</v>
      </c>
      <c r="H367" s="72">
        <v>16</v>
      </c>
      <c r="I367" s="4">
        <v>92548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2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2">
        <v>1</v>
      </c>
      <c r="L368" s="72">
        <f t="shared" si="40"/>
        <v>92148</v>
      </c>
      <c r="M368" s="72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2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2">
        <v>1</v>
      </c>
      <c r="L369" s="72">
        <f t="shared" si="40"/>
        <v>93796</v>
      </c>
      <c r="M369" s="72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2">
        <v>0</v>
      </c>
      <c r="G370" s="72">
        <v>6</v>
      </c>
      <c r="H370" s="72">
        <v>6</v>
      </c>
      <c r="I370" s="4">
        <v>95212</v>
      </c>
      <c r="J370" s="72">
        <v>0</v>
      </c>
      <c r="K370" s="72">
        <v>0</v>
      </c>
      <c r="L370" s="72">
        <f t="shared" si="40"/>
        <v>93796</v>
      </c>
      <c r="M370" s="72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2">
        <v>0</v>
      </c>
      <c r="G371" s="72">
        <v>9</v>
      </c>
      <c r="H371" s="72">
        <v>9</v>
      </c>
      <c r="I371" s="4">
        <v>95221</v>
      </c>
      <c r="J371" s="72">
        <v>0</v>
      </c>
      <c r="K371" s="72">
        <v>0</v>
      </c>
      <c r="L371" s="72">
        <f t="shared" si="40"/>
        <v>93796</v>
      </c>
      <c r="M371" s="72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2">
        <v>0</v>
      </c>
      <c r="G372" s="72">
        <v>8</v>
      </c>
      <c r="H372" s="72">
        <v>8</v>
      </c>
      <c r="I372" s="4">
        <v>95229</v>
      </c>
      <c r="J372" s="72">
        <v>0</v>
      </c>
      <c r="K372" s="72">
        <v>0</v>
      </c>
      <c r="L372" s="72">
        <f t="shared" si="40"/>
        <v>93796</v>
      </c>
      <c r="M372" s="72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2">
        <v>0</v>
      </c>
      <c r="G373" s="72">
        <v>13</v>
      </c>
      <c r="H373" s="72">
        <v>13</v>
      </c>
      <c r="I373" s="4">
        <v>95242</v>
      </c>
      <c r="J373" s="72">
        <v>0</v>
      </c>
      <c r="K373" s="72">
        <v>0</v>
      </c>
      <c r="L373" s="72">
        <f t="shared" si="40"/>
        <v>93796</v>
      </c>
      <c r="M373" s="72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2">
        <v>113</v>
      </c>
      <c r="G374" s="28">
        <v>119</v>
      </c>
      <c r="H374" s="72">
        <v>232</v>
      </c>
      <c r="I374" s="4">
        <v>95474</v>
      </c>
      <c r="J374" s="72">
        <v>226</v>
      </c>
      <c r="K374" s="72">
        <v>1</v>
      </c>
      <c r="L374" s="72">
        <f t="shared" ref="L374:L375" si="42">J374+L373</f>
        <v>94022</v>
      </c>
      <c r="M374" s="72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2">
        <v>113</v>
      </c>
      <c r="G375" s="28">
        <v>119</v>
      </c>
      <c r="H375" s="72">
        <v>232</v>
      </c>
      <c r="I375" s="4">
        <v>95706</v>
      </c>
      <c r="J375" s="72">
        <v>226</v>
      </c>
      <c r="K375" s="72">
        <v>1</v>
      </c>
      <c r="L375" s="72">
        <f t="shared" si="42"/>
        <v>94248</v>
      </c>
      <c r="M375" s="72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2">
        <v>89</v>
      </c>
      <c r="G376" s="28">
        <v>93</v>
      </c>
      <c r="H376" s="72">
        <v>182</v>
      </c>
      <c r="I376" s="4">
        <v>95888</v>
      </c>
      <c r="J376" s="72">
        <v>178</v>
      </c>
      <c r="K376" s="72">
        <v>1</v>
      </c>
      <c r="L376" s="72">
        <f t="shared" ref="L376:L383" si="44">J376+L375</f>
        <v>94426</v>
      </c>
      <c r="M376" s="72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2">
        <v>89</v>
      </c>
      <c r="G377" s="28">
        <v>93</v>
      </c>
      <c r="H377" s="72">
        <v>182</v>
      </c>
      <c r="I377" s="4">
        <v>96070</v>
      </c>
      <c r="J377" s="72">
        <v>178</v>
      </c>
      <c r="K377" s="72">
        <v>1</v>
      </c>
      <c r="L377" s="72">
        <f t="shared" si="44"/>
        <v>94604</v>
      </c>
      <c r="M377" s="72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2">
        <v>492</v>
      </c>
      <c r="G378" s="28">
        <v>517</v>
      </c>
      <c r="H378" s="4">
        <v>1009</v>
      </c>
      <c r="I378" s="4">
        <v>97079</v>
      </c>
      <c r="J378" s="72">
        <v>984</v>
      </c>
      <c r="K378" s="72">
        <v>1</v>
      </c>
      <c r="L378" s="72">
        <f t="shared" si="44"/>
        <v>95588</v>
      </c>
      <c r="M378" s="72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2">
        <v>492</v>
      </c>
      <c r="G379" s="28">
        <v>517</v>
      </c>
      <c r="H379" s="4">
        <v>1009</v>
      </c>
      <c r="I379" s="4">
        <v>98088</v>
      </c>
      <c r="J379" s="72">
        <v>984</v>
      </c>
      <c r="K379" s="72">
        <v>1</v>
      </c>
      <c r="L379" s="72">
        <f t="shared" si="44"/>
        <v>96572</v>
      </c>
      <c r="M379" s="72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2">
        <v>0</v>
      </c>
      <c r="G380" s="72">
        <v>27</v>
      </c>
      <c r="H380" s="72">
        <v>27</v>
      </c>
      <c r="I380" s="4">
        <v>98115</v>
      </c>
      <c r="J380" s="72">
        <v>0</v>
      </c>
      <c r="K380" s="72">
        <v>0</v>
      </c>
      <c r="L380" s="72">
        <f t="shared" si="44"/>
        <v>96572</v>
      </c>
      <c r="M380" s="72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2">
        <v>0</v>
      </c>
      <c r="G381" s="72">
        <v>118</v>
      </c>
      <c r="H381" s="72">
        <v>118</v>
      </c>
      <c r="I381" s="4">
        <v>103738</v>
      </c>
      <c r="J381" s="72">
        <v>0</v>
      </c>
      <c r="K381" s="72">
        <v>0</v>
      </c>
      <c r="L381" s="72">
        <f t="shared" si="44"/>
        <v>96572</v>
      </c>
      <c r="M381" s="72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2">
        <v>0</v>
      </c>
      <c r="G382" s="72">
        <v>71</v>
      </c>
      <c r="H382" s="72">
        <v>71</v>
      </c>
      <c r="I382" s="4">
        <v>103809</v>
      </c>
      <c r="J382" s="72">
        <v>0</v>
      </c>
      <c r="K382" s="72">
        <v>0</v>
      </c>
      <c r="L382" s="72">
        <f t="shared" si="44"/>
        <v>96572</v>
      </c>
      <c r="M382" s="72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2">
        <v>0</v>
      </c>
      <c r="G383" s="72">
        <v>10</v>
      </c>
      <c r="H383" s="72">
        <v>10</v>
      </c>
      <c r="I383" s="4">
        <v>103819</v>
      </c>
      <c r="J383" s="72">
        <v>0</v>
      </c>
      <c r="K383" s="72">
        <v>0</v>
      </c>
      <c r="L383" s="72">
        <f t="shared" si="44"/>
        <v>96572</v>
      </c>
      <c r="M383" s="72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2">
        <v>0</v>
      </c>
      <c r="G384" s="72">
        <v>17</v>
      </c>
      <c r="H384" s="72">
        <v>17</v>
      </c>
      <c r="I384" s="4">
        <v>103836</v>
      </c>
      <c r="J384" s="72">
        <v>0</v>
      </c>
      <c r="K384" s="72">
        <v>0</v>
      </c>
      <c r="L384" s="72">
        <f t="shared" ref="L384:L398" si="46">J384+L383</f>
        <v>96572</v>
      </c>
      <c r="M384" s="72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2">
        <v>1</v>
      </c>
      <c r="L385" s="72">
        <f t="shared" si="46"/>
        <v>99136</v>
      </c>
      <c r="M385" s="72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2">
        <v>0</v>
      </c>
      <c r="G386" s="72">
        <v>2</v>
      </c>
      <c r="H386" s="72">
        <v>2</v>
      </c>
      <c r="I386" s="4">
        <v>106106</v>
      </c>
      <c r="J386" s="72">
        <v>0</v>
      </c>
      <c r="K386" s="72">
        <v>0</v>
      </c>
      <c r="L386" s="72">
        <f t="shared" si="46"/>
        <v>99136</v>
      </c>
      <c r="M386" s="72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2">
        <v>0</v>
      </c>
      <c r="G387" s="72">
        <v>2</v>
      </c>
      <c r="H387" s="72">
        <v>2</v>
      </c>
      <c r="I387" s="4">
        <v>106108</v>
      </c>
      <c r="J387" s="72">
        <v>0</v>
      </c>
      <c r="K387" s="72">
        <v>0</v>
      </c>
      <c r="L387" s="72">
        <f t="shared" si="46"/>
        <v>99136</v>
      </c>
      <c r="M387" s="72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2">
        <v>1</v>
      </c>
      <c r="L388" s="72">
        <f t="shared" si="46"/>
        <v>101700</v>
      </c>
      <c r="M388" s="72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2">
        <v>0</v>
      </c>
      <c r="G389" s="72">
        <v>8</v>
      </c>
      <c r="H389" s="72">
        <v>8</v>
      </c>
      <c r="I389" s="4">
        <v>108384</v>
      </c>
      <c r="J389" s="72">
        <v>0</v>
      </c>
      <c r="K389" s="72">
        <v>0</v>
      </c>
      <c r="L389" s="72">
        <f t="shared" si="46"/>
        <v>101700</v>
      </c>
      <c r="M389" s="72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2">
        <v>0</v>
      </c>
      <c r="G390" s="72">
        <v>8</v>
      </c>
      <c r="H390" s="72">
        <v>8</v>
      </c>
      <c r="I390" s="4">
        <v>108392</v>
      </c>
      <c r="J390" s="72">
        <v>0</v>
      </c>
      <c r="K390" s="72">
        <v>0</v>
      </c>
      <c r="L390" s="72">
        <f t="shared" si="46"/>
        <v>101700</v>
      </c>
      <c r="M390" s="72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2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2">
        <v>1</v>
      </c>
      <c r="L391" s="72">
        <f t="shared" si="46"/>
        <v>103376</v>
      </c>
      <c r="M391" s="72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2">
        <v>0</v>
      </c>
      <c r="G392" s="72">
        <v>3</v>
      </c>
      <c r="H392" s="72">
        <v>3</v>
      </c>
      <c r="I392" s="4">
        <v>109958</v>
      </c>
      <c r="J392" s="72">
        <v>0</v>
      </c>
      <c r="K392" s="72">
        <v>0</v>
      </c>
      <c r="L392" s="72">
        <f t="shared" si="46"/>
        <v>103376</v>
      </c>
      <c r="M392" s="72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2">
        <v>0</v>
      </c>
      <c r="G393" s="72">
        <v>9</v>
      </c>
      <c r="H393" s="72">
        <v>9</v>
      </c>
      <c r="I393" s="4">
        <v>109967</v>
      </c>
      <c r="J393" s="72">
        <v>0</v>
      </c>
      <c r="K393" s="72">
        <v>0</v>
      </c>
      <c r="L393" s="72">
        <f t="shared" si="46"/>
        <v>103376</v>
      </c>
      <c r="M393" s="72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2">
        <v>0</v>
      </c>
      <c r="G394" s="72">
        <v>11</v>
      </c>
      <c r="H394" s="72">
        <v>11</v>
      </c>
      <c r="I394" s="4">
        <v>109978</v>
      </c>
      <c r="J394" s="72">
        <v>0</v>
      </c>
      <c r="K394" s="72">
        <v>0</v>
      </c>
      <c r="L394" s="72">
        <f t="shared" si="46"/>
        <v>103376</v>
      </c>
      <c r="M394" s="72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2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2">
        <v>1</v>
      </c>
      <c r="L395" s="72">
        <f t="shared" si="46"/>
        <v>105052</v>
      </c>
      <c r="M395" s="72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2">
        <v>0</v>
      </c>
      <c r="G396" s="72">
        <v>40</v>
      </c>
      <c r="H396" s="72">
        <v>40</v>
      </c>
      <c r="I396" s="4">
        <v>111581</v>
      </c>
      <c r="J396" s="72">
        <v>0</v>
      </c>
      <c r="K396" s="72">
        <v>0</v>
      </c>
      <c r="L396" s="72">
        <f t="shared" si="46"/>
        <v>105052</v>
      </c>
      <c r="M396" s="72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2">
        <v>1</v>
      </c>
      <c r="L397" s="72">
        <f t="shared" si="46"/>
        <v>106728</v>
      </c>
      <c r="M397" s="72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2">
        <v>0</v>
      </c>
      <c r="G398" s="72">
        <v>5</v>
      </c>
      <c r="H398" s="72">
        <v>5</v>
      </c>
      <c r="I398" s="4">
        <v>113149</v>
      </c>
      <c r="J398" s="72">
        <v>0</v>
      </c>
      <c r="K398" s="72">
        <v>0</v>
      </c>
      <c r="L398" s="72">
        <f t="shared" si="46"/>
        <v>106728</v>
      </c>
      <c r="M398" s="72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2">
        <v>0</v>
      </c>
      <c r="G399" s="72">
        <v>2</v>
      </c>
      <c r="H399" s="72">
        <v>2</v>
      </c>
      <c r="I399" s="4">
        <v>113151</v>
      </c>
      <c r="J399" s="72">
        <v>0</v>
      </c>
      <c r="K399" s="72">
        <v>0</v>
      </c>
      <c r="L399" s="72">
        <f t="shared" ref="L399:L426" si="48">J399+L398</f>
        <v>106728</v>
      </c>
      <c r="M399" s="72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2">
        <v>1</v>
      </c>
      <c r="L400" s="72">
        <f t="shared" si="48"/>
        <v>109292</v>
      </c>
      <c r="M400" s="72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2">
        <v>0</v>
      </c>
      <c r="G401" s="72">
        <v>10</v>
      </c>
      <c r="H401" s="72">
        <v>10</v>
      </c>
      <c r="I401" s="4">
        <v>115429</v>
      </c>
      <c r="J401" s="72">
        <v>0</v>
      </c>
      <c r="K401" s="72">
        <v>0</v>
      </c>
      <c r="L401" s="72">
        <f t="shared" si="48"/>
        <v>109292</v>
      </c>
      <c r="M401" s="72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2">
        <v>269</v>
      </c>
      <c r="G402" s="28">
        <v>282</v>
      </c>
      <c r="H402" s="72">
        <v>551</v>
      </c>
      <c r="I402" s="4">
        <v>115980</v>
      </c>
      <c r="J402" s="72">
        <v>538</v>
      </c>
      <c r="K402" s="72">
        <v>1</v>
      </c>
      <c r="L402" s="72">
        <f t="shared" si="48"/>
        <v>109830</v>
      </c>
      <c r="M402" s="72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2">
        <v>98</v>
      </c>
      <c r="G403" s="28">
        <v>153</v>
      </c>
      <c r="H403" s="72">
        <v>251</v>
      </c>
      <c r="I403" s="4">
        <v>116231</v>
      </c>
      <c r="J403" s="72">
        <v>396</v>
      </c>
      <c r="K403" s="72">
        <v>1</v>
      </c>
      <c r="L403" s="72">
        <f t="shared" si="48"/>
        <v>110226</v>
      </c>
      <c r="M403" s="72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2">
        <v>98</v>
      </c>
      <c r="G404" s="28">
        <v>153</v>
      </c>
      <c r="H404" s="72">
        <v>251</v>
      </c>
      <c r="I404" s="4">
        <v>116482</v>
      </c>
      <c r="J404" s="72">
        <v>396</v>
      </c>
      <c r="K404" s="72">
        <v>1</v>
      </c>
      <c r="L404" s="72">
        <f t="shared" si="48"/>
        <v>110622</v>
      </c>
      <c r="M404" s="72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2">
        <v>94</v>
      </c>
      <c r="G405" s="28">
        <v>99</v>
      </c>
      <c r="H405" s="72">
        <v>193</v>
      </c>
      <c r="I405" s="4">
        <v>116675</v>
      </c>
      <c r="J405" s="72">
        <v>188</v>
      </c>
      <c r="K405" s="72">
        <v>1</v>
      </c>
      <c r="L405" s="72">
        <f t="shared" si="48"/>
        <v>110810</v>
      </c>
      <c r="M405" s="72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2">
        <v>94</v>
      </c>
      <c r="G406" s="28">
        <v>99</v>
      </c>
      <c r="H406" s="72">
        <v>193</v>
      </c>
      <c r="I406" s="4">
        <v>116868</v>
      </c>
      <c r="J406" s="72">
        <v>188</v>
      </c>
      <c r="K406" s="72">
        <v>1</v>
      </c>
      <c r="L406" s="72">
        <f t="shared" si="48"/>
        <v>110998</v>
      </c>
      <c r="M406" s="72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2">
        <v>284</v>
      </c>
      <c r="G407" s="28">
        <v>298</v>
      </c>
      <c r="H407" s="72">
        <v>582</v>
      </c>
      <c r="I407" s="4">
        <v>117450</v>
      </c>
      <c r="J407" s="72">
        <v>568</v>
      </c>
      <c r="K407" s="72">
        <v>1</v>
      </c>
      <c r="L407" s="72">
        <f t="shared" si="48"/>
        <v>111566</v>
      </c>
      <c r="M407" s="72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2">
        <v>0</v>
      </c>
      <c r="G408" s="72">
        <v>10</v>
      </c>
      <c r="H408" s="72">
        <v>10</v>
      </c>
      <c r="I408" s="4">
        <v>117460</v>
      </c>
      <c r="J408" s="72">
        <v>0</v>
      </c>
      <c r="K408" s="72">
        <v>0</v>
      </c>
      <c r="L408" s="72">
        <f t="shared" si="48"/>
        <v>111566</v>
      </c>
      <c r="M408" s="72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2">
        <v>44</v>
      </c>
      <c r="G409" s="28">
        <v>96</v>
      </c>
      <c r="H409" s="72">
        <v>140</v>
      </c>
      <c r="I409" s="4">
        <v>117600</v>
      </c>
      <c r="J409" s="72">
        <v>288</v>
      </c>
      <c r="K409" s="72">
        <v>1</v>
      </c>
      <c r="L409" s="72">
        <f t="shared" si="48"/>
        <v>111854</v>
      </c>
      <c r="M409" s="72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2">
        <v>30</v>
      </c>
      <c r="G410" s="28">
        <v>32</v>
      </c>
      <c r="H410" s="72">
        <v>62</v>
      </c>
      <c r="I410" s="4">
        <v>117662</v>
      </c>
      <c r="J410" s="72">
        <v>60</v>
      </c>
      <c r="K410" s="72">
        <v>1</v>
      </c>
      <c r="L410" s="72">
        <f t="shared" si="48"/>
        <v>111914</v>
      </c>
      <c r="M410" s="72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2">
        <v>89</v>
      </c>
      <c r="G411" s="28">
        <v>93</v>
      </c>
      <c r="H411" s="72">
        <v>182</v>
      </c>
      <c r="I411" s="4">
        <v>117844</v>
      </c>
      <c r="J411" s="72">
        <v>178</v>
      </c>
      <c r="K411" s="72">
        <v>1</v>
      </c>
      <c r="L411" s="72">
        <f t="shared" si="48"/>
        <v>112092</v>
      </c>
      <c r="M411" s="72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2">
        <v>89</v>
      </c>
      <c r="G412" s="28">
        <v>93</v>
      </c>
      <c r="H412" s="72">
        <v>182</v>
      </c>
      <c r="I412" s="4">
        <v>118026</v>
      </c>
      <c r="J412" s="72">
        <v>178</v>
      </c>
      <c r="K412" s="72">
        <v>1</v>
      </c>
      <c r="L412" s="72">
        <f t="shared" si="48"/>
        <v>112270</v>
      </c>
      <c r="M412" s="72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118577</v>
      </c>
      <c r="J413" s="72">
        <v>538</v>
      </c>
      <c r="K413" s="72">
        <v>1</v>
      </c>
      <c r="L413" s="72">
        <f t="shared" si="48"/>
        <v>112808</v>
      </c>
      <c r="M413" s="72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2">
        <v>0</v>
      </c>
      <c r="G414" s="72">
        <v>6</v>
      </c>
      <c r="H414" s="72">
        <v>6</v>
      </c>
      <c r="I414" s="4">
        <v>118583</v>
      </c>
      <c r="J414" s="72">
        <v>0</v>
      </c>
      <c r="K414" s="72">
        <v>0</v>
      </c>
      <c r="L414" s="72">
        <f t="shared" si="48"/>
        <v>112808</v>
      </c>
      <c r="M414" s="72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2">
        <v>44</v>
      </c>
      <c r="G415" s="28">
        <v>96</v>
      </c>
      <c r="H415" s="72">
        <v>140</v>
      </c>
      <c r="I415" s="4">
        <v>118723</v>
      </c>
      <c r="J415" s="72">
        <v>288</v>
      </c>
      <c r="K415" s="72">
        <v>1</v>
      </c>
      <c r="L415" s="72">
        <f t="shared" si="48"/>
        <v>113096</v>
      </c>
      <c r="M415" s="72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2">
        <v>30</v>
      </c>
      <c r="G416" s="28">
        <v>32</v>
      </c>
      <c r="H416" s="72">
        <v>62</v>
      </c>
      <c r="I416" s="4">
        <v>118785</v>
      </c>
      <c r="J416" s="72">
        <v>60</v>
      </c>
      <c r="K416" s="72">
        <v>1</v>
      </c>
      <c r="L416" s="72">
        <f t="shared" si="48"/>
        <v>113156</v>
      </c>
      <c r="M416" s="72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2">
        <v>40</v>
      </c>
      <c r="G417" s="28">
        <v>42</v>
      </c>
      <c r="H417" s="72">
        <v>82</v>
      </c>
      <c r="I417" s="4">
        <v>118867</v>
      </c>
      <c r="J417" s="72">
        <v>80</v>
      </c>
      <c r="K417" s="72">
        <v>1</v>
      </c>
      <c r="L417" s="72">
        <f t="shared" si="48"/>
        <v>113236</v>
      </c>
      <c r="M417" s="72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2">
        <v>158</v>
      </c>
      <c r="G418" s="28">
        <v>166</v>
      </c>
      <c r="H418" s="72">
        <v>324</v>
      </c>
      <c r="I418" s="4">
        <v>119191</v>
      </c>
      <c r="J418" s="72">
        <v>316</v>
      </c>
      <c r="K418" s="72">
        <v>1</v>
      </c>
      <c r="L418" s="72">
        <f t="shared" si="48"/>
        <v>113552</v>
      </c>
      <c r="M418" s="72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2">
        <v>124</v>
      </c>
      <c r="G419" s="28">
        <v>130</v>
      </c>
      <c r="H419" s="72">
        <v>254</v>
      </c>
      <c r="I419" s="4">
        <v>119445</v>
      </c>
      <c r="J419" s="72">
        <v>248</v>
      </c>
      <c r="K419" s="72">
        <v>1</v>
      </c>
      <c r="L419" s="72">
        <f t="shared" si="48"/>
        <v>113800</v>
      </c>
      <c r="M419" s="72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2">
        <v>89</v>
      </c>
      <c r="G420" s="28">
        <v>93</v>
      </c>
      <c r="H420" s="72">
        <v>182</v>
      </c>
      <c r="I420" s="4">
        <v>119627</v>
      </c>
      <c r="J420" s="72">
        <v>178</v>
      </c>
      <c r="K420" s="72">
        <v>1</v>
      </c>
      <c r="L420" s="72">
        <f t="shared" si="48"/>
        <v>113978</v>
      </c>
      <c r="M420" s="72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2">
        <v>89</v>
      </c>
      <c r="G421" s="28">
        <v>93</v>
      </c>
      <c r="H421" s="72">
        <v>182</v>
      </c>
      <c r="I421" s="4">
        <v>119809</v>
      </c>
      <c r="J421" s="72">
        <v>178</v>
      </c>
      <c r="K421" s="72">
        <v>1</v>
      </c>
      <c r="L421" s="72">
        <f t="shared" si="48"/>
        <v>114156</v>
      </c>
      <c r="M421" s="72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2">
        <v>269</v>
      </c>
      <c r="G422" s="28">
        <v>282</v>
      </c>
      <c r="H422" s="72">
        <v>551</v>
      </c>
      <c r="I422" s="4">
        <v>120360</v>
      </c>
      <c r="J422" s="72">
        <v>538</v>
      </c>
      <c r="K422" s="72">
        <v>1</v>
      </c>
      <c r="L422" s="72">
        <f t="shared" si="48"/>
        <v>114694</v>
      </c>
      <c r="M422" s="72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2">
        <v>492</v>
      </c>
      <c r="G423" s="28">
        <v>517</v>
      </c>
      <c r="H423" s="4">
        <v>1009</v>
      </c>
      <c r="I423" s="4">
        <v>121369</v>
      </c>
      <c r="J423" s="72">
        <v>984</v>
      </c>
      <c r="K423" s="72">
        <v>1</v>
      </c>
      <c r="L423" s="72">
        <f t="shared" si="48"/>
        <v>115678</v>
      </c>
      <c r="M423" s="72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2">
        <v>0</v>
      </c>
      <c r="G424" s="72">
        <v>20</v>
      </c>
      <c r="H424" s="72">
        <v>20</v>
      </c>
      <c r="I424" s="4">
        <v>121389</v>
      </c>
      <c r="J424" s="72">
        <v>0</v>
      </c>
      <c r="K424" s="72">
        <v>0</v>
      </c>
      <c r="L424" s="72">
        <f t="shared" si="48"/>
        <v>115678</v>
      </c>
      <c r="M424" s="72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2">
        <v>389</v>
      </c>
      <c r="G425" s="28">
        <v>458</v>
      </c>
      <c r="H425" s="72">
        <v>847</v>
      </c>
      <c r="I425" s="4">
        <v>122236</v>
      </c>
      <c r="J425" s="4">
        <v>1178</v>
      </c>
      <c r="K425" s="72">
        <v>1</v>
      </c>
      <c r="L425" s="72">
        <f t="shared" si="48"/>
        <v>116856</v>
      </c>
      <c r="M425" s="72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2">
        <v>0</v>
      </c>
      <c r="G426" s="72">
        <v>11</v>
      </c>
      <c r="H426" s="72">
        <v>11</v>
      </c>
      <c r="I426" s="4">
        <v>122247</v>
      </c>
      <c r="J426" s="72">
        <v>0</v>
      </c>
      <c r="K426" s="72">
        <v>0</v>
      </c>
      <c r="L426" s="72">
        <f t="shared" si="48"/>
        <v>116856</v>
      </c>
      <c r="M426" s="72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2">
        <v>0</v>
      </c>
      <c r="H427" s="4">
        <v>4117</v>
      </c>
      <c r="I427" s="4">
        <v>126364</v>
      </c>
      <c r="J427" s="72">
        <v>0</v>
      </c>
      <c r="K427" s="72">
        <v>0</v>
      </c>
      <c r="L427" s="72">
        <f t="shared" ref="L427:L439" si="50">J427+L426</f>
        <v>116856</v>
      </c>
      <c r="M427" s="72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2">
        <v>389</v>
      </c>
      <c r="G428" s="28">
        <v>458</v>
      </c>
      <c r="H428" s="72">
        <v>847</v>
      </c>
      <c r="I428" s="4">
        <v>127211</v>
      </c>
      <c r="J428" s="4">
        <v>1178</v>
      </c>
      <c r="K428" s="72">
        <v>1</v>
      </c>
      <c r="L428" s="72">
        <f t="shared" si="50"/>
        <v>118034</v>
      </c>
      <c r="M428" s="72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2">
        <v>284</v>
      </c>
      <c r="G429" s="28">
        <v>298</v>
      </c>
      <c r="H429" s="72">
        <v>582</v>
      </c>
      <c r="I429" s="4">
        <v>127793</v>
      </c>
      <c r="J429" s="72">
        <v>568</v>
      </c>
      <c r="K429" s="72">
        <v>1</v>
      </c>
      <c r="L429" s="72">
        <f t="shared" si="50"/>
        <v>118602</v>
      </c>
      <c r="M429" s="72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2">
        <v>0</v>
      </c>
      <c r="G430" s="72">
        <v>8</v>
      </c>
      <c r="H430" s="72">
        <v>8</v>
      </c>
      <c r="I430" s="4">
        <v>127801</v>
      </c>
      <c r="J430" s="72">
        <v>0</v>
      </c>
      <c r="K430" s="72">
        <v>0</v>
      </c>
      <c r="L430" s="72">
        <f t="shared" si="50"/>
        <v>118602</v>
      </c>
      <c r="M430" s="72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2">
        <v>60</v>
      </c>
      <c r="G431" s="28">
        <v>113</v>
      </c>
      <c r="H431" s="72">
        <v>173</v>
      </c>
      <c r="I431" s="4">
        <v>127974</v>
      </c>
      <c r="J431" s="72">
        <v>320</v>
      </c>
      <c r="K431" s="72">
        <v>1</v>
      </c>
      <c r="L431" s="72">
        <f t="shared" si="50"/>
        <v>118922</v>
      </c>
      <c r="M431" s="72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2">
        <v>158</v>
      </c>
      <c r="G432" s="28">
        <v>166</v>
      </c>
      <c r="H432" s="72">
        <v>324</v>
      </c>
      <c r="I432" s="4">
        <v>128298</v>
      </c>
      <c r="J432" s="72">
        <v>316</v>
      </c>
      <c r="K432" s="72">
        <v>1</v>
      </c>
      <c r="L432" s="72">
        <f t="shared" si="50"/>
        <v>119238</v>
      </c>
      <c r="M432" s="72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2">
        <v>124</v>
      </c>
      <c r="G433" s="28">
        <v>130</v>
      </c>
      <c r="H433" s="72">
        <v>254</v>
      </c>
      <c r="I433" s="4">
        <v>128552</v>
      </c>
      <c r="J433" s="72">
        <v>248</v>
      </c>
      <c r="K433" s="72">
        <v>1</v>
      </c>
      <c r="L433" s="72">
        <f t="shared" si="50"/>
        <v>119486</v>
      </c>
      <c r="M433" s="72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2">
        <v>124</v>
      </c>
      <c r="G434" s="28">
        <v>130</v>
      </c>
      <c r="H434" s="72">
        <v>254</v>
      </c>
      <c r="I434" s="4">
        <v>128806</v>
      </c>
      <c r="J434" s="72">
        <v>248</v>
      </c>
      <c r="K434" s="72">
        <v>1</v>
      </c>
      <c r="L434" s="72">
        <f t="shared" si="50"/>
        <v>119734</v>
      </c>
      <c r="M434" s="72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2">
        <v>403</v>
      </c>
      <c r="G435" s="28">
        <v>473</v>
      </c>
      <c r="H435" s="72">
        <v>876</v>
      </c>
      <c r="I435" s="4">
        <v>129682</v>
      </c>
      <c r="J435" s="4">
        <v>1006</v>
      </c>
      <c r="K435" s="72">
        <v>1</v>
      </c>
      <c r="L435" s="72">
        <f t="shared" si="50"/>
        <v>120740</v>
      </c>
      <c r="M435" s="72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2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2">
        <v>1</v>
      </c>
      <c r="L436" s="72">
        <f t="shared" si="50"/>
        <v>121964</v>
      </c>
      <c r="M436" s="72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2">
        <v>0</v>
      </c>
      <c r="G437" s="72">
        <v>17</v>
      </c>
      <c r="H437" s="72">
        <v>17</v>
      </c>
      <c r="I437" s="4">
        <v>130954</v>
      </c>
      <c r="J437" s="72">
        <v>0</v>
      </c>
      <c r="K437" s="72">
        <v>0</v>
      </c>
      <c r="L437" s="72">
        <f t="shared" si="50"/>
        <v>121964</v>
      </c>
      <c r="M437" s="72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2">
        <v>0</v>
      </c>
      <c r="G438" s="72">
        <v>10</v>
      </c>
      <c r="H438" s="72">
        <v>10</v>
      </c>
      <c r="I438" s="4">
        <v>130964</v>
      </c>
      <c r="J438" s="72">
        <v>0</v>
      </c>
      <c r="K438" s="72">
        <v>0</v>
      </c>
      <c r="L438" s="72">
        <f t="shared" si="50"/>
        <v>121964</v>
      </c>
      <c r="M438" s="72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3">
        <v>0</v>
      </c>
      <c r="G439" s="73">
        <v>10</v>
      </c>
      <c r="H439" s="73">
        <v>10</v>
      </c>
      <c r="I439" s="30">
        <v>130974</v>
      </c>
      <c r="J439" s="73">
        <v>0</v>
      </c>
      <c r="K439" s="73">
        <v>0</v>
      </c>
      <c r="L439" s="72">
        <f t="shared" si="50"/>
        <v>121964</v>
      </c>
      <c r="M439" s="72">
        <f t="shared" si="51"/>
        <v>137</v>
      </c>
    </row>
    <row r="440" spans="1:13">
      <c r="A440" s="29">
        <v>46067</v>
      </c>
      <c r="B440" s="76" t="s">
        <v>33</v>
      </c>
      <c r="C440" s="76"/>
      <c r="D440" s="76"/>
      <c r="E440" s="77"/>
      <c r="F440" s="73">
        <v>0</v>
      </c>
      <c r="G440" s="73">
        <v>9</v>
      </c>
      <c r="H440" s="73">
        <v>9</v>
      </c>
      <c r="I440" s="30">
        <v>130986</v>
      </c>
      <c r="J440" s="73">
        <v>0</v>
      </c>
      <c r="K440" s="73">
        <v>0</v>
      </c>
      <c r="L440" s="72">
        <f t="shared" ref="L440:L441" si="52">J440+L439</f>
        <v>121964</v>
      </c>
      <c r="M440" s="72">
        <f t="shared" ref="M440:M441" si="53">K440+M439</f>
        <v>137</v>
      </c>
    </row>
    <row r="441" spans="1:13">
      <c r="L441" s="72"/>
      <c r="M441" s="72"/>
    </row>
  </sheetData>
  <mergeCells count="280">
    <mergeCell ref="B440:E440"/>
    <mergeCell ref="B424:E424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362:E362"/>
    <mergeCell ref="B364:E364"/>
    <mergeCell ref="B365:E365"/>
    <mergeCell ref="B366:E366"/>
    <mergeCell ref="B355:E355"/>
    <mergeCell ref="B399:E399"/>
    <mergeCell ref="B401:E401"/>
    <mergeCell ref="B408:E408"/>
    <mergeCell ref="B414:E414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427:E427"/>
    <mergeCell ref="B430:E430"/>
    <mergeCell ref="B437:E437"/>
    <mergeCell ref="B438:E438"/>
    <mergeCell ref="B439:E439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360:E360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</hyperlinks>
  <pageMargins left="0.7" right="0.7" top="0.75" bottom="0.75" header="0.3" footer="0.3"/>
  <drawing r:id="rId1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workbookViewId="0">
      <pane xSplit="1" ySplit="2" topLeftCell="B24" activePane="bottomRight" state="frozen"/>
      <selection pane="bottomRight" activeCell="D20" sqref="D2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191</v>
      </c>
      <c r="C2" s="32" t="s">
        <v>192</v>
      </c>
      <c r="D2" s="32" t="s">
        <v>193</v>
      </c>
      <c r="E2" s="32" t="s">
        <v>1</v>
      </c>
      <c r="F2" s="32" t="s">
        <v>194</v>
      </c>
      <c r="G2" s="34" t="s">
        <v>195</v>
      </c>
    </row>
    <row r="3" spans="2:10" ht="15.75">
      <c r="B3" s="35"/>
      <c r="C3" s="32"/>
      <c r="D3" s="32"/>
      <c r="E3" s="32"/>
      <c r="F3" s="32"/>
      <c r="G3" s="34">
        <f t="shared" ref="G3:G123" si="0">G4+F3</f>
        <v>1020</v>
      </c>
    </row>
    <row r="4" spans="2:10" ht="15">
      <c r="B4" s="44"/>
      <c r="C4" s="45"/>
      <c r="D4" s="45"/>
      <c r="E4" s="45"/>
      <c r="F4" s="45"/>
      <c r="G4" s="34">
        <f t="shared" si="0"/>
        <v>1020</v>
      </c>
      <c r="I4" t="s">
        <v>196</v>
      </c>
      <c r="J4">
        <f>SUMIFS(F3:F30077,D3:D30077, "*JAL国内線*")</f>
        <v>805</v>
      </c>
    </row>
    <row r="5" spans="2:10" ht="15">
      <c r="B5" s="44"/>
      <c r="C5" s="45"/>
      <c r="D5" s="45"/>
      <c r="E5" s="45"/>
      <c r="F5" s="45"/>
      <c r="G5" s="34">
        <f t="shared" si="0"/>
        <v>1020</v>
      </c>
      <c r="I5" t="s">
        <v>197</v>
      </c>
      <c r="J5">
        <f>SUMIFS(F3:F30077,D3:D30077,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1020</v>
      </c>
      <c r="I6" t="s">
        <v>198</v>
      </c>
      <c r="J6">
        <f>SUMIFS(F3:F30077,D3:D30077,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1020</v>
      </c>
      <c r="I7" t="s">
        <v>199</v>
      </c>
      <c r="J7">
        <f>SUMIFS(F3:F30077,D3:D30077, "*JALモバイル*")</f>
        <v>6</v>
      </c>
    </row>
    <row r="8" spans="2:10" ht="15">
      <c r="B8" s="44"/>
      <c r="C8" s="45"/>
      <c r="D8" s="45"/>
      <c r="E8" s="45"/>
      <c r="F8" s="45"/>
      <c r="G8" s="34">
        <f t="shared" si="0"/>
        <v>1020</v>
      </c>
      <c r="I8" s="31" t="s">
        <v>200</v>
      </c>
      <c r="J8">
        <f>SUMIFS(F3:F30077,D3:D30077, "*JAL Wellness &amp; Travel*")</f>
        <v>6</v>
      </c>
    </row>
    <row r="9" spans="2:10" ht="15">
      <c r="B9" s="44"/>
      <c r="C9" s="45"/>
      <c r="D9" s="45"/>
      <c r="E9" s="45"/>
      <c r="F9" s="45"/>
      <c r="G9" s="34">
        <f t="shared" si="0"/>
        <v>1020</v>
      </c>
      <c r="I9" s="31" t="s">
        <v>201</v>
      </c>
      <c r="J9">
        <f>SUMIFS(F3:F30077,D3:D30077, "*JALマイレージパーク*")</f>
        <v>5</v>
      </c>
    </row>
    <row r="10" spans="2:10" ht="15">
      <c r="B10" s="44"/>
      <c r="C10" s="45"/>
      <c r="D10" s="45"/>
      <c r="E10" s="45"/>
      <c r="F10" s="45"/>
      <c r="G10" s="34">
        <f t="shared" si="0"/>
        <v>1020</v>
      </c>
      <c r="I10" s="31" t="s">
        <v>202</v>
      </c>
      <c r="J10">
        <f>SUMIFS(F3:F30077,D3:D30077,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1020</v>
      </c>
      <c r="I11" s="31" t="s">
        <v>203</v>
      </c>
      <c r="J11">
        <f>SUM(J4:J10)</f>
        <v>1020</v>
      </c>
    </row>
    <row r="12" spans="2:10" ht="15">
      <c r="B12" s="44"/>
      <c r="C12" s="45"/>
      <c r="D12" s="45"/>
      <c r="E12" s="45"/>
      <c r="F12" s="45"/>
      <c r="G12" s="34">
        <f t="shared" si="0"/>
        <v>1020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1020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1020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1020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1020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1020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1020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1020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1020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1020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1020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1020</v>
      </c>
      <c r="I23" s="31"/>
    </row>
    <row r="24" spans="2:9" ht="17.25">
      <c r="B24" s="44">
        <v>46066</v>
      </c>
      <c r="C24" s="45" t="s">
        <v>204</v>
      </c>
      <c r="D24" s="45" t="s">
        <v>196</v>
      </c>
      <c r="E24" s="45" t="s">
        <v>205</v>
      </c>
      <c r="F24" s="45">
        <v>30</v>
      </c>
      <c r="G24" s="34">
        <f t="shared" si="0"/>
        <v>1020</v>
      </c>
      <c r="I24" s="31"/>
    </row>
    <row r="25" spans="2:9" ht="17.25">
      <c r="B25" s="44">
        <v>46065</v>
      </c>
      <c r="C25" s="45" t="s">
        <v>204</v>
      </c>
      <c r="D25" s="45" t="s">
        <v>196</v>
      </c>
      <c r="E25" s="45" t="s">
        <v>205</v>
      </c>
      <c r="F25" s="45">
        <v>10</v>
      </c>
      <c r="G25" s="34">
        <f t="shared" si="0"/>
        <v>990</v>
      </c>
      <c r="I25" s="31"/>
    </row>
    <row r="26" spans="2:9" ht="17.25">
      <c r="B26" s="44">
        <v>46064</v>
      </c>
      <c r="C26" s="45" t="s">
        <v>206</v>
      </c>
      <c r="D26" s="45" t="s">
        <v>198</v>
      </c>
      <c r="E26" s="45" t="s">
        <v>207</v>
      </c>
      <c r="F26" s="45">
        <v>10</v>
      </c>
      <c r="G26" s="34">
        <f t="shared" si="0"/>
        <v>980</v>
      </c>
      <c r="I26" s="31"/>
    </row>
    <row r="27" spans="2:9" ht="17.25">
      <c r="B27" s="44">
        <v>46064</v>
      </c>
      <c r="C27" s="45" t="s">
        <v>204</v>
      </c>
      <c r="D27" s="45" t="s">
        <v>196</v>
      </c>
      <c r="E27" s="45" t="s">
        <v>205</v>
      </c>
      <c r="F27" s="45">
        <v>5</v>
      </c>
      <c r="G27" s="34">
        <f t="shared" si="0"/>
        <v>970</v>
      </c>
      <c r="I27" s="31"/>
    </row>
    <row r="28" spans="2:9" ht="17.25">
      <c r="B28" s="44">
        <v>46063</v>
      </c>
      <c r="C28" s="45" t="s">
        <v>204</v>
      </c>
      <c r="D28" s="45" t="s">
        <v>196</v>
      </c>
      <c r="E28" s="45" t="s">
        <v>205</v>
      </c>
      <c r="F28" s="45">
        <v>45</v>
      </c>
      <c r="G28" s="34">
        <f t="shared" si="0"/>
        <v>965</v>
      </c>
      <c r="I28" s="31"/>
    </row>
    <row r="29" spans="2:9" ht="17.25">
      <c r="B29" s="44">
        <v>46062</v>
      </c>
      <c r="C29" s="45" t="s">
        <v>204</v>
      </c>
      <c r="D29" s="45" t="s">
        <v>196</v>
      </c>
      <c r="E29" s="45" t="s">
        <v>205</v>
      </c>
      <c r="F29" s="45">
        <v>25</v>
      </c>
      <c r="G29" s="34">
        <f t="shared" si="0"/>
        <v>920</v>
      </c>
      <c r="I29" s="31"/>
    </row>
    <row r="30" spans="2:9" ht="17.25">
      <c r="B30" s="44">
        <v>46061</v>
      </c>
      <c r="C30" s="45" t="s">
        <v>204</v>
      </c>
      <c r="D30" s="45" t="s">
        <v>196</v>
      </c>
      <c r="E30" s="45" t="s">
        <v>205</v>
      </c>
      <c r="F30" s="45">
        <v>30</v>
      </c>
      <c r="G30" s="34">
        <f t="shared" si="0"/>
        <v>895</v>
      </c>
      <c r="I30" s="31"/>
    </row>
    <row r="31" spans="2:9" ht="17.25">
      <c r="B31" s="44">
        <v>46059</v>
      </c>
      <c r="C31" s="45" t="s">
        <v>204</v>
      </c>
      <c r="D31" s="45" t="s">
        <v>196</v>
      </c>
      <c r="E31" s="45" t="s">
        <v>205</v>
      </c>
      <c r="F31" s="45">
        <v>5</v>
      </c>
      <c r="G31" s="34">
        <f t="shared" si="0"/>
        <v>865</v>
      </c>
      <c r="I31" s="31"/>
    </row>
    <row r="32" spans="2:9" ht="17.25">
      <c r="B32" s="44">
        <v>46057</v>
      </c>
      <c r="C32" s="45" t="s">
        <v>204</v>
      </c>
      <c r="D32" s="45" t="s">
        <v>196</v>
      </c>
      <c r="E32" s="45" t="s">
        <v>205</v>
      </c>
      <c r="F32" s="45">
        <v>5</v>
      </c>
      <c r="G32" s="34">
        <f t="shared" si="0"/>
        <v>860</v>
      </c>
      <c r="I32" s="31"/>
    </row>
    <row r="33" spans="2:10" ht="17.25">
      <c r="B33" s="44">
        <v>46056</v>
      </c>
      <c r="C33" s="45" t="s">
        <v>204</v>
      </c>
      <c r="D33" s="45" t="s">
        <v>196</v>
      </c>
      <c r="E33" s="45" t="s">
        <v>205</v>
      </c>
      <c r="F33" s="45">
        <v>5</v>
      </c>
      <c r="G33" s="34">
        <f t="shared" si="0"/>
        <v>855</v>
      </c>
      <c r="I33" s="31"/>
    </row>
    <row r="34" spans="2:10" ht="17.25">
      <c r="B34" s="44">
        <v>46055</v>
      </c>
      <c r="C34" s="45" t="s">
        <v>202</v>
      </c>
      <c r="D34" s="45" t="s">
        <v>202</v>
      </c>
      <c r="E34" s="45" t="s">
        <v>208</v>
      </c>
      <c r="F34" s="45">
        <v>10</v>
      </c>
      <c r="G34" s="34">
        <f t="shared" si="0"/>
        <v>850</v>
      </c>
      <c r="I34" s="31"/>
    </row>
    <row r="35" spans="2:10" ht="17.25">
      <c r="B35" s="44">
        <v>46054</v>
      </c>
      <c r="C35" s="45" t="s">
        <v>204</v>
      </c>
      <c r="D35" s="45" t="s">
        <v>196</v>
      </c>
      <c r="E35" s="45" t="s">
        <v>205</v>
      </c>
      <c r="F35" s="45">
        <v>5</v>
      </c>
      <c r="G35" s="34">
        <f t="shared" si="0"/>
        <v>840</v>
      </c>
      <c r="I35" s="31"/>
    </row>
    <row r="36" spans="2:10" ht="17.25">
      <c r="B36" s="44">
        <v>46052</v>
      </c>
      <c r="C36" s="45" t="s">
        <v>204</v>
      </c>
      <c r="D36" s="45" t="s">
        <v>196</v>
      </c>
      <c r="E36" s="45" t="s">
        <v>205</v>
      </c>
      <c r="F36" s="45">
        <v>5</v>
      </c>
      <c r="G36" s="34">
        <f t="shared" si="0"/>
        <v>835</v>
      </c>
      <c r="I36" s="31"/>
    </row>
    <row r="37" spans="2:10" ht="17.25">
      <c r="B37" s="44">
        <v>46051</v>
      </c>
      <c r="C37" s="45" t="s">
        <v>204</v>
      </c>
      <c r="D37" s="45" t="s">
        <v>196</v>
      </c>
      <c r="E37" s="45" t="s">
        <v>205</v>
      </c>
      <c r="F37" s="45">
        <v>5</v>
      </c>
      <c r="G37" s="34">
        <f t="shared" si="0"/>
        <v>830</v>
      </c>
      <c r="I37" s="31"/>
    </row>
    <row r="38" spans="2:10" ht="17.25">
      <c r="B38" s="44">
        <v>46048</v>
      </c>
      <c r="C38" s="45" t="s">
        <v>204</v>
      </c>
      <c r="D38" s="45" t="s">
        <v>196</v>
      </c>
      <c r="E38" s="45" t="s">
        <v>205</v>
      </c>
      <c r="F38" s="45">
        <v>30</v>
      </c>
      <c r="G38" s="34">
        <f t="shared" si="0"/>
        <v>825</v>
      </c>
      <c r="I38" s="31"/>
    </row>
    <row r="39" spans="2:10" ht="17.25">
      <c r="B39" s="44">
        <v>46047</v>
      </c>
      <c r="C39" s="45" t="s">
        <v>206</v>
      </c>
      <c r="D39" s="45" t="s">
        <v>201</v>
      </c>
      <c r="E39" s="45" t="s">
        <v>209</v>
      </c>
      <c r="F39" s="45">
        <v>2</v>
      </c>
      <c r="G39" s="34">
        <f t="shared" si="0"/>
        <v>795</v>
      </c>
      <c r="I39" s="31"/>
    </row>
    <row r="40" spans="2:10" ht="17.25">
      <c r="B40" s="44">
        <v>46044</v>
      </c>
      <c r="C40" s="45" t="s">
        <v>204</v>
      </c>
      <c r="D40" s="45" t="s">
        <v>196</v>
      </c>
      <c r="E40" s="45" t="s">
        <v>205</v>
      </c>
      <c r="F40" s="45">
        <v>10</v>
      </c>
      <c r="G40" s="34">
        <f t="shared" si="0"/>
        <v>793</v>
      </c>
      <c r="I40" s="31"/>
    </row>
    <row r="41" spans="2:10" ht="17.25">
      <c r="B41" s="44">
        <v>46041</v>
      </c>
      <c r="C41" s="45" t="s">
        <v>206</v>
      </c>
      <c r="D41" s="45" t="s">
        <v>199</v>
      </c>
      <c r="E41" s="45" t="s">
        <v>199</v>
      </c>
      <c r="F41" s="45">
        <v>1</v>
      </c>
      <c r="G41" s="34">
        <f t="shared" si="0"/>
        <v>783</v>
      </c>
      <c r="I41" s="31"/>
    </row>
    <row r="42" spans="2:10" ht="17.25">
      <c r="B42" s="44">
        <v>46040</v>
      </c>
      <c r="C42" s="45" t="s">
        <v>204</v>
      </c>
      <c r="D42" s="45" t="s">
        <v>196</v>
      </c>
      <c r="E42" s="45" t="s">
        <v>205</v>
      </c>
      <c r="F42" s="45">
        <v>5</v>
      </c>
      <c r="G42" s="34">
        <f t="shared" si="0"/>
        <v>782</v>
      </c>
      <c r="I42" s="31"/>
    </row>
    <row r="43" spans="2:10" ht="17.25">
      <c r="B43" s="44">
        <v>46039</v>
      </c>
      <c r="C43" s="45" t="s">
        <v>204</v>
      </c>
      <c r="D43" s="45" t="s">
        <v>196</v>
      </c>
      <c r="E43" s="45" t="s">
        <v>205</v>
      </c>
      <c r="F43" s="45">
        <v>5</v>
      </c>
      <c r="G43" s="34">
        <f t="shared" si="0"/>
        <v>777</v>
      </c>
      <c r="I43" s="31"/>
    </row>
    <row r="44" spans="2:10" ht="17.25">
      <c r="B44" s="44">
        <v>46037</v>
      </c>
      <c r="C44" s="45" t="s">
        <v>206</v>
      </c>
      <c r="D44" s="45" t="s">
        <v>200</v>
      </c>
      <c r="E44" s="45" t="s">
        <v>210</v>
      </c>
      <c r="F44" s="45">
        <v>1</v>
      </c>
      <c r="G44" s="34">
        <f t="shared" si="0"/>
        <v>772</v>
      </c>
      <c r="I44" s="31"/>
    </row>
    <row r="45" spans="2:10" ht="17.25">
      <c r="B45" s="44">
        <v>46035</v>
      </c>
      <c r="C45" s="45" t="s">
        <v>204</v>
      </c>
      <c r="D45" s="45" t="s">
        <v>196</v>
      </c>
      <c r="E45" s="45" t="s">
        <v>205</v>
      </c>
      <c r="F45" s="45">
        <v>40</v>
      </c>
      <c r="G45" s="34">
        <f t="shared" si="0"/>
        <v>771</v>
      </c>
      <c r="I45" s="31"/>
    </row>
    <row r="46" spans="2:10" ht="17.25">
      <c r="B46" s="44">
        <v>46034</v>
      </c>
      <c r="C46" s="45" t="s">
        <v>204</v>
      </c>
      <c r="D46" s="45" t="s">
        <v>196</v>
      </c>
      <c r="E46" s="45" t="s">
        <v>205</v>
      </c>
      <c r="F46" s="45">
        <v>20</v>
      </c>
      <c r="G46" s="34">
        <f t="shared" si="0"/>
        <v>731</v>
      </c>
      <c r="I46" s="31"/>
    </row>
    <row r="47" spans="2:10" ht="17.25">
      <c r="B47" s="44">
        <v>46033</v>
      </c>
      <c r="C47" s="45" t="s">
        <v>206</v>
      </c>
      <c r="D47" s="45" t="s">
        <v>198</v>
      </c>
      <c r="E47" s="45" t="s">
        <v>207</v>
      </c>
      <c r="F47" s="45">
        <v>30</v>
      </c>
      <c r="G47" s="34">
        <f t="shared" si="0"/>
        <v>711</v>
      </c>
      <c r="J47">
        <f>SUM(J4:J11)</f>
        <v>2040</v>
      </c>
    </row>
    <row r="48" spans="2:10" ht="17.25">
      <c r="B48" s="44">
        <v>46033</v>
      </c>
      <c r="C48" s="45" t="s">
        <v>204</v>
      </c>
      <c r="D48" s="45" t="s">
        <v>196</v>
      </c>
      <c r="E48" s="45" t="s">
        <v>205</v>
      </c>
      <c r="F48" s="45">
        <v>40</v>
      </c>
      <c r="G48" s="34">
        <f t="shared" si="0"/>
        <v>681</v>
      </c>
    </row>
    <row r="49" spans="2:7" ht="17.25">
      <c r="B49" s="44">
        <v>46032</v>
      </c>
      <c r="C49" s="45" t="s">
        <v>204</v>
      </c>
      <c r="D49" s="45" t="s">
        <v>196</v>
      </c>
      <c r="E49" s="45" t="s">
        <v>205</v>
      </c>
      <c r="F49" s="45">
        <v>10</v>
      </c>
      <c r="G49" s="34">
        <f t="shared" si="0"/>
        <v>641</v>
      </c>
    </row>
    <row r="50" spans="2:7" ht="17.25">
      <c r="B50" s="44">
        <v>46030</v>
      </c>
      <c r="C50" s="45" t="s">
        <v>204</v>
      </c>
      <c r="D50" s="45" t="s">
        <v>196</v>
      </c>
      <c r="E50" s="45" t="s">
        <v>205</v>
      </c>
      <c r="F50" s="45">
        <v>5</v>
      </c>
      <c r="G50" s="34">
        <f t="shared" si="0"/>
        <v>631</v>
      </c>
    </row>
    <row r="51" spans="2:7" ht="17.25">
      <c r="B51" s="44">
        <v>46016</v>
      </c>
      <c r="C51" s="45" t="s">
        <v>204</v>
      </c>
      <c r="D51" s="45" t="s">
        <v>196</v>
      </c>
      <c r="E51" s="45" t="s">
        <v>205</v>
      </c>
      <c r="F51" s="45">
        <v>5</v>
      </c>
      <c r="G51" s="34">
        <f t="shared" si="0"/>
        <v>626</v>
      </c>
    </row>
    <row r="52" spans="2:7" ht="17.25">
      <c r="B52" s="44">
        <v>46014</v>
      </c>
      <c r="C52" s="45" t="s">
        <v>204</v>
      </c>
      <c r="D52" s="45" t="s">
        <v>196</v>
      </c>
      <c r="E52" s="45" t="s">
        <v>205</v>
      </c>
      <c r="F52" s="45">
        <v>5</v>
      </c>
      <c r="G52" s="34">
        <f t="shared" si="0"/>
        <v>621</v>
      </c>
    </row>
    <row r="53" spans="2:7" ht="17.25">
      <c r="B53" s="44">
        <v>46012</v>
      </c>
      <c r="C53" s="45" t="s">
        <v>206</v>
      </c>
      <c r="D53" s="45" t="s">
        <v>201</v>
      </c>
      <c r="E53" s="45" t="s">
        <v>209</v>
      </c>
      <c r="F53" s="45">
        <v>1</v>
      </c>
      <c r="G53" s="34">
        <f t="shared" si="0"/>
        <v>616</v>
      </c>
    </row>
    <row r="54" spans="2:7" ht="17.25">
      <c r="B54" s="44">
        <v>46012</v>
      </c>
      <c r="C54" s="45" t="s">
        <v>204</v>
      </c>
      <c r="D54" s="45" t="s">
        <v>196</v>
      </c>
      <c r="E54" s="45" t="s">
        <v>205</v>
      </c>
      <c r="F54" s="45">
        <v>5</v>
      </c>
      <c r="G54" s="34">
        <f t="shared" si="0"/>
        <v>615</v>
      </c>
    </row>
    <row r="55" spans="2:7" ht="17.25">
      <c r="B55" s="44">
        <v>46011</v>
      </c>
      <c r="C55" s="45" t="s">
        <v>204</v>
      </c>
      <c r="D55" s="45" t="s">
        <v>196</v>
      </c>
      <c r="E55" s="45" t="s">
        <v>205</v>
      </c>
      <c r="F55" s="45">
        <v>5</v>
      </c>
      <c r="G55" s="34">
        <f t="shared" si="0"/>
        <v>610</v>
      </c>
    </row>
    <row r="56" spans="2:7" ht="17.25">
      <c r="B56" s="44">
        <v>46008</v>
      </c>
      <c r="C56" s="45" t="s">
        <v>206</v>
      </c>
      <c r="D56" s="45" t="s">
        <v>199</v>
      </c>
      <c r="E56" s="45" t="s">
        <v>199</v>
      </c>
      <c r="F56" s="45">
        <v>1</v>
      </c>
      <c r="G56" s="34">
        <f t="shared" si="0"/>
        <v>605</v>
      </c>
    </row>
    <row r="57" spans="2:7" ht="17.25">
      <c r="B57" s="44">
        <v>46006</v>
      </c>
      <c r="C57" s="45" t="s">
        <v>206</v>
      </c>
      <c r="D57" s="45" t="s">
        <v>200</v>
      </c>
      <c r="E57" s="45" t="s">
        <v>210</v>
      </c>
      <c r="F57" s="45">
        <v>1</v>
      </c>
      <c r="G57" s="34">
        <f t="shared" si="0"/>
        <v>604</v>
      </c>
    </row>
    <row r="58" spans="2:7" ht="17.25">
      <c r="B58" s="44">
        <v>46002</v>
      </c>
      <c r="C58" s="45" t="s">
        <v>206</v>
      </c>
      <c r="D58" s="45" t="s">
        <v>198</v>
      </c>
      <c r="E58" s="45" t="s">
        <v>207</v>
      </c>
      <c r="F58" s="45">
        <v>10</v>
      </c>
      <c r="G58" s="34">
        <f t="shared" si="0"/>
        <v>603</v>
      </c>
    </row>
    <row r="59" spans="2:7" ht="17.25">
      <c r="B59" s="44">
        <v>45996</v>
      </c>
      <c r="C59" s="45" t="s">
        <v>204</v>
      </c>
      <c r="D59" s="45" t="s">
        <v>196</v>
      </c>
      <c r="E59" s="45" t="s">
        <v>205</v>
      </c>
      <c r="F59" s="45">
        <v>45</v>
      </c>
      <c r="G59" s="34">
        <f t="shared" si="0"/>
        <v>593</v>
      </c>
    </row>
    <row r="60" spans="2:7" ht="17.25">
      <c r="B60" s="44">
        <v>45995</v>
      </c>
      <c r="C60" s="45" t="s">
        <v>204</v>
      </c>
      <c r="D60" s="45" t="s">
        <v>196</v>
      </c>
      <c r="E60" s="45" t="s">
        <v>205</v>
      </c>
      <c r="F60" s="45">
        <v>5</v>
      </c>
      <c r="G60" s="34">
        <f t="shared" si="0"/>
        <v>548</v>
      </c>
    </row>
    <row r="61" spans="2:7" ht="17.25">
      <c r="B61" s="44">
        <v>45994</v>
      </c>
      <c r="C61" s="45" t="s">
        <v>204</v>
      </c>
      <c r="D61" s="45" t="s">
        <v>196</v>
      </c>
      <c r="E61" s="45" t="s">
        <v>205</v>
      </c>
      <c r="F61" s="45">
        <v>5</v>
      </c>
      <c r="G61" s="34">
        <f t="shared" si="0"/>
        <v>543</v>
      </c>
    </row>
    <row r="62" spans="2:7" ht="17.25">
      <c r="B62" s="44">
        <v>45990</v>
      </c>
      <c r="C62" s="45" t="s">
        <v>204</v>
      </c>
      <c r="D62" s="45" t="s">
        <v>196</v>
      </c>
      <c r="E62" s="45" t="s">
        <v>205</v>
      </c>
      <c r="F62" s="45">
        <v>5</v>
      </c>
      <c r="G62" s="34">
        <f t="shared" si="0"/>
        <v>538</v>
      </c>
    </row>
    <row r="63" spans="2:7" ht="17.25">
      <c r="B63" s="44">
        <v>45989</v>
      </c>
      <c r="C63" s="45" t="s">
        <v>204</v>
      </c>
      <c r="D63" s="45" t="s">
        <v>196</v>
      </c>
      <c r="E63" s="45" t="s">
        <v>205</v>
      </c>
      <c r="F63" s="45">
        <v>5</v>
      </c>
      <c r="G63" s="34">
        <f t="shared" si="0"/>
        <v>533</v>
      </c>
    </row>
    <row r="64" spans="2:7" ht="17.25">
      <c r="B64" s="44">
        <v>45988</v>
      </c>
      <c r="C64" s="45" t="s">
        <v>202</v>
      </c>
      <c r="D64" s="45" t="s">
        <v>202</v>
      </c>
      <c r="E64" s="45" t="s">
        <v>211</v>
      </c>
      <c r="F64" s="45">
        <v>18</v>
      </c>
      <c r="G64" s="34">
        <f t="shared" si="0"/>
        <v>528</v>
      </c>
    </row>
    <row r="65" spans="2:7" ht="17.25">
      <c r="B65" s="44">
        <v>45988</v>
      </c>
      <c r="C65" s="45" t="s">
        <v>204</v>
      </c>
      <c r="D65" s="45" t="s">
        <v>196</v>
      </c>
      <c r="E65" s="45" t="s">
        <v>205</v>
      </c>
      <c r="F65" s="45">
        <v>5</v>
      </c>
      <c r="G65" s="34">
        <f t="shared" si="0"/>
        <v>510</v>
      </c>
    </row>
    <row r="66" spans="2:7" ht="17.25">
      <c r="B66" s="44">
        <v>45987</v>
      </c>
      <c r="C66" s="45" t="s">
        <v>204</v>
      </c>
      <c r="D66" s="45" t="s">
        <v>196</v>
      </c>
      <c r="E66" s="45" t="s">
        <v>205</v>
      </c>
      <c r="F66" s="45">
        <v>5</v>
      </c>
      <c r="G66" s="34">
        <f>G67+F66</f>
        <v>505</v>
      </c>
    </row>
    <row r="67" spans="2:7" ht="17.25">
      <c r="B67" s="44">
        <v>45985</v>
      </c>
      <c r="C67" s="45" t="s">
        <v>204</v>
      </c>
      <c r="D67" s="45" t="s">
        <v>196</v>
      </c>
      <c r="E67" s="45" t="s">
        <v>205</v>
      </c>
      <c r="F67" s="45">
        <v>5</v>
      </c>
      <c r="G67" s="34">
        <f t="shared" si="0"/>
        <v>500</v>
      </c>
    </row>
    <row r="68" spans="2:7" ht="17.25">
      <c r="B68" s="44">
        <v>45983</v>
      </c>
      <c r="C68" s="45" t="s">
        <v>204</v>
      </c>
      <c r="D68" s="45" t="s">
        <v>196</v>
      </c>
      <c r="E68" s="45" t="s">
        <v>205</v>
      </c>
      <c r="F68" s="45">
        <v>5</v>
      </c>
      <c r="G68" s="34">
        <f t="shared" si="0"/>
        <v>495</v>
      </c>
    </row>
    <row r="69" spans="2:7" ht="17.25">
      <c r="B69" s="44">
        <v>45982</v>
      </c>
      <c r="C69" s="45" t="s">
        <v>206</v>
      </c>
      <c r="D69" s="45" t="s">
        <v>201</v>
      </c>
      <c r="E69" s="45" t="s">
        <v>209</v>
      </c>
      <c r="F69" s="45">
        <v>1</v>
      </c>
      <c r="G69" s="34">
        <f t="shared" si="0"/>
        <v>490</v>
      </c>
    </row>
    <row r="70" spans="2:7" ht="17.25">
      <c r="B70" s="44">
        <v>45978</v>
      </c>
      <c r="C70" s="45" t="s">
        <v>206</v>
      </c>
      <c r="D70" s="45" t="s">
        <v>199</v>
      </c>
      <c r="E70" s="45" t="s">
        <v>199</v>
      </c>
      <c r="F70" s="45">
        <v>1</v>
      </c>
      <c r="G70" s="34">
        <f t="shared" si="0"/>
        <v>489</v>
      </c>
    </row>
    <row r="71" spans="2:7" ht="17.25">
      <c r="B71" s="44">
        <v>45976</v>
      </c>
      <c r="C71" s="45" t="s">
        <v>206</v>
      </c>
      <c r="D71" s="45" t="s">
        <v>200</v>
      </c>
      <c r="E71" s="45" t="s">
        <v>210</v>
      </c>
      <c r="F71" s="45">
        <v>1</v>
      </c>
      <c r="G71" s="34">
        <f>G72+F71</f>
        <v>488</v>
      </c>
    </row>
    <row r="72" spans="2:7" ht="17.25">
      <c r="B72" s="44">
        <v>45972</v>
      </c>
      <c r="C72" s="45" t="s">
        <v>206</v>
      </c>
      <c r="D72" s="45" t="s">
        <v>198</v>
      </c>
      <c r="E72" s="45" t="s">
        <v>207</v>
      </c>
      <c r="F72" s="45">
        <v>20</v>
      </c>
      <c r="G72" s="34">
        <f t="shared" si="0"/>
        <v>487</v>
      </c>
    </row>
    <row r="73" spans="2:7" ht="17.25">
      <c r="B73" s="44">
        <v>45960</v>
      </c>
      <c r="C73" s="45" t="s">
        <v>202</v>
      </c>
      <c r="D73" s="45" t="s">
        <v>202</v>
      </c>
      <c r="E73" s="45" t="s">
        <v>212</v>
      </c>
      <c r="F73" s="45">
        <v>10</v>
      </c>
      <c r="G73" s="34">
        <f t="shared" si="0"/>
        <v>467</v>
      </c>
    </row>
    <row r="74" spans="2:7" ht="17.25">
      <c r="B74" s="44">
        <v>45956</v>
      </c>
      <c r="C74" s="45" t="s">
        <v>204</v>
      </c>
      <c r="D74" s="45" t="s">
        <v>196</v>
      </c>
      <c r="E74" s="45" t="s">
        <v>205</v>
      </c>
      <c r="F74" s="45">
        <v>5</v>
      </c>
      <c r="G74" s="34">
        <f t="shared" si="0"/>
        <v>457</v>
      </c>
    </row>
    <row r="75" spans="2:7" ht="17.25">
      <c r="B75" s="44">
        <v>45955</v>
      </c>
      <c r="C75" s="45" t="s">
        <v>204</v>
      </c>
      <c r="D75" s="45" t="s">
        <v>196</v>
      </c>
      <c r="E75" s="45" t="s">
        <v>205</v>
      </c>
      <c r="F75" s="45">
        <v>5</v>
      </c>
      <c r="G75" s="34">
        <f t="shared" si="0"/>
        <v>452</v>
      </c>
    </row>
    <row r="76" spans="2:7" ht="17.25">
      <c r="B76" s="44">
        <v>45953</v>
      </c>
      <c r="C76" s="45" t="s">
        <v>204</v>
      </c>
      <c r="D76" s="45" t="s">
        <v>196</v>
      </c>
      <c r="E76" s="45" t="s">
        <v>205</v>
      </c>
      <c r="F76" s="45">
        <v>5</v>
      </c>
      <c r="G76" s="34">
        <f t="shared" si="0"/>
        <v>447</v>
      </c>
    </row>
    <row r="77" spans="2:7" ht="17.25">
      <c r="B77" s="44">
        <v>45952</v>
      </c>
      <c r="C77" s="45" t="s">
        <v>206</v>
      </c>
      <c r="D77" s="45" t="s">
        <v>201</v>
      </c>
      <c r="E77" s="45" t="s">
        <v>209</v>
      </c>
      <c r="F77" s="45">
        <v>1</v>
      </c>
      <c r="G77" s="34">
        <f t="shared" si="0"/>
        <v>442</v>
      </c>
    </row>
    <row r="78" spans="2:7" ht="17.25">
      <c r="B78" s="44">
        <v>45951</v>
      </c>
      <c r="C78" s="45" t="s">
        <v>204</v>
      </c>
      <c r="D78" s="45" t="s">
        <v>196</v>
      </c>
      <c r="E78" s="45" t="s">
        <v>205</v>
      </c>
      <c r="F78" s="45">
        <v>10</v>
      </c>
      <c r="G78" s="34">
        <f t="shared" si="0"/>
        <v>441</v>
      </c>
    </row>
    <row r="79" spans="2:7" ht="17.25">
      <c r="B79" s="44">
        <v>45947</v>
      </c>
      <c r="C79" s="45" t="s">
        <v>206</v>
      </c>
      <c r="D79" s="45" t="s">
        <v>199</v>
      </c>
      <c r="E79" s="45" t="s">
        <v>199</v>
      </c>
      <c r="F79" s="45">
        <v>1</v>
      </c>
      <c r="G79" s="34">
        <f t="shared" si="0"/>
        <v>431</v>
      </c>
    </row>
    <row r="80" spans="2:7" ht="17.25">
      <c r="B80" s="44">
        <v>45945</v>
      </c>
      <c r="C80" s="45" t="s">
        <v>206</v>
      </c>
      <c r="D80" s="45" t="s">
        <v>200</v>
      </c>
      <c r="E80" s="45" t="s">
        <v>210</v>
      </c>
      <c r="F80" s="45">
        <v>1</v>
      </c>
      <c r="G80" s="34">
        <f t="shared" si="0"/>
        <v>430</v>
      </c>
    </row>
    <row r="81" spans="2:7" ht="17.25">
      <c r="B81" s="44">
        <v>45943</v>
      </c>
      <c r="C81" s="45" t="s">
        <v>204</v>
      </c>
      <c r="D81" s="45" t="s">
        <v>196</v>
      </c>
      <c r="E81" s="45" t="s">
        <v>205</v>
      </c>
      <c r="F81" s="45">
        <v>5</v>
      </c>
      <c r="G81" s="34">
        <f t="shared" si="0"/>
        <v>429</v>
      </c>
    </row>
    <row r="82" spans="2:7" ht="17.25">
      <c r="B82" s="44">
        <v>45941</v>
      </c>
      <c r="C82" s="45" t="s">
        <v>206</v>
      </c>
      <c r="D82" s="45" t="s">
        <v>198</v>
      </c>
      <c r="E82" s="45" t="s">
        <v>207</v>
      </c>
      <c r="F82" s="45">
        <v>15</v>
      </c>
      <c r="G82" s="34">
        <f t="shared" si="0"/>
        <v>424</v>
      </c>
    </row>
    <row r="83" spans="2:7" ht="17.25">
      <c r="B83" s="44">
        <v>45941</v>
      </c>
      <c r="C83" s="45" t="s">
        <v>204</v>
      </c>
      <c r="D83" s="45" t="s">
        <v>196</v>
      </c>
      <c r="E83" s="45" t="s">
        <v>205</v>
      </c>
      <c r="F83" s="45">
        <v>5</v>
      </c>
      <c r="G83" s="34">
        <f t="shared" si="0"/>
        <v>409</v>
      </c>
    </row>
    <row r="84" spans="2:7" ht="17.25">
      <c r="B84" s="44">
        <v>45937</v>
      </c>
      <c r="C84" s="45" t="s">
        <v>204</v>
      </c>
      <c r="D84" s="45" t="s">
        <v>196</v>
      </c>
      <c r="E84" s="45" t="s">
        <v>205</v>
      </c>
      <c r="F84" s="45">
        <v>35</v>
      </c>
      <c r="G84" s="34">
        <f t="shared" si="0"/>
        <v>404</v>
      </c>
    </row>
    <row r="85" spans="2:7" ht="17.25">
      <c r="B85" s="44">
        <v>45936</v>
      </c>
      <c r="C85" s="45" t="s">
        <v>204</v>
      </c>
      <c r="D85" s="45" t="s">
        <v>196</v>
      </c>
      <c r="E85" s="45" t="s">
        <v>205</v>
      </c>
      <c r="F85" s="45">
        <v>5</v>
      </c>
      <c r="G85" s="34">
        <f t="shared" si="0"/>
        <v>369</v>
      </c>
    </row>
    <row r="86" spans="2:7" ht="17.25">
      <c r="B86" s="44">
        <v>45934</v>
      </c>
      <c r="C86" s="45" t="s">
        <v>204</v>
      </c>
      <c r="D86" s="45" t="s">
        <v>196</v>
      </c>
      <c r="E86" s="45" t="s">
        <v>205</v>
      </c>
      <c r="F86" s="45">
        <v>5</v>
      </c>
      <c r="G86" s="34">
        <f t="shared" si="0"/>
        <v>364</v>
      </c>
    </row>
    <row r="87" spans="2:7" ht="17.25">
      <c r="B87" s="44">
        <v>45930</v>
      </c>
      <c r="C87" s="45" t="s">
        <v>204</v>
      </c>
      <c r="D87" s="45" t="s">
        <v>196</v>
      </c>
      <c r="E87" s="45" t="s">
        <v>205</v>
      </c>
      <c r="F87" s="45">
        <v>45</v>
      </c>
      <c r="G87" s="34">
        <f t="shared" si="0"/>
        <v>359</v>
      </c>
    </row>
    <row r="88" spans="2:7" ht="17.25">
      <c r="B88" s="44">
        <v>45929</v>
      </c>
      <c r="C88" s="45" t="s">
        <v>204</v>
      </c>
      <c r="D88" s="45" t="s">
        <v>196</v>
      </c>
      <c r="E88" s="45" t="s">
        <v>205</v>
      </c>
      <c r="F88" s="45">
        <v>45</v>
      </c>
      <c r="G88" s="34">
        <f t="shared" si="0"/>
        <v>314</v>
      </c>
    </row>
    <row r="89" spans="2:7" ht="17.25">
      <c r="B89" s="44">
        <v>45928</v>
      </c>
      <c r="C89" s="45" t="s">
        <v>204</v>
      </c>
      <c r="D89" s="45" t="s">
        <v>196</v>
      </c>
      <c r="E89" s="45" t="s">
        <v>205</v>
      </c>
      <c r="F89" s="45">
        <v>35</v>
      </c>
      <c r="G89" s="34">
        <f t="shared" si="0"/>
        <v>269</v>
      </c>
    </row>
    <row r="90" spans="2:7" ht="17.25">
      <c r="B90" s="44">
        <v>45919</v>
      </c>
      <c r="C90" s="45" t="s">
        <v>204</v>
      </c>
      <c r="D90" s="45" t="s">
        <v>196</v>
      </c>
      <c r="E90" s="45" t="s">
        <v>205</v>
      </c>
      <c r="F90" s="45">
        <v>5</v>
      </c>
      <c r="G90" s="34">
        <f t="shared" si="0"/>
        <v>234</v>
      </c>
    </row>
    <row r="91" spans="2:7" ht="17.25">
      <c r="B91" s="44">
        <v>45917</v>
      </c>
      <c r="C91" s="45" t="s">
        <v>204</v>
      </c>
      <c r="D91" s="45" t="s">
        <v>196</v>
      </c>
      <c r="E91" s="45" t="s">
        <v>205</v>
      </c>
      <c r="F91" s="45">
        <v>5</v>
      </c>
      <c r="G91" s="34">
        <f t="shared" si="0"/>
        <v>229</v>
      </c>
    </row>
    <row r="92" spans="2:7" ht="17.25">
      <c r="B92" s="44">
        <v>45916</v>
      </c>
      <c r="C92" s="45" t="s">
        <v>206</v>
      </c>
      <c r="D92" s="45" t="s">
        <v>199</v>
      </c>
      <c r="E92" s="45" t="s">
        <v>199</v>
      </c>
      <c r="F92" s="45">
        <v>1</v>
      </c>
      <c r="G92" s="34">
        <f t="shared" si="0"/>
        <v>224</v>
      </c>
    </row>
    <row r="93" spans="2:7" ht="17.25">
      <c r="B93" s="44">
        <v>45915</v>
      </c>
      <c r="C93" s="45" t="s">
        <v>206</v>
      </c>
      <c r="D93" s="45" t="s">
        <v>200</v>
      </c>
      <c r="E93" s="45" t="s">
        <v>210</v>
      </c>
      <c r="F93" s="45">
        <v>1</v>
      </c>
      <c r="G93" s="34">
        <f t="shared" si="0"/>
        <v>223</v>
      </c>
    </row>
    <row r="94" spans="2:7" ht="17.25">
      <c r="B94" s="44">
        <v>45911</v>
      </c>
      <c r="C94" s="45" t="s">
        <v>206</v>
      </c>
      <c r="D94" s="45" t="s">
        <v>198</v>
      </c>
      <c r="E94" s="45" t="s">
        <v>207</v>
      </c>
      <c r="F94" s="45">
        <v>5</v>
      </c>
      <c r="G94" s="34">
        <f t="shared" si="0"/>
        <v>222</v>
      </c>
    </row>
    <row r="95" spans="2:7" ht="17.25">
      <c r="B95" s="44">
        <v>45905</v>
      </c>
      <c r="C95" s="45" t="s">
        <v>204</v>
      </c>
      <c r="D95" s="45" t="s">
        <v>196</v>
      </c>
      <c r="E95" s="45" t="s">
        <v>205</v>
      </c>
      <c r="F95" s="45">
        <v>5</v>
      </c>
      <c r="G95" s="34">
        <f t="shared" si="0"/>
        <v>217</v>
      </c>
    </row>
    <row r="96" spans="2:7" ht="17.25">
      <c r="B96" s="44">
        <v>45903</v>
      </c>
      <c r="C96" s="45" t="s">
        <v>204</v>
      </c>
      <c r="D96" s="45" t="s">
        <v>196</v>
      </c>
      <c r="E96" s="45" t="s">
        <v>205</v>
      </c>
      <c r="F96" s="45">
        <v>5</v>
      </c>
      <c r="G96" s="34">
        <f t="shared" si="0"/>
        <v>212</v>
      </c>
    </row>
    <row r="97" spans="2:7" ht="17.25">
      <c r="B97" s="44">
        <v>45893</v>
      </c>
      <c r="C97" s="45" t="s">
        <v>204</v>
      </c>
      <c r="D97" s="45" t="s">
        <v>196</v>
      </c>
      <c r="E97" s="45" t="s">
        <v>205</v>
      </c>
      <c r="F97" s="45">
        <v>5</v>
      </c>
      <c r="G97" s="34">
        <f t="shared" si="0"/>
        <v>207</v>
      </c>
    </row>
    <row r="98" spans="2:7" ht="17.25">
      <c r="B98" s="44">
        <v>45892</v>
      </c>
      <c r="C98" s="45" t="s">
        <v>204</v>
      </c>
      <c r="D98" s="45" t="s">
        <v>196</v>
      </c>
      <c r="E98" s="45" t="s">
        <v>205</v>
      </c>
      <c r="F98" s="45">
        <v>5</v>
      </c>
      <c r="G98" s="34">
        <f t="shared" si="0"/>
        <v>202</v>
      </c>
    </row>
    <row r="99" spans="2:7" ht="17.25">
      <c r="B99" s="44">
        <v>45888</v>
      </c>
      <c r="C99" s="45" t="s">
        <v>206</v>
      </c>
      <c r="D99" s="45" t="s">
        <v>199</v>
      </c>
      <c r="E99" s="45" t="s">
        <v>199</v>
      </c>
      <c r="F99" s="45">
        <v>1</v>
      </c>
      <c r="G99" s="34">
        <f t="shared" si="0"/>
        <v>197</v>
      </c>
    </row>
    <row r="100" spans="2:7" ht="17.25">
      <c r="B100" s="44">
        <v>45884</v>
      </c>
      <c r="C100" s="45" t="s">
        <v>206</v>
      </c>
      <c r="D100" s="45" t="s">
        <v>200</v>
      </c>
      <c r="E100" s="45" t="s">
        <v>210</v>
      </c>
      <c r="F100" s="45">
        <v>1</v>
      </c>
      <c r="G100" s="34">
        <f t="shared" si="0"/>
        <v>196</v>
      </c>
    </row>
    <row r="101" spans="2:7" ht="17.25">
      <c r="B101" s="44">
        <v>45877</v>
      </c>
      <c r="C101" s="45" t="s">
        <v>204</v>
      </c>
      <c r="D101" s="45" t="s">
        <v>196</v>
      </c>
      <c r="E101" s="45" t="s">
        <v>205</v>
      </c>
      <c r="F101" s="45">
        <v>10</v>
      </c>
      <c r="G101" s="34">
        <f t="shared" si="0"/>
        <v>195</v>
      </c>
    </row>
    <row r="102" spans="2:7" ht="16.5">
      <c r="B102" s="46">
        <v>45874</v>
      </c>
      <c r="C102" s="33" t="s">
        <v>204</v>
      </c>
      <c r="D102" s="33" t="s">
        <v>196</v>
      </c>
      <c r="E102" s="33" t="s">
        <v>205</v>
      </c>
      <c r="F102" s="33">
        <v>5</v>
      </c>
      <c r="G102" s="34">
        <f t="shared" si="0"/>
        <v>185</v>
      </c>
    </row>
    <row r="103" spans="2:7" ht="16.5">
      <c r="B103" s="46">
        <v>45873</v>
      </c>
      <c r="C103" s="33" t="s">
        <v>204</v>
      </c>
      <c r="D103" s="33" t="s">
        <v>196</v>
      </c>
      <c r="E103" s="33" t="s">
        <v>205</v>
      </c>
      <c r="F103" s="33">
        <v>5</v>
      </c>
      <c r="G103" s="34">
        <f t="shared" si="0"/>
        <v>180</v>
      </c>
    </row>
    <row r="104" spans="2:7" ht="16.5">
      <c r="B104" s="46">
        <v>45867</v>
      </c>
      <c r="C104" s="33" t="s">
        <v>204</v>
      </c>
      <c r="D104" s="33" t="s">
        <v>196</v>
      </c>
      <c r="E104" s="33" t="s">
        <v>205</v>
      </c>
      <c r="F104" s="33">
        <v>5</v>
      </c>
      <c r="G104" s="34">
        <f t="shared" si="0"/>
        <v>175</v>
      </c>
    </row>
    <row r="105" spans="2:7" ht="16.5">
      <c r="B105" s="46">
        <v>45862</v>
      </c>
      <c r="C105" s="33" t="s">
        <v>204</v>
      </c>
      <c r="D105" s="33" t="s">
        <v>196</v>
      </c>
      <c r="E105" s="33" t="s">
        <v>205</v>
      </c>
      <c r="F105" s="33">
        <v>5</v>
      </c>
      <c r="G105" s="34">
        <f t="shared" si="0"/>
        <v>170</v>
      </c>
    </row>
    <row r="106" spans="2:7" ht="16.5">
      <c r="B106" s="46">
        <v>45838</v>
      </c>
      <c r="C106" s="33" t="s">
        <v>204</v>
      </c>
      <c r="D106" s="33" t="s">
        <v>196</v>
      </c>
      <c r="E106" s="33" t="s">
        <v>205</v>
      </c>
      <c r="F106" s="33">
        <v>5</v>
      </c>
      <c r="G106" s="34">
        <f t="shared" si="0"/>
        <v>165</v>
      </c>
    </row>
    <row r="107" spans="2:7" ht="16.5">
      <c r="B107" s="46">
        <v>45836</v>
      </c>
      <c r="C107" s="33" t="s">
        <v>204</v>
      </c>
      <c r="D107" s="33" t="s">
        <v>196</v>
      </c>
      <c r="E107" s="33" t="s">
        <v>205</v>
      </c>
      <c r="F107" s="33">
        <v>5</v>
      </c>
      <c r="G107" s="34">
        <f t="shared" si="0"/>
        <v>160</v>
      </c>
    </row>
    <row r="108" spans="2:7" ht="16.5">
      <c r="B108" s="46">
        <v>45789</v>
      </c>
      <c r="C108" s="33" t="s">
        <v>204</v>
      </c>
      <c r="D108" s="33" t="s">
        <v>196</v>
      </c>
      <c r="E108" s="33" t="s">
        <v>205</v>
      </c>
      <c r="F108" s="33">
        <v>5</v>
      </c>
      <c r="G108" s="34">
        <f t="shared" si="0"/>
        <v>155</v>
      </c>
    </row>
    <row r="109" spans="2:7" ht="16.5">
      <c r="B109" s="46">
        <v>45786</v>
      </c>
      <c r="C109" s="33" t="s">
        <v>204</v>
      </c>
      <c r="D109" s="33" t="s">
        <v>196</v>
      </c>
      <c r="E109" s="33" t="s">
        <v>205</v>
      </c>
      <c r="F109" s="33">
        <v>5</v>
      </c>
      <c r="G109" s="34">
        <f t="shared" si="0"/>
        <v>150</v>
      </c>
    </row>
    <row r="110" spans="2:7" ht="16.5">
      <c r="B110" s="46">
        <v>45729</v>
      </c>
      <c r="C110" s="33" t="s">
        <v>204</v>
      </c>
      <c r="D110" s="33" t="s">
        <v>196</v>
      </c>
      <c r="E110" s="33" t="s">
        <v>205</v>
      </c>
      <c r="F110" s="33">
        <v>10</v>
      </c>
      <c r="G110" s="34">
        <f t="shared" si="0"/>
        <v>145</v>
      </c>
    </row>
    <row r="111" spans="2:7" ht="16.5">
      <c r="B111" s="46">
        <v>45684</v>
      </c>
      <c r="C111" s="33" t="s">
        <v>204</v>
      </c>
      <c r="D111" s="33" t="s">
        <v>196</v>
      </c>
      <c r="E111" s="33" t="s">
        <v>205</v>
      </c>
      <c r="F111" s="33">
        <v>5</v>
      </c>
      <c r="G111" s="34">
        <f t="shared" si="0"/>
        <v>135</v>
      </c>
    </row>
    <row r="112" spans="2:7" ht="16.5">
      <c r="B112" s="46">
        <v>45682</v>
      </c>
      <c r="C112" s="33" t="s">
        <v>204</v>
      </c>
      <c r="D112" s="33" t="s">
        <v>196</v>
      </c>
      <c r="E112" s="33" t="s">
        <v>205</v>
      </c>
      <c r="F112" s="33">
        <v>5</v>
      </c>
      <c r="G112" s="34">
        <f>G113+F112</f>
        <v>130</v>
      </c>
    </row>
    <row r="113" spans="2:7" ht="16.5">
      <c r="B113" s="46">
        <v>45652</v>
      </c>
      <c r="C113" s="33" t="s">
        <v>204</v>
      </c>
      <c r="D113" s="33" t="s">
        <v>196</v>
      </c>
      <c r="E113" s="33" t="s">
        <v>205</v>
      </c>
      <c r="F113" s="33">
        <v>5</v>
      </c>
      <c r="G113" s="34">
        <f t="shared" si="0"/>
        <v>125</v>
      </c>
    </row>
    <row r="114" spans="2:7" ht="16.5">
      <c r="B114" s="46">
        <v>45649</v>
      </c>
      <c r="C114" s="33" t="s">
        <v>204</v>
      </c>
      <c r="D114" s="33" t="s">
        <v>196</v>
      </c>
      <c r="E114" s="33" t="s">
        <v>205</v>
      </c>
      <c r="F114" s="33">
        <v>5</v>
      </c>
      <c r="G114" s="34">
        <f t="shared" si="0"/>
        <v>120</v>
      </c>
    </row>
    <row r="115" spans="2:7" ht="16.5">
      <c r="B115" s="46">
        <v>45648</v>
      </c>
      <c r="C115" s="33" t="s">
        <v>204</v>
      </c>
      <c r="D115" s="33" t="s">
        <v>196</v>
      </c>
      <c r="E115" s="33" t="s">
        <v>205</v>
      </c>
      <c r="F115" s="33">
        <v>5</v>
      </c>
      <c r="G115" s="34">
        <f t="shared" si="0"/>
        <v>115</v>
      </c>
    </row>
    <row r="116" spans="2:7" ht="16.5">
      <c r="B116" s="46">
        <v>45614</v>
      </c>
      <c r="C116" s="33" t="s">
        <v>204</v>
      </c>
      <c r="D116" s="33" t="s">
        <v>196</v>
      </c>
      <c r="E116" s="33" t="s">
        <v>205</v>
      </c>
      <c r="F116" s="33">
        <v>5</v>
      </c>
      <c r="G116" s="34">
        <f t="shared" si="0"/>
        <v>110</v>
      </c>
    </row>
    <row r="117" spans="2:7" ht="16.5">
      <c r="B117" s="46">
        <v>45613</v>
      </c>
      <c r="C117" s="33" t="s">
        <v>204</v>
      </c>
      <c r="D117" s="33" t="s">
        <v>196</v>
      </c>
      <c r="E117" s="33" t="s">
        <v>205</v>
      </c>
      <c r="F117" s="33">
        <v>5</v>
      </c>
      <c r="G117" s="34">
        <f t="shared" si="0"/>
        <v>105</v>
      </c>
    </row>
    <row r="118" spans="2:7" ht="16.5">
      <c r="B118" s="46">
        <v>45592</v>
      </c>
      <c r="C118" s="33" t="s">
        <v>204</v>
      </c>
      <c r="D118" s="33" t="s">
        <v>196</v>
      </c>
      <c r="E118" s="33" t="s">
        <v>205</v>
      </c>
      <c r="F118" s="33">
        <v>5</v>
      </c>
      <c r="G118" s="34">
        <f t="shared" si="0"/>
        <v>100</v>
      </c>
    </row>
    <row r="119" spans="2:7" ht="16.5">
      <c r="B119" s="46">
        <v>45591</v>
      </c>
      <c r="C119" s="33" t="s">
        <v>204</v>
      </c>
      <c r="D119" s="33" t="s">
        <v>196</v>
      </c>
      <c r="E119" s="33" t="s">
        <v>205</v>
      </c>
      <c r="F119" s="33">
        <v>5</v>
      </c>
      <c r="G119" s="34">
        <f t="shared" si="0"/>
        <v>95</v>
      </c>
    </row>
    <row r="120" spans="2:7" ht="16.5">
      <c r="B120" s="46">
        <v>45514</v>
      </c>
      <c r="C120" s="33" t="s">
        <v>204</v>
      </c>
      <c r="D120" s="33" t="s">
        <v>196</v>
      </c>
      <c r="E120" s="33" t="s">
        <v>205</v>
      </c>
      <c r="F120" s="33">
        <v>5</v>
      </c>
      <c r="G120" s="34">
        <f t="shared" si="0"/>
        <v>90</v>
      </c>
    </row>
    <row r="121" spans="2:7" ht="16.5">
      <c r="B121" s="46">
        <v>45513</v>
      </c>
      <c r="C121" s="33" t="s">
        <v>204</v>
      </c>
      <c r="D121" s="33" t="s">
        <v>196</v>
      </c>
      <c r="E121" s="33" t="s">
        <v>205</v>
      </c>
      <c r="F121" s="33">
        <v>5</v>
      </c>
      <c r="G121" s="34">
        <f t="shared" si="0"/>
        <v>85</v>
      </c>
    </row>
    <row r="122" spans="2:7" ht="16.5">
      <c r="B122" s="46">
        <v>45335</v>
      </c>
      <c r="C122" s="33" t="s">
        <v>204</v>
      </c>
      <c r="D122" s="33" t="s">
        <v>213</v>
      </c>
      <c r="E122" s="33" t="s">
        <v>214</v>
      </c>
      <c r="F122" s="33">
        <v>20</v>
      </c>
      <c r="G122" s="34">
        <f t="shared" si="0"/>
        <v>80</v>
      </c>
    </row>
    <row r="123" spans="2:7" ht="16.5">
      <c r="B123" s="46">
        <v>45334</v>
      </c>
      <c r="C123" s="33" t="s">
        <v>204</v>
      </c>
      <c r="D123" s="33" t="s">
        <v>213</v>
      </c>
      <c r="E123" s="33" t="s">
        <v>214</v>
      </c>
      <c r="F123" s="33">
        <v>20</v>
      </c>
      <c r="G123" s="34">
        <f t="shared" si="0"/>
        <v>60</v>
      </c>
    </row>
    <row r="124" spans="2:7" ht="16.5">
      <c r="B124" s="46">
        <v>45291</v>
      </c>
      <c r="C124" s="33" t="s">
        <v>204</v>
      </c>
      <c r="D124" s="33" t="s">
        <v>213</v>
      </c>
      <c r="E124" s="33" t="s">
        <v>214</v>
      </c>
      <c r="F124" s="33">
        <v>30</v>
      </c>
      <c r="G124" s="34">
        <f>G125+F124</f>
        <v>40</v>
      </c>
    </row>
    <row r="125" spans="2:7" ht="16.5">
      <c r="B125" s="67">
        <v>45291</v>
      </c>
      <c r="C125" s="68" t="s">
        <v>204</v>
      </c>
      <c r="D125" s="68" t="s">
        <v>196</v>
      </c>
      <c r="E125" s="68" t="s">
        <v>205</v>
      </c>
      <c r="F125" s="68">
        <v>10</v>
      </c>
      <c r="G125" s="69">
        <f>F125</f>
        <v>10</v>
      </c>
    </row>
    <row r="126" spans="2:7" ht="15.75">
      <c r="B126" s="35"/>
      <c r="C126" s="32"/>
      <c r="D126" s="32"/>
      <c r="E126" s="32"/>
      <c r="F126" s="45"/>
      <c r="G126" s="34"/>
    </row>
    <row r="127" spans="2:7" ht="15.75">
      <c r="B127" s="35"/>
      <c r="C127" s="32"/>
      <c r="D127" s="32"/>
      <c r="E127" s="32"/>
      <c r="F127" s="32"/>
      <c r="G127" s="34"/>
    </row>
    <row r="128" spans="2:7">
      <c r="B128" s="34"/>
      <c r="C128" s="34"/>
      <c r="D128" s="34"/>
      <c r="E128" s="34"/>
      <c r="F128" s="34"/>
      <c r="G128" s="34"/>
    </row>
    <row r="129" spans="2:7">
      <c r="B129" s="34"/>
      <c r="C129" s="34"/>
      <c r="D129" s="34"/>
      <c r="E129" s="34"/>
      <c r="F129" s="34"/>
      <c r="G129" s="34"/>
    </row>
    <row r="130" spans="2:7">
      <c r="B130" s="34"/>
      <c r="C130" s="34"/>
      <c r="D130" s="34"/>
      <c r="E130" s="34"/>
      <c r="F130" s="34"/>
      <c r="G130" s="34"/>
    </row>
    <row r="131" spans="2:7">
      <c r="B131" s="34"/>
      <c r="C131" s="34"/>
      <c r="D131" s="34"/>
      <c r="E131" s="34"/>
      <c r="F131" s="34"/>
      <c r="G131" s="34"/>
    </row>
    <row r="132" spans="2:7">
      <c r="B132" s="34"/>
      <c r="C132" s="34"/>
      <c r="D132" s="34"/>
      <c r="E132" s="34"/>
      <c r="F132" s="34"/>
      <c r="G132" s="34"/>
    </row>
    <row r="133" spans="2:7">
      <c r="B133" s="34"/>
      <c r="C133" s="34"/>
      <c r="D133" s="34"/>
      <c r="E133" s="34"/>
      <c r="F133" s="34"/>
      <c r="G133" s="34"/>
    </row>
    <row r="134" spans="2:7">
      <c r="B134" s="34"/>
      <c r="C134" s="34"/>
      <c r="D134" s="34"/>
      <c r="E134" s="34"/>
      <c r="F134" s="34"/>
      <c r="G134" s="34"/>
    </row>
    <row r="135" spans="2:7">
      <c r="B135" s="34"/>
      <c r="C135" s="34"/>
      <c r="D135" s="34"/>
      <c r="E135" s="34"/>
      <c r="F135" s="34"/>
      <c r="G135" s="34"/>
    </row>
    <row r="136" spans="2:7">
      <c r="B136" s="34"/>
      <c r="C136" s="34"/>
      <c r="D136" s="34"/>
      <c r="E136" s="34"/>
      <c r="F136" s="34"/>
      <c r="G136" s="34"/>
    </row>
    <row r="137" spans="2:7">
      <c r="B137" s="34"/>
      <c r="C137" s="34"/>
      <c r="D137" s="34"/>
      <c r="E137" s="34"/>
      <c r="F137" s="34"/>
      <c r="G137" s="34"/>
    </row>
    <row r="138" spans="2:7">
      <c r="B138" s="34"/>
      <c r="C138" s="34"/>
      <c r="D138" s="34"/>
      <c r="E138" s="34"/>
      <c r="F138" s="34"/>
      <c r="G138" s="34"/>
    </row>
    <row r="139" spans="2:7">
      <c r="B139" s="34"/>
      <c r="C139" s="34"/>
      <c r="D139" s="34"/>
      <c r="E139" s="34"/>
      <c r="F139" s="34"/>
      <c r="G139" s="34"/>
    </row>
    <row r="140" spans="2:7">
      <c r="B140" s="34"/>
      <c r="C140" s="34"/>
      <c r="D140" s="34"/>
      <c r="E140" s="34"/>
      <c r="F140" s="34"/>
      <c r="G140" s="34"/>
    </row>
    <row r="141" spans="2:7">
      <c r="B141" s="34"/>
      <c r="C141" s="34"/>
      <c r="D141" s="34"/>
      <c r="E141" s="34"/>
      <c r="F141" s="34"/>
      <c r="G141" s="34"/>
    </row>
    <row r="142" spans="2:7">
      <c r="B142" s="34"/>
      <c r="C142" s="34"/>
      <c r="D142" s="34"/>
      <c r="E142" s="34"/>
      <c r="F142" s="34"/>
      <c r="G142" s="34"/>
    </row>
    <row r="143" spans="2:7">
      <c r="B143" s="34"/>
      <c r="C143" s="34"/>
      <c r="D143" s="34"/>
      <c r="E143" s="34"/>
      <c r="F143" s="34"/>
      <c r="G143" s="34"/>
    </row>
    <row r="144" spans="2:7">
      <c r="B144" s="34"/>
      <c r="C144" s="34"/>
      <c r="D144" s="34"/>
      <c r="E144" s="34"/>
      <c r="F144" s="34"/>
      <c r="G144" s="34"/>
    </row>
    <row r="145" spans="2:7">
      <c r="B145" s="34"/>
      <c r="C145" s="34"/>
      <c r="D145" s="34"/>
      <c r="E145" s="34"/>
      <c r="F145" s="34"/>
      <c r="G145" s="34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workbookViewId="0">
      <selection activeCell="L156" sqref="L15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215</v>
      </c>
      <c r="B1" s="17" t="s">
        <v>0</v>
      </c>
      <c r="C1" s="17" t="s">
        <v>216</v>
      </c>
      <c r="D1" s="17" t="s">
        <v>217</v>
      </c>
      <c r="E1" s="17" t="s">
        <v>218</v>
      </c>
      <c r="F1" s="17" t="s">
        <v>219</v>
      </c>
      <c r="G1" s="17" t="s">
        <v>220</v>
      </c>
      <c r="H1" s="17" t="s">
        <v>221</v>
      </c>
      <c r="I1" s="18" t="s">
        <v>222</v>
      </c>
      <c r="J1" s="18" t="s">
        <v>223</v>
      </c>
      <c r="K1" s="18" t="s">
        <v>224</v>
      </c>
      <c r="L1" s="18" t="s">
        <v>225</v>
      </c>
      <c r="M1" s="17" t="s">
        <v>226</v>
      </c>
    </row>
    <row r="2" spans="1:13" hidden="1">
      <c r="A2" s="14">
        <v>1</v>
      </c>
      <c r="B2" s="43">
        <v>45926</v>
      </c>
      <c r="C2" s="12" t="s">
        <v>227</v>
      </c>
      <c r="D2" s="12">
        <v>305</v>
      </c>
      <c r="E2" s="12" t="s">
        <v>228</v>
      </c>
      <c r="F2" s="13">
        <v>0.30208333333333331</v>
      </c>
      <c r="G2" s="12" t="s">
        <v>229</v>
      </c>
      <c r="H2" s="13">
        <v>0.375</v>
      </c>
      <c r="I2" s="15" t="s">
        <v>230</v>
      </c>
      <c r="J2" s="15"/>
      <c r="K2" s="22">
        <v>13320</v>
      </c>
      <c r="L2" s="15" t="s">
        <v>231</v>
      </c>
      <c r="M2" s="63"/>
    </row>
    <row r="3" spans="1:13" hidden="1">
      <c r="A3" s="14">
        <v>2</v>
      </c>
      <c r="B3" s="42">
        <v>45926</v>
      </c>
      <c r="C3" s="12" t="s">
        <v>232</v>
      </c>
      <c r="D3" s="12">
        <v>3563</v>
      </c>
      <c r="E3" s="12" t="s">
        <v>229</v>
      </c>
      <c r="F3" s="13">
        <v>0.41319444444444442</v>
      </c>
      <c r="G3" s="12" t="s">
        <v>233</v>
      </c>
      <c r="H3" s="13">
        <v>0.4548611111111111</v>
      </c>
      <c r="I3" s="15" t="s">
        <v>234</v>
      </c>
      <c r="J3" s="15"/>
      <c r="K3" s="22">
        <v>12963</v>
      </c>
      <c r="L3" s="15" t="s">
        <v>231</v>
      </c>
      <c r="M3" s="15"/>
    </row>
    <row r="4" spans="1:13" hidden="1">
      <c r="A4" s="14">
        <v>3</v>
      </c>
      <c r="B4" s="42">
        <v>45926</v>
      </c>
      <c r="C4" s="12" t="s">
        <v>232</v>
      </c>
      <c r="D4" s="12">
        <v>3564</v>
      </c>
      <c r="E4" s="12" t="s">
        <v>233</v>
      </c>
      <c r="F4" s="13">
        <v>0.47916666666666669</v>
      </c>
      <c r="G4" s="12" t="s">
        <v>229</v>
      </c>
      <c r="H4" s="13">
        <v>0.52430555555555558</v>
      </c>
      <c r="I4" s="15" t="s">
        <v>235</v>
      </c>
      <c r="J4" s="15"/>
      <c r="K4" s="22">
        <v>12963</v>
      </c>
      <c r="L4" s="15" t="s">
        <v>231</v>
      </c>
      <c r="M4" s="15"/>
    </row>
    <row r="5" spans="1:13" hidden="1">
      <c r="A5" s="14">
        <v>4</v>
      </c>
      <c r="B5" s="42">
        <v>45926</v>
      </c>
      <c r="C5" s="12" t="s">
        <v>232</v>
      </c>
      <c r="D5" s="12">
        <v>3629</v>
      </c>
      <c r="E5" s="12" t="s">
        <v>229</v>
      </c>
      <c r="F5" s="13">
        <v>0.54861111111111116</v>
      </c>
      <c r="G5" s="12" t="s">
        <v>236</v>
      </c>
      <c r="H5" s="13">
        <v>0.57986111111111116</v>
      </c>
      <c r="I5" s="15" t="s">
        <v>235</v>
      </c>
      <c r="J5" s="15"/>
      <c r="K5" s="22">
        <v>6171</v>
      </c>
      <c r="L5" s="15" t="s">
        <v>231</v>
      </c>
      <c r="M5" s="15"/>
    </row>
    <row r="6" spans="1:13" hidden="1">
      <c r="A6" s="14">
        <v>5</v>
      </c>
      <c r="B6" s="42">
        <v>45926</v>
      </c>
      <c r="C6" s="12" t="s">
        <v>232</v>
      </c>
      <c r="D6" s="12">
        <v>3630</v>
      </c>
      <c r="E6" s="12" t="s">
        <v>236</v>
      </c>
      <c r="F6" s="13">
        <v>0.60069444444444442</v>
      </c>
      <c r="G6" s="12" t="s">
        <v>229</v>
      </c>
      <c r="H6" s="13">
        <v>0.63541666666666663</v>
      </c>
      <c r="I6" s="15" t="s">
        <v>237</v>
      </c>
      <c r="J6" s="15"/>
      <c r="K6" s="22">
        <v>9410</v>
      </c>
      <c r="L6" s="15" t="s">
        <v>231</v>
      </c>
      <c r="M6" s="15"/>
    </row>
    <row r="7" spans="1:13" hidden="1">
      <c r="A7" s="14">
        <v>6</v>
      </c>
      <c r="B7" s="42">
        <v>45926</v>
      </c>
      <c r="C7" s="12" t="s">
        <v>238</v>
      </c>
      <c r="D7" s="23">
        <v>61</v>
      </c>
      <c r="E7" s="12" t="s">
        <v>229</v>
      </c>
      <c r="F7" s="13">
        <v>0.66319444444444442</v>
      </c>
      <c r="G7" s="12" t="s">
        <v>239</v>
      </c>
      <c r="H7" s="13">
        <v>0.73263888888888884</v>
      </c>
      <c r="I7" s="15" t="s">
        <v>240</v>
      </c>
      <c r="J7" s="15"/>
      <c r="K7" s="22">
        <v>10591</v>
      </c>
      <c r="L7" s="15" t="s">
        <v>231</v>
      </c>
      <c r="M7" s="15"/>
    </row>
    <row r="8" spans="1:13" hidden="1">
      <c r="A8" s="14">
        <v>7</v>
      </c>
      <c r="B8" s="42">
        <v>45926</v>
      </c>
      <c r="C8" s="12" t="s">
        <v>238</v>
      </c>
      <c r="D8" s="23">
        <v>60</v>
      </c>
      <c r="E8" s="12" t="s">
        <v>239</v>
      </c>
      <c r="F8" s="13">
        <v>0.76736111111111116</v>
      </c>
      <c r="G8" s="12" t="s">
        <v>229</v>
      </c>
      <c r="H8" s="13">
        <v>0.84027777777777779</v>
      </c>
      <c r="I8" s="15" t="s">
        <v>241</v>
      </c>
      <c r="J8" s="15"/>
      <c r="K8" s="22">
        <v>16965</v>
      </c>
      <c r="L8" s="15" t="s">
        <v>231</v>
      </c>
      <c r="M8" s="15"/>
    </row>
    <row r="9" spans="1:13" hidden="1">
      <c r="A9" s="14">
        <v>8</v>
      </c>
      <c r="B9" s="42">
        <v>45927</v>
      </c>
      <c r="C9" s="12" t="s">
        <v>238</v>
      </c>
      <c r="D9" s="12">
        <v>51</v>
      </c>
      <c r="E9" s="12" t="s">
        <v>229</v>
      </c>
      <c r="F9" s="13">
        <v>0.30208333333333331</v>
      </c>
      <c r="G9" s="12" t="s">
        <v>239</v>
      </c>
      <c r="H9" s="13">
        <v>0.36805555555555558</v>
      </c>
      <c r="I9" s="15" t="s">
        <v>230</v>
      </c>
      <c r="J9" s="15"/>
      <c r="K9" s="22">
        <v>16965</v>
      </c>
      <c r="L9" s="15" t="s">
        <v>231</v>
      </c>
      <c r="M9" s="15"/>
    </row>
    <row r="10" spans="1:13" hidden="1">
      <c r="A10" s="14">
        <v>9</v>
      </c>
      <c r="B10" s="42">
        <v>45927</v>
      </c>
      <c r="C10" s="12" t="s">
        <v>238</v>
      </c>
      <c r="D10" s="12">
        <v>605</v>
      </c>
      <c r="E10" s="12" t="s">
        <v>239</v>
      </c>
      <c r="F10" s="13">
        <v>0.39930555555555558</v>
      </c>
      <c r="G10" s="12" t="s">
        <v>242</v>
      </c>
      <c r="H10" s="13">
        <v>0.44097222222222221</v>
      </c>
      <c r="I10" s="15" t="s">
        <v>240</v>
      </c>
      <c r="J10" s="15"/>
      <c r="K10" s="22">
        <v>6180</v>
      </c>
      <c r="L10" s="15" t="s">
        <v>231</v>
      </c>
      <c r="M10" s="15"/>
    </row>
    <row r="11" spans="1:13" hidden="1">
      <c r="A11" s="14">
        <v>10</v>
      </c>
      <c r="B11" s="42">
        <v>45927</v>
      </c>
      <c r="C11" s="12" t="s">
        <v>243</v>
      </c>
      <c r="D11" s="12">
        <v>743</v>
      </c>
      <c r="E11" s="12" t="s">
        <v>242</v>
      </c>
      <c r="F11" s="13">
        <v>0.52430555555555558</v>
      </c>
      <c r="G11" s="12" t="s">
        <v>244</v>
      </c>
      <c r="H11" s="13">
        <v>0.54513888888888884</v>
      </c>
      <c r="I11" s="15" t="s">
        <v>245</v>
      </c>
      <c r="J11" s="15"/>
      <c r="K11" s="22">
        <v>6583</v>
      </c>
      <c r="L11" s="15" t="s">
        <v>231</v>
      </c>
      <c r="M11" s="15"/>
    </row>
    <row r="12" spans="1:13" hidden="1">
      <c r="A12" s="14">
        <v>11</v>
      </c>
      <c r="B12" s="42">
        <v>45927</v>
      </c>
      <c r="C12" s="12" t="s">
        <v>243</v>
      </c>
      <c r="D12" s="12">
        <v>744</v>
      </c>
      <c r="E12" s="12" t="s">
        <v>244</v>
      </c>
      <c r="F12" s="13">
        <v>0.56597222222222221</v>
      </c>
      <c r="G12" s="12" t="s">
        <v>242</v>
      </c>
      <c r="H12" s="13">
        <v>0.58680555555555558</v>
      </c>
      <c r="I12" s="15" t="s">
        <v>237</v>
      </c>
      <c r="J12" s="15"/>
      <c r="K12" s="22">
        <v>6583</v>
      </c>
      <c r="L12" s="15" t="s">
        <v>231</v>
      </c>
      <c r="M12" s="15"/>
    </row>
    <row r="13" spans="1:13" hidden="1">
      <c r="A13" s="14">
        <v>12</v>
      </c>
      <c r="B13" s="42">
        <v>45927</v>
      </c>
      <c r="C13" s="12" t="s">
        <v>243</v>
      </c>
      <c r="D13" s="12">
        <v>834</v>
      </c>
      <c r="E13" s="12" t="s">
        <v>242</v>
      </c>
      <c r="F13" s="13">
        <v>0.61111111111111116</v>
      </c>
      <c r="G13" s="12" t="s">
        <v>246</v>
      </c>
      <c r="H13" s="13">
        <v>0.63194444444444442</v>
      </c>
      <c r="I13" s="15" t="s">
        <v>235</v>
      </c>
      <c r="J13" s="15"/>
      <c r="K13" s="22">
        <v>9020</v>
      </c>
      <c r="L13" s="15" t="s">
        <v>231</v>
      </c>
      <c r="M13" s="15"/>
    </row>
    <row r="14" spans="1:13" hidden="1">
      <c r="A14" s="14">
        <v>13</v>
      </c>
      <c r="B14" s="42">
        <v>45927</v>
      </c>
      <c r="C14" s="12" t="s">
        <v>243</v>
      </c>
      <c r="D14" s="12">
        <v>897</v>
      </c>
      <c r="E14" s="12" t="s">
        <v>246</v>
      </c>
      <c r="F14" s="13">
        <v>0.65277777777777779</v>
      </c>
      <c r="G14" s="12" t="s">
        <v>247</v>
      </c>
      <c r="H14" s="13">
        <v>0.67013888888888884</v>
      </c>
      <c r="I14" s="15" t="s">
        <v>237</v>
      </c>
      <c r="J14" s="15"/>
      <c r="K14" s="22">
        <v>5434</v>
      </c>
      <c r="L14" s="15" t="s">
        <v>231</v>
      </c>
      <c r="M14" s="15"/>
    </row>
    <row r="15" spans="1:13" hidden="1">
      <c r="A15" s="14">
        <v>14</v>
      </c>
      <c r="B15" s="42">
        <v>45927</v>
      </c>
      <c r="C15" s="12" t="s">
        <v>243</v>
      </c>
      <c r="D15" s="12">
        <v>898</v>
      </c>
      <c r="E15" s="12" t="s">
        <v>247</v>
      </c>
      <c r="F15" s="13">
        <v>0.69444444444444442</v>
      </c>
      <c r="G15" s="12" t="s">
        <v>246</v>
      </c>
      <c r="H15" s="13">
        <v>0.71180555555555558</v>
      </c>
      <c r="I15" s="15" t="s">
        <v>235</v>
      </c>
      <c r="J15" s="15"/>
      <c r="K15" s="22">
        <v>5434</v>
      </c>
      <c r="L15" s="15" t="s">
        <v>231</v>
      </c>
      <c r="M15" s="15"/>
    </row>
    <row r="16" spans="1:13" hidden="1">
      <c r="A16" s="14">
        <v>15</v>
      </c>
      <c r="B16" s="42">
        <v>45927</v>
      </c>
      <c r="C16" s="12" t="s">
        <v>238</v>
      </c>
      <c r="D16" s="12">
        <v>566</v>
      </c>
      <c r="E16" s="12" t="s">
        <v>246</v>
      </c>
      <c r="F16" s="13">
        <v>0.74652777777777779</v>
      </c>
      <c r="G16" s="12" t="s">
        <v>239</v>
      </c>
      <c r="H16" s="13">
        <v>0.78472222222222221</v>
      </c>
      <c r="I16" s="15" t="s">
        <v>235</v>
      </c>
      <c r="J16" s="15"/>
      <c r="K16" s="22">
        <v>6290</v>
      </c>
      <c r="L16" s="15" t="s">
        <v>231</v>
      </c>
      <c r="M16" s="15"/>
    </row>
    <row r="17" spans="1:13" hidden="1">
      <c r="A17" s="14">
        <v>16</v>
      </c>
      <c r="B17" s="42">
        <v>45927</v>
      </c>
      <c r="C17" s="12" t="s">
        <v>238</v>
      </c>
      <c r="D17" s="12">
        <v>62</v>
      </c>
      <c r="E17" s="12" t="s">
        <v>239</v>
      </c>
      <c r="F17" s="13">
        <v>0.81597222222222221</v>
      </c>
      <c r="G17" s="12" t="s">
        <v>229</v>
      </c>
      <c r="H17" s="13">
        <v>0.89236111111111116</v>
      </c>
      <c r="I17" s="15" t="s">
        <v>248</v>
      </c>
      <c r="J17" s="15"/>
      <c r="K17" s="22">
        <v>10591</v>
      </c>
      <c r="L17" s="15" t="s">
        <v>231</v>
      </c>
      <c r="M17" s="15"/>
    </row>
    <row r="18" spans="1:13" hidden="1">
      <c r="A18" s="14">
        <v>17</v>
      </c>
      <c r="B18" s="43">
        <v>45928</v>
      </c>
      <c r="C18" s="12" t="s">
        <v>232</v>
      </c>
      <c r="D18" s="12">
        <v>3681</v>
      </c>
      <c r="E18" s="12" t="s">
        <v>229</v>
      </c>
      <c r="F18" s="13">
        <v>0.2951388888888889</v>
      </c>
      <c r="G18" s="12" t="s">
        <v>249</v>
      </c>
      <c r="H18" s="13">
        <v>0.34375</v>
      </c>
      <c r="I18" s="15" t="s">
        <v>230</v>
      </c>
      <c r="J18" s="15"/>
      <c r="K18" s="22">
        <v>13860</v>
      </c>
      <c r="L18" s="15" t="s">
        <v>231</v>
      </c>
      <c r="M18" s="15"/>
    </row>
    <row r="19" spans="1:13" hidden="1">
      <c r="A19" s="14">
        <v>18</v>
      </c>
      <c r="B19" s="42">
        <v>45928</v>
      </c>
      <c r="C19" s="12" t="s">
        <v>250</v>
      </c>
      <c r="D19" s="12">
        <v>3831</v>
      </c>
      <c r="E19" s="12" t="s">
        <v>249</v>
      </c>
      <c r="F19" s="13">
        <v>0.3923611111111111</v>
      </c>
      <c r="G19" s="12" t="s">
        <v>251</v>
      </c>
      <c r="H19" s="13">
        <v>0.40625</v>
      </c>
      <c r="I19" s="15" t="s">
        <v>252</v>
      </c>
      <c r="J19" s="15"/>
      <c r="K19" s="22">
        <v>5989</v>
      </c>
      <c r="L19" s="15" t="s">
        <v>231</v>
      </c>
      <c r="M19" s="15"/>
    </row>
    <row r="20" spans="1:13" hidden="1">
      <c r="A20" s="14">
        <v>19</v>
      </c>
      <c r="B20" s="42">
        <v>45928</v>
      </c>
      <c r="C20" s="12" t="s">
        <v>250</v>
      </c>
      <c r="D20" s="12">
        <v>3830</v>
      </c>
      <c r="E20" s="12" t="s">
        <v>251</v>
      </c>
      <c r="F20" s="13">
        <v>0.42708333333333331</v>
      </c>
      <c r="G20" s="12" t="s">
        <v>249</v>
      </c>
      <c r="H20" s="13">
        <v>0.44097222222222221</v>
      </c>
      <c r="I20" s="15" t="s">
        <v>237</v>
      </c>
      <c r="J20" s="15"/>
      <c r="K20" s="22">
        <v>5989</v>
      </c>
      <c r="L20" s="15" t="s">
        <v>231</v>
      </c>
      <c r="M20" s="15"/>
    </row>
    <row r="21" spans="1:13" hidden="1">
      <c r="A21" s="14">
        <v>20</v>
      </c>
      <c r="B21" s="42">
        <v>45928</v>
      </c>
      <c r="C21" s="12" t="s">
        <v>250</v>
      </c>
      <c r="D21" s="12">
        <v>3841</v>
      </c>
      <c r="E21" s="12" t="s">
        <v>249</v>
      </c>
      <c r="F21" s="13">
        <v>0.4548611111111111</v>
      </c>
      <c r="G21" s="12" t="s">
        <v>253</v>
      </c>
      <c r="H21" s="13">
        <v>0.47916666666666669</v>
      </c>
      <c r="I21" s="15" t="s">
        <v>254</v>
      </c>
      <c r="J21" s="15"/>
      <c r="K21" s="22">
        <v>10450</v>
      </c>
      <c r="L21" s="15" t="s">
        <v>231</v>
      </c>
      <c r="M21" s="15"/>
    </row>
    <row r="22" spans="1:13" hidden="1">
      <c r="A22" s="14">
        <v>21</v>
      </c>
      <c r="B22" s="42">
        <v>45928</v>
      </c>
      <c r="C22" s="12" t="s">
        <v>250</v>
      </c>
      <c r="D22" s="12">
        <v>3711</v>
      </c>
      <c r="E22" s="12" t="s">
        <v>253</v>
      </c>
      <c r="F22" s="13">
        <v>0.5</v>
      </c>
      <c r="G22" s="12" t="s">
        <v>255</v>
      </c>
      <c r="H22" s="13">
        <v>0.51736111111111116</v>
      </c>
      <c r="I22" s="15" t="s">
        <v>235</v>
      </c>
      <c r="J22" s="15"/>
      <c r="K22" s="22">
        <v>8580</v>
      </c>
      <c r="L22" s="15" t="s">
        <v>231</v>
      </c>
      <c r="M22" s="15"/>
    </row>
    <row r="23" spans="1:13" hidden="1">
      <c r="A23" s="14">
        <v>22</v>
      </c>
      <c r="B23" s="42">
        <v>45928</v>
      </c>
      <c r="C23" s="12" t="s">
        <v>250</v>
      </c>
      <c r="D23" s="12">
        <v>3716</v>
      </c>
      <c r="E23" s="12" t="s">
        <v>255</v>
      </c>
      <c r="F23" s="13">
        <v>0.53819444444444442</v>
      </c>
      <c r="G23" s="12" t="s">
        <v>239</v>
      </c>
      <c r="H23" s="13">
        <v>0.57291666666666663</v>
      </c>
      <c r="I23" s="15" t="s">
        <v>235</v>
      </c>
      <c r="J23" s="15"/>
      <c r="K23" s="22">
        <v>15310</v>
      </c>
      <c r="L23" s="15" t="s">
        <v>231</v>
      </c>
      <c r="M23" s="15"/>
    </row>
    <row r="24" spans="1:13" hidden="1">
      <c r="A24" s="14">
        <v>23</v>
      </c>
      <c r="B24" s="42">
        <v>45928</v>
      </c>
      <c r="C24" s="12" t="s">
        <v>238</v>
      </c>
      <c r="D24" s="12">
        <v>617</v>
      </c>
      <c r="E24" s="12" t="s">
        <v>239</v>
      </c>
      <c r="F24" s="13">
        <v>0.61458333333333337</v>
      </c>
      <c r="G24" s="12" t="s">
        <v>242</v>
      </c>
      <c r="H24" s="13">
        <v>0.65972222222222221</v>
      </c>
      <c r="I24" s="15" t="s">
        <v>241</v>
      </c>
      <c r="J24" s="15"/>
      <c r="K24" s="22">
        <v>5883</v>
      </c>
      <c r="L24" s="15" t="s">
        <v>231</v>
      </c>
      <c r="M24" s="15"/>
    </row>
    <row r="25" spans="1:13" hidden="1">
      <c r="A25" s="14">
        <v>24</v>
      </c>
      <c r="B25" s="42">
        <v>45928</v>
      </c>
      <c r="C25" s="12" t="s">
        <v>238</v>
      </c>
      <c r="D25" s="12">
        <v>622</v>
      </c>
      <c r="E25" s="12" t="s">
        <v>242</v>
      </c>
      <c r="F25" s="13">
        <v>0.68402777777777779</v>
      </c>
      <c r="G25" s="12" t="s">
        <v>239</v>
      </c>
      <c r="H25" s="13">
        <v>0.72569444444444442</v>
      </c>
      <c r="I25" s="15" t="s">
        <v>240</v>
      </c>
      <c r="J25" s="15"/>
      <c r="K25" s="22">
        <v>5883</v>
      </c>
      <c r="L25" s="15" t="s">
        <v>231</v>
      </c>
      <c r="M25" s="15"/>
    </row>
    <row r="26" spans="1:13" hidden="1">
      <c r="A26" s="14">
        <v>25</v>
      </c>
      <c r="B26" s="42">
        <v>45928</v>
      </c>
      <c r="C26" s="12" t="s">
        <v>227</v>
      </c>
      <c r="D26" s="12">
        <v>918</v>
      </c>
      <c r="E26" s="12" t="s">
        <v>239</v>
      </c>
      <c r="F26" s="13">
        <v>0.78472222222222221</v>
      </c>
      <c r="G26" s="12" t="s">
        <v>228</v>
      </c>
      <c r="H26" s="13">
        <v>0.88888888888888884</v>
      </c>
      <c r="I26" s="15" t="s">
        <v>256</v>
      </c>
      <c r="J26" s="15"/>
      <c r="K26" s="22">
        <v>22580</v>
      </c>
      <c r="L26" s="15" t="s">
        <v>231</v>
      </c>
      <c r="M26" s="15"/>
    </row>
    <row r="27" spans="1:13" hidden="1">
      <c r="A27" s="14">
        <v>26</v>
      </c>
      <c r="B27" s="42">
        <v>45934</v>
      </c>
      <c r="C27" s="12" t="s">
        <v>227</v>
      </c>
      <c r="D27" s="12">
        <v>333</v>
      </c>
      <c r="E27" s="12" t="s">
        <v>228</v>
      </c>
      <c r="F27" s="13">
        <v>0.80208333333333337</v>
      </c>
      <c r="G27" s="12" t="s">
        <v>229</v>
      </c>
      <c r="H27" s="13">
        <v>0.88194444444444442</v>
      </c>
      <c r="I27" s="15"/>
      <c r="J27" s="15"/>
      <c r="K27" s="22">
        <v>13320</v>
      </c>
      <c r="L27" s="15" t="s">
        <v>231</v>
      </c>
      <c r="M27" s="15"/>
    </row>
    <row r="28" spans="1:13" hidden="1">
      <c r="A28" s="14">
        <v>27</v>
      </c>
      <c r="B28" s="42">
        <v>45935</v>
      </c>
      <c r="C28" s="12" t="s">
        <v>238</v>
      </c>
      <c r="D28" s="12">
        <v>51</v>
      </c>
      <c r="E28" s="12" t="s">
        <v>229</v>
      </c>
      <c r="F28" s="13">
        <v>0.30208333333333331</v>
      </c>
      <c r="G28" s="12" t="s">
        <v>239</v>
      </c>
      <c r="H28" s="13">
        <v>0.37152777777777779</v>
      </c>
      <c r="I28" s="26" t="s">
        <v>230</v>
      </c>
      <c r="J28" s="15"/>
      <c r="K28" s="22">
        <v>11130</v>
      </c>
      <c r="L28" s="15" t="s">
        <v>231</v>
      </c>
      <c r="M28" s="15"/>
    </row>
    <row r="29" spans="1:13" hidden="1">
      <c r="A29" s="14">
        <v>28</v>
      </c>
      <c r="B29" s="42">
        <v>45935</v>
      </c>
      <c r="C29" s="12" t="s">
        <v>238</v>
      </c>
      <c r="D29" s="12">
        <v>605</v>
      </c>
      <c r="E29" s="12" t="s">
        <v>239</v>
      </c>
      <c r="F29" s="13">
        <v>0.40277777777777779</v>
      </c>
      <c r="G29" s="12" t="s">
        <v>242</v>
      </c>
      <c r="H29" s="13">
        <v>0.44444444444444442</v>
      </c>
      <c r="I29" s="26" t="s">
        <v>240</v>
      </c>
      <c r="J29" s="15"/>
      <c r="K29" s="22">
        <v>6180</v>
      </c>
      <c r="L29" s="15" t="s">
        <v>231</v>
      </c>
      <c r="M29" s="15"/>
    </row>
    <row r="30" spans="1:13" hidden="1">
      <c r="A30" s="14">
        <v>29</v>
      </c>
      <c r="B30" s="42">
        <v>45935</v>
      </c>
      <c r="C30" s="12" t="s">
        <v>243</v>
      </c>
      <c r="D30" s="12">
        <v>743</v>
      </c>
      <c r="E30" s="12" t="s">
        <v>242</v>
      </c>
      <c r="F30" s="13">
        <v>0.52430555555555558</v>
      </c>
      <c r="G30" s="12" t="s">
        <v>244</v>
      </c>
      <c r="H30" s="13">
        <v>0.54513888888888884</v>
      </c>
      <c r="I30" s="26" t="s">
        <v>245</v>
      </c>
      <c r="J30" s="15"/>
      <c r="K30" s="22">
        <v>6583</v>
      </c>
      <c r="L30" s="15" t="s">
        <v>231</v>
      </c>
      <c r="M30" s="15"/>
    </row>
    <row r="31" spans="1:13" hidden="1">
      <c r="A31" s="14">
        <v>30</v>
      </c>
      <c r="B31" s="42">
        <v>45935</v>
      </c>
      <c r="C31" s="12" t="s">
        <v>243</v>
      </c>
      <c r="D31" s="12">
        <v>744</v>
      </c>
      <c r="E31" s="12" t="s">
        <v>244</v>
      </c>
      <c r="F31" s="13">
        <v>0.56944444444444442</v>
      </c>
      <c r="G31" s="12" t="s">
        <v>242</v>
      </c>
      <c r="H31" s="13">
        <v>0.59027777777777779</v>
      </c>
      <c r="I31" s="26" t="s">
        <v>237</v>
      </c>
      <c r="J31" s="15"/>
      <c r="K31" s="22">
        <v>5883</v>
      </c>
      <c r="L31" s="15" t="s">
        <v>231</v>
      </c>
      <c r="M31" s="15"/>
    </row>
    <row r="32" spans="1:13" hidden="1">
      <c r="A32" s="14">
        <v>31</v>
      </c>
      <c r="B32" s="42">
        <v>45935</v>
      </c>
      <c r="C32" s="12" t="s">
        <v>243</v>
      </c>
      <c r="D32" s="12">
        <v>834</v>
      </c>
      <c r="E32" s="12" t="s">
        <v>242</v>
      </c>
      <c r="F32" s="13">
        <v>0.61805555555555558</v>
      </c>
      <c r="G32" s="12" t="s">
        <v>246</v>
      </c>
      <c r="H32" s="13">
        <v>0.63888888888888884</v>
      </c>
      <c r="I32" s="26" t="s">
        <v>235</v>
      </c>
      <c r="J32" s="15"/>
      <c r="K32" s="22">
        <v>9570</v>
      </c>
      <c r="L32" s="15" t="s">
        <v>231</v>
      </c>
      <c r="M32" s="15"/>
    </row>
    <row r="33" spans="1:13" hidden="1">
      <c r="A33" s="14">
        <v>32</v>
      </c>
      <c r="B33" s="42">
        <v>45935</v>
      </c>
      <c r="C33" s="12" t="s">
        <v>238</v>
      </c>
      <c r="D33" s="12">
        <v>564</v>
      </c>
      <c r="E33" s="12" t="s">
        <v>246</v>
      </c>
      <c r="F33" s="13">
        <v>0.70486111111111116</v>
      </c>
      <c r="G33" s="12" t="s">
        <v>239</v>
      </c>
      <c r="H33" s="13">
        <v>0.73958333333333337</v>
      </c>
      <c r="I33" s="26" t="s">
        <v>257</v>
      </c>
      <c r="J33" s="15"/>
      <c r="K33" s="22">
        <v>6290</v>
      </c>
      <c r="L33" s="15" t="s">
        <v>231</v>
      </c>
      <c r="M33" s="15"/>
    </row>
    <row r="34" spans="1:13" hidden="1">
      <c r="A34" s="14">
        <v>33</v>
      </c>
      <c r="B34" s="42">
        <v>45935</v>
      </c>
      <c r="C34" s="12" t="s">
        <v>227</v>
      </c>
      <c r="D34" s="12">
        <v>920</v>
      </c>
      <c r="E34" s="12" t="s">
        <v>239</v>
      </c>
      <c r="F34" s="13">
        <v>0.81944444444444442</v>
      </c>
      <c r="G34" s="12" t="s">
        <v>228</v>
      </c>
      <c r="H34" s="13">
        <v>0.91666666666666663</v>
      </c>
      <c r="I34" s="26" t="s">
        <v>258</v>
      </c>
      <c r="J34" s="15"/>
      <c r="K34" s="22">
        <v>22030</v>
      </c>
      <c r="L34" s="15" t="s">
        <v>231</v>
      </c>
      <c r="M34" s="15"/>
    </row>
    <row r="35" spans="1:13" hidden="1">
      <c r="A35" s="14">
        <v>34</v>
      </c>
      <c r="B35" s="42">
        <v>45890</v>
      </c>
      <c r="C35" s="12" t="s">
        <v>227</v>
      </c>
      <c r="D35" s="12">
        <v>487</v>
      </c>
      <c r="E35" s="12" t="s">
        <v>228</v>
      </c>
      <c r="F35" s="13">
        <v>0.84375</v>
      </c>
      <c r="G35" s="12" t="s">
        <v>259</v>
      </c>
      <c r="H35" s="13">
        <v>0.89583333333333337</v>
      </c>
      <c r="I35" s="26"/>
      <c r="J35" s="15"/>
      <c r="K35" s="22">
        <v>0</v>
      </c>
      <c r="L35" s="15" t="s">
        <v>231</v>
      </c>
      <c r="M35" s="15"/>
    </row>
    <row r="36" spans="1:13" hidden="1">
      <c r="A36" s="14">
        <v>35</v>
      </c>
      <c r="B36" s="42">
        <v>45891</v>
      </c>
      <c r="C36" s="12" t="s">
        <v>227</v>
      </c>
      <c r="D36" s="12">
        <v>482</v>
      </c>
      <c r="E36" s="12" t="s">
        <v>259</v>
      </c>
      <c r="F36" s="13">
        <v>0.63541666666666663</v>
      </c>
      <c r="G36" s="12" t="s">
        <v>228</v>
      </c>
      <c r="H36" s="13">
        <v>0.69791666666666663</v>
      </c>
      <c r="I36" s="26"/>
      <c r="J36" s="15"/>
      <c r="K36" s="15">
        <v>0</v>
      </c>
      <c r="L36" s="15" t="s">
        <v>231</v>
      </c>
      <c r="M36" s="15"/>
    </row>
    <row r="37" spans="1:13" hidden="1">
      <c r="A37" s="14">
        <v>36</v>
      </c>
      <c r="B37" s="42">
        <v>45902</v>
      </c>
      <c r="C37" s="12" t="s">
        <v>227</v>
      </c>
      <c r="D37" s="12">
        <v>317</v>
      </c>
      <c r="E37" s="12" t="s">
        <v>228</v>
      </c>
      <c r="F37" s="13">
        <v>0.52083333333333337</v>
      </c>
      <c r="G37" s="12" t="s">
        <v>229</v>
      </c>
      <c r="H37" s="13">
        <v>0.57638888888888884</v>
      </c>
      <c r="I37" s="26"/>
      <c r="J37" s="15"/>
      <c r="K37" s="15">
        <v>0</v>
      </c>
      <c r="L37" s="15" t="s">
        <v>231</v>
      </c>
      <c r="M37" s="15"/>
    </row>
    <row r="38" spans="1:13" hidden="1">
      <c r="A38" s="14">
        <v>37</v>
      </c>
      <c r="B38" s="42">
        <v>45903</v>
      </c>
      <c r="C38" s="12" t="s">
        <v>227</v>
      </c>
      <c r="D38" s="12">
        <v>300</v>
      </c>
      <c r="E38" s="12" t="s">
        <v>229</v>
      </c>
      <c r="F38" s="13">
        <v>0.29166666666666669</v>
      </c>
      <c r="G38" s="12" t="s">
        <v>228</v>
      </c>
      <c r="H38" s="13">
        <v>0.3611111111111111</v>
      </c>
      <c r="I38" s="26"/>
      <c r="J38" s="15"/>
      <c r="K38" s="15">
        <v>0</v>
      </c>
      <c r="L38" s="15" t="s">
        <v>231</v>
      </c>
      <c r="M38" s="15"/>
    </row>
    <row r="39" spans="1:13" hidden="1">
      <c r="A39" s="14">
        <v>38</v>
      </c>
      <c r="B39" s="42">
        <v>45949</v>
      </c>
      <c r="C39" s="12" t="s">
        <v>227</v>
      </c>
      <c r="D39" s="12">
        <v>491</v>
      </c>
      <c r="E39" s="12" t="s">
        <v>228</v>
      </c>
      <c r="F39" s="13">
        <v>0.3125</v>
      </c>
      <c r="G39" s="12" t="s">
        <v>259</v>
      </c>
      <c r="H39" s="13">
        <v>0.375</v>
      </c>
      <c r="I39" s="26"/>
      <c r="J39" s="15"/>
      <c r="K39" s="15">
        <v>20700</v>
      </c>
      <c r="L39" s="15" t="s">
        <v>231</v>
      </c>
      <c r="M39" s="15"/>
    </row>
    <row r="40" spans="1:13" hidden="1">
      <c r="A40" s="14">
        <v>39</v>
      </c>
      <c r="B40" s="42">
        <v>45949</v>
      </c>
      <c r="C40" s="12" t="s">
        <v>227</v>
      </c>
      <c r="D40" s="12">
        <v>492</v>
      </c>
      <c r="E40" s="12" t="s">
        <v>259</v>
      </c>
      <c r="F40" s="13">
        <v>0.40277777777777779</v>
      </c>
      <c r="G40" s="12" t="s">
        <v>228</v>
      </c>
      <c r="H40" s="13">
        <v>0.45833333333333331</v>
      </c>
      <c r="I40" s="26"/>
      <c r="J40" s="15"/>
      <c r="K40" s="15">
        <v>0</v>
      </c>
      <c r="L40" s="15" t="s">
        <v>231</v>
      </c>
      <c r="M40" s="15"/>
    </row>
    <row r="41" spans="1:13" hidden="1">
      <c r="A41" s="14">
        <v>40</v>
      </c>
      <c r="B41" s="42">
        <v>45589</v>
      </c>
      <c r="C41" s="12" t="s">
        <v>227</v>
      </c>
      <c r="D41" s="12">
        <v>319</v>
      </c>
      <c r="E41" s="12" t="s">
        <v>228</v>
      </c>
      <c r="F41" s="13"/>
      <c r="G41" s="12" t="s">
        <v>229</v>
      </c>
      <c r="H41" s="13"/>
      <c r="I41" s="26"/>
      <c r="J41" s="15"/>
      <c r="K41" s="15">
        <v>0</v>
      </c>
      <c r="L41" s="15" t="s">
        <v>231</v>
      </c>
      <c r="M41" s="15"/>
    </row>
    <row r="42" spans="1:13" hidden="1">
      <c r="A42" s="14">
        <v>41</v>
      </c>
      <c r="B42" s="42">
        <v>45590</v>
      </c>
      <c r="C42" s="12" t="s">
        <v>227</v>
      </c>
      <c r="D42" s="12">
        <v>318</v>
      </c>
      <c r="E42" s="12" t="s">
        <v>229</v>
      </c>
      <c r="F42" s="13"/>
      <c r="G42" s="12" t="s">
        <v>228</v>
      </c>
      <c r="H42" s="13"/>
      <c r="I42" s="26"/>
      <c r="J42" s="15"/>
      <c r="K42" s="15">
        <v>0</v>
      </c>
      <c r="L42" s="15" t="s">
        <v>231</v>
      </c>
      <c r="M42" s="15"/>
    </row>
    <row r="43" spans="1:13" hidden="1">
      <c r="A43" s="14">
        <v>42</v>
      </c>
      <c r="B43" s="42">
        <v>45611</v>
      </c>
      <c r="C43" s="12" t="s">
        <v>227</v>
      </c>
      <c r="D43" s="12">
        <v>434</v>
      </c>
      <c r="E43" s="12" t="s">
        <v>228</v>
      </c>
      <c r="F43" s="13"/>
      <c r="G43" s="12" t="s">
        <v>260</v>
      </c>
      <c r="H43" s="13"/>
      <c r="I43" s="26"/>
      <c r="J43" s="15"/>
      <c r="K43" s="15">
        <v>0</v>
      </c>
      <c r="L43" s="15" t="s">
        <v>231</v>
      </c>
      <c r="M43" s="15"/>
    </row>
    <row r="44" spans="1:13" hidden="1">
      <c r="A44" s="14">
        <v>43</v>
      </c>
      <c r="B44" s="42">
        <v>45612</v>
      </c>
      <c r="C44" s="12" t="s">
        <v>227</v>
      </c>
      <c r="D44" s="12">
        <v>431</v>
      </c>
      <c r="E44" s="12" t="s">
        <v>260</v>
      </c>
      <c r="F44" s="13"/>
      <c r="G44" s="12" t="s">
        <v>228</v>
      </c>
      <c r="H44" s="13"/>
      <c r="I44" s="26"/>
      <c r="J44" s="15"/>
      <c r="K44" s="15">
        <v>0</v>
      </c>
      <c r="L44" s="15" t="s">
        <v>231</v>
      </c>
      <c r="M44" s="15"/>
    </row>
    <row r="45" spans="1:13" hidden="1">
      <c r="A45" s="14">
        <v>44</v>
      </c>
      <c r="B45" s="42">
        <v>45650</v>
      </c>
      <c r="C45" s="12" t="s">
        <v>227</v>
      </c>
      <c r="D45" s="12">
        <v>335</v>
      </c>
      <c r="E45" s="12" t="s">
        <v>228</v>
      </c>
      <c r="F45" s="13"/>
      <c r="G45" s="12" t="s">
        <v>229</v>
      </c>
      <c r="H45" s="13"/>
      <c r="I45" s="26"/>
      <c r="J45" s="15"/>
      <c r="K45" s="22">
        <v>17640</v>
      </c>
      <c r="L45" s="15" t="s">
        <v>231</v>
      </c>
      <c r="M45" s="15"/>
    </row>
    <row r="46" spans="1:13" hidden="1">
      <c r="A46" s="14">
        <v>45</v>
      </c>
      <c r="B46" s="42">
        <v>45646</v>
      </c>
      <c r="C46" s="12" t="s">
        <v>227</v>
      </c>
      <c r="D46" s="12">
        <v>431</v>
      </c>
      <c r="E46" s="12" t="s">
        <v>228</v>
      </c>
      <c r="F46" s="13"/>
      <c r="G46" s="12" t="s">
        <v>260</v>
      </c>
      <c r="H46" s="13"/>
      <c r="I46" s="26"/>
      <c r="J46" s="15"/>
      <c r="K46" s="15">
        <v>0</v>
      </c>
      <c r="L46" s="15" t="s">
        <v>231</v>
      </c>
      <c r="M46" s="15"/>
    </row>
    <row r="47" spans="1:13" hidden="1">
      <c r="A47" s="14">
        <v>46</v>
      </c>
      <c r="B47" s="42">
        <v>45647</v>
      </c>
      <c r="C47" s="12" t="s">
        <v>227</v>
      </c>
      <c r="D47" s="12">
        <v>432</v>
      </c>
      <c r="E47" s="12" t="s">
        <v>260</v>
      </c>
      <c r="F47" s="13"/>
      <c r="G47" s="12" t="s">
        <v>228</v>
      </c>
      <c r="H47" s="13"/>
      <c r="I47" s="26"/>
      <c r="J47" s="15"/>
      <c r="K47" s="15">
        <v>0</v>
      </c>
      <c r="L47" s="15" t="s">
        <v>231</v>
      </c>
      <c r="M47" s="15"/>
    </row>
    <row r="48" spans="1:13" hidden="1">
      <c r="A48" s="14">
        <v>47</v>
      </c>
      <c r="B48" s="42">
        <v>45680</v>
      </c>
      <c r="C48" s="12" t="s">
        <v>227</v>
      </c>
      <c r="D48" s="12">
        <v>307</v>
      </c>
      <c r="E48" s="12" t="s">
        <v>228</v>
      </c>
      <c r="F48" s="13"/>
      <c r="G48" s="12" t="s">
        <v>229</v>
      </c>
      <c r="H48" s="13"/>
      <c r="I48" s="26"/>
      <c r="J48" s="15"/>
      <c r="K48" s="15">
        <v>0</v>
      </c>
      <c r="L48" s="15" t="s">
        <v>231</v>
      </c>
      <c r="M48" s="15"/>
    </row>
    <row r="49" spans="1:13" hidden="1">
      <c r="A49" s="14">
        <v>48</v>
      </c>
      <c r="B49" s="42">
        <v>45682</v>
      </c>
      <c r="C49" s="12" t="s">
        <v>227</v>
      </c>
      <c r="D49" s="12">
        <v>306</v>
      </c>
      <c r="E49" s="12" t="s">
        <v>229</v>
      </c>
      <c r="F49" s="13"/>
      <c r="G49" s="12" t="s">
        <v>228</v>
      </c>
      <c r="H49" s="13"/>
      <c r="I49" s="26"/>
      <c r="J49" s="15"/>
      <c r="K49" s="15">
        <v>0</v>
      </c>
      <c r="L49" s="15" t="s">
        <v>231</v>
      </c>
      <c r="M49" s="15"/>
    </row>
    <row r="50" spans="1:13" hidden="1">
      <c r="A50" s="14">
        <v>49</v>
      </c>
      <c r="B50" s="42">
        <v>45727</v>
      </c>
      <c r="C50" s="12" t="s">
        <v>227</v>
      </c>
      <c r="D50" s="12">
        <v>330</v>
      </c>
      <c r="E50" s="12" t="s">
        <v>228</v>
      </c>
      <c r="F50" s="13"/>
      <c r="G50" s="12" t="s">
        <v>229</v>
      </c>
      <c r="H50" s="13"/>
      <c r="I50" s="26"/>
      <c r="J50" s="15"/>
      <c r="K50" s="15">
        <v>0</v>
      </c>
      <c r="L50" s="15" t="s">
        <v>231</v>
      </c>
      <c r="M50" s="15"/>
    </row>
    <row r="51" spans="1:13" hidden="1">
      <c r="A51" s="14">
        <v>50</v>
      </c>
      <c r="B51" s="42">
        <v>45727</v>
      </c>
      <c r="C51" s="12" t="s">
        <v>227</v>
      </c>
      <c r="D51" s="12">
        <v>305</v>
      </c>
      <c r="E51" s="12" t="s">
        <v>229</v>
      </c>
      <c r="F51" s="13"/>
      <c r="G51" s="12" t="s">
        <v>228</v>
      </c>
      <c r="H51" s="13"/>
      <c r="I51" s="26"/>
      <c r="J51" s="15"/>
      <c r="K51" s="15">
        <v>0</v>
      </c>
      <c r="L51" s="15" t="s">
        <v>231</v>
      </c>
      <c r="M51" s="15"/>
    </row>
    <row r="52" spans="1:13" hidden="1">
      <c r="A52" s="14">
        <v>51</v>
      </c>
      <c r="B52" s="42">
        <v>45860</v>
      </c>
      <c r="C52" s="12" t="s">
        <v>227</v>
      </c>
      <c r="D52" s="12">
        <v>307</v>
      </c>
      <c r="E52" s="12" t="s">
        <v>228</v>
      </c>
      <c r="F52" s="13"/>
      <c r="G52" s="12" t="s">
        <v>229</v>
      </c>
      <c r="H52" s="13"/>
      <c r="I52" s="26"/>
      <c r="J52" s="15"/>
      <c r="K52" s="22">
        <v>13320</v>
      </c>
      <c r="L52" s="15" t="s">
        <v>231</v>
      </c>
      <c r="M52" s="15"/>
    </row>
    <row r="53" spans="1:13" hidden="1">
      <c r="A53" s="14">
        <v>52</v>
      </c>
      <c r="B53" s="42">
        <v>45865</v>
      </c>
      <c r="C53" s="12" t="s">
        <v>227</v>
      </c>
      <c r="D53" s="12">
        <v>300</v>
      </c>
      <c r="E53" s="12" t="s">
        <v>229</v>
      </c>
      <c r="F53" s="13"/>
      <c r="G53" s="12" t="s">
        <v>228</v>
      </c>
      <c r="H53" s="13"/>
      <c r="I53" s="26"/>
      <c r="J53" s="15"/>
      <c r="K53" s="22">
        <v>13320</v>
      </c>
      <c r="L53" s="15" t="s">
        <v>231</v>
      </c>
      <c r="M53" s="15"/>
    </row>
    <row r="54" spans="1:13" hidden="1">
      <c r="A54" s="14">
        <v>53</v>
      </c>
      <c r="B54" s="42">
        <v>45871</v>
      </c>
      <c r="C54" s="12" t="s">
        <v>227</v>
      </c>
      <c r="D54" s="12">
        <v>307</v>
      </c>
      <c r="E54" s="12" t="s">
        <v>228</v>
      </c>
      <c r="F54" s="13"/>
      <c r="G54" s="12" t="s">
        <v>261</v>
      </c>
      <c r="H54" s="13"/>
      <c r="I54" s="26"/>
      <c r="J54" s="15"/>
      <c r="K54" s="22">
        <v>22845</v>
      </c>
      <c r="L54" s="15" t="s">
        <v>231</v>
      </c>
      <c r="M54" s="15"/>
    </row>
    <row r="55" spans="1:13" hidden="1">
      <c r="A55" s="14">
        <v>54</v>
      </c>
      <c r="B55" s="42">
        <v>45872</v>
      </c>
      <c r="C55" s="12" t="s">
        <v>227</v>
      </c>
      <c r="D55" s="12">
        <v>300</v>
      </c>
      <c r="E55" s="12" t="s">
        <v>261</v>
      </c>
      <c r="F55" s="13"/>
      <c r="G55" s="12" t="s">
        <v>228</v>
      </c>
      <c r="H55" s="13"/>
      <c r="I55" s="26"/>
      <c r="J55" s="15"/>
      <c r="K55" s="22">
        <v>0</v>
      </c>
      <c r="L55" s="15" t="s">
        <v>231</v>
      </c>
      <c r="M55" s="15"/>
    </row>
    <row r="56" spans="1:13" hidden="1">
      <c r="A56" s="14">
        <v>55</v>
      </c>
      <c r="B56" s="42">
        <v>45875</v>
      </c>
      <c r="C56" s="12" t="s">
        <v>227</v>
      </c>
      <c r="D56" s="12">
        <v>307</v>
      </c>
      <c r="E56" s="12" t="s">
        <v>228</v>
      </c>
      <c r="F56" s="13"/>
      <c r="G56" s="12" t="s">
        <v>262</v>
      </c>
      <c r="H56" s="13"/>
      <c r="I56" s="26"/>
      <c r="J56" s="15"/>
      <c r="K56" s="22">
        <v>0</v>
      </c>
      <c r="L56" s="15" t="s">
        <v>231</v>
      </c>
      <c r="M56" s="15"/>
    </row>
    <row r="57" spans="1:13" hidden="1">
      <c r="A57" s="14">
        <v>56</v>
      </c>
      <c r="B57" s="42">
        <v>45875</v>
      </c>
      <c r="C57" s="12" t="s">
        <v>227</v>
      </c>
      <c r="D57" s="12">
        <v>300</v>
      </c>
      <c r="E57" s="12" t="s">
        <v>263</v>
      </c>
      <c r="F57" s="13"/>
      <c r="G57" s="12" t="s">
        <v>228</v>
      </c>
      <c r="H57" s="13"/>
      <c r="I57" s="26"/>
      <c r="J57" s="15"/>
      <c r="K57" s="22">
        <v>0</v>
      </c>
      <c r="L57" s="15" t="s">
        <v>231</v>
      </c>
      <c r="M57" s="15"/>
    </row>
    <row r="58" spans="1:13" hidden="1">
      <c r="A58" s="14">
        <v>57</v>
      </c>
      <c r="B58" s="42">
        <v>45916</v>
      </c>
      <c r="C58" s="12" t="s">
        <v>227</v>
      </c>
      <c r="D58" s="12">
        <v>307</v>
      </c>
      <c r="E58" s="12" t="s">
        <v>228</v>
      </c>
      <c r="F58" s="13"/>
      <c r="G58" s="12" t="s">
        <v>229</v>
      </c>
      <c r="H58" s="13"/>
      <c r="I58" s="26"/>
      <c r="J58" s="15"/>
      <c r="K58" s="22">
        <v>0</v>
      </c>
      <c r="L58" s="15" t="s">
        <v>231</v>
      </c>
      <c r="M58" s="15"/>
    </row>
    <row r="59" spans="1:13" hidden="1">
      <c r="A59" s="14">
        <v>58</v>
      </c>
      <c r="B59" s="42">
        <v>45918</v>
      </c>
      <c r="C59" s="12" t="s">
        <v>227</v>
      </c>
      <c r="D59" s="12">
        <v>302</v>
      </c>
      <c r="E59" s="12" t="s">
        <v>229</v>
      </c>
      <c r="F59" s="13"/>
      <c r="G59" s="12" t="s">
        <v>228</v>
      </c>
      <c r="H59" s="13"/>
      <c r="I59" s="26"/>
      <c r="J59" s="15"/>
      <c r="K59" s="22">
        <v>0</v>
      </c>
      <c r="L59" s="15" t="s">
        <v>231</v>
      </c>
      <c r="M59" s="15"/>
    </row>
    <row r="60" spans="1:13" hidden="1">
      <c r="A60" s="14">
        <v>59</v>
      </c>
      <c r="B60" s="42">
        <v>45994</v>
      </c>
      <c r="C60" s="12" t="s">
        <v>227</v>
      </c>
      <c r="D60" s="12">
        <v>901</v>
      </c>
      <c r="E60" s="12" t="s">
        <v>228</v>
      </c>
      <c r="F60" s="13">
        <v>0.2638888888888889</v>
      </c>
      <c r="G60" s="12" t="s">
        <v>239</v>
      </c>
      <c r="H60" s="13">
        <v>0.38541666666666669</v>
      </c>
      <c r="I60" s="26"/>
      <c r="J60" s="15"/>
      <c r="K60" s="22">
        <v>10590</v>
      </c>
      <c r="L60" s="15" t="s">
        <v>231</v>
      </c>
      <c r="M60" s="15"/>
    </row>
    <row r="61" spans="1:13" hidden="1">
      <c r="A61" s="14">
        <v>60</v>
      </c>
      <c r="B61" s="42">
        <v>45994</v>
      </c>
      <c r="C61" s="12" t="s">
        <v>227</v>
      </c>
      <c r="D61" s="12" t="s">
        <v>264</v>
      </c>
      <c r="E61" s="12" t="s">
        <v>239</v>
      </c>
      <c r="F61" s="13">
        <v>0.41319444444444442</v>
      </c>
      <c r="G61" s="12" t="s">
        <v>265</v>
      </c>
      <c r="H61" s="13">
        <v>0.43402777777777779</v>
      </c>
      <c r="I61" s="26"/>
      <c r="J61" s="15"/>
      <c r="K61" s="47">
        <v>4640</v>
      </c>
      <c r="L61" s="15" t="s">
        <v>231</v>
      </c>
      <c r="M61" s="15"/>
    </row>
    <row r="62" spans="1:13" hidden="1">
      <c r="A62" s="14">
        <v>61</v>
      </c>
      <c r="B62" s="42">
        <v>45994</v>
      </c>
      <c r="C62" s="12" t="s">
        <v>227</v>
      </c>
      <c r="D62" s="12" t="s">
        <v>266</v>
      </c>
      <c r="E62" s="12" t="s">
        <v>265</v>
      </c>
      <c r="F62" s="13">
        <v>0.4548611111111111</v>
      </c>
      <c r="G62" s="12" t="s">
        <v>239</v>
      </c>
      <c r="H62" s="13">
        <v>0.47916666666666669</v>
      </c>
      <c r="I62" s="26"/>
      <c r="J62" s="15"/>
      <c r="K62" s="47">
        <v>6400</v>
      </c>
      <c r="L62" s="15" t="s">
        <v>231</v>
      </c>
      <c r="M62" s="15"/>
    </row>
    <row r="63" spans="1:13" hidden="1">
      <c r="A63" s="14">
        <v>62</v>
      </c>
      <c r="B63" s="42">
        <v>45994</v>
      </c>
      <c r="C63" s="12" t="s">
        <v>227</v>
      </c>
      <c r="D63" s="12" t="s">
        <v>267</v>
      </c>
      <c r="E63" s="12" t="s">
        <v>239</v>
      </c>
      <c r="F63" s="13">
        <v>0.52777777777777779</v>
      </c>
      <c r="G63" s="12" t="s">
        <v>242</v>
      </c>
      <c r="H63" s="13">
        <v>0.57291666666666663</v>
      </c>
      <c r="I63" s="26"/>
      <c r="J63" s="15"/>
      <c r="K63" s="22">
        <v>4640</v>
      </c>
      <c r="L63" s="15" t="s">
        <v>231</v>
      </c>
      <c r="M63" s="15"/>
    </row>
    <row r="64" spans="1:13" hidden="1">
      <c r="A64" s="14">
        <v>63</v>
      </c>
      <c r="B64" s="42">
        <v>45994</v>
      </c>
      <c r="C64" s="12" t="s">
        <v>227</v>
      </c>
      <c r="D64" s="12" t="s">
        <v>268</v>
      </c>
      <c r="E64" s="12" t="s">
        <v>242</v>
      </c>
      <c r="F64" s="13">
        <v>0.61805555555555558</v>
      </c>
      <c r="G64" s="12" t="s">
        <v>246</v>
      </c>
      <c r="H64" s="13">
        <v>0.63888888888888884</v>
      </c>
      <c r="I64" s="26"/>
      <c r="J64" s="15"/>
      <c r="K64" s="47">
        <v>4400</v>
      </c>
      <c r="L64" s="15" t="s">
        <v>231</v>
      </c>
      <c r="M64" s="15"/>
    </row>
    <row r="65" spans="1:13" hidden="1">
      <c r="A65" s="14">
        <v>64</v>
      </c>
      <c r="B65" s="42">
        <v>45994</v>
      </c>
      <c r="C65" s="12" t="s">
        <v>227</v>
      </c>
      <c r="D65" s="12" t="s">
        <v>269</v>
      </c>
      <c r="E65" s="12" t="s">
        <v>246</v>
      </c>
      <c r="F65" s="13">
        <v>0.65972222222222221</v>
      </c>
      <c r="G65" s="12" t="s">
        <v>247</v>
      </c>
      <c r="H65" s="13">
        <v>0.67708333333333337</v>
      </c>
      <c r="I65" s="26"/>
      <c r="J65" s="15"/>
      <c r="K65" s="22">
        <v>5500</v>
      </c>
      <c r="L65" s="15" t="s">
        <v>231</v>
      </c>
      <c r="M65" s="15"/>
    </row>
    <row r="66" spans="1:13" hidden="1">
      <c r="A66" s="14">
        <v>65</v>
      </c>
      <c r="B66" s="42">
        <v>45994</v>
      </c>
      <c r="C66" s="12" t="s">
        <v>227</v>
      </c>
      <c r="D66" s="12" t="s">
        <v>270</v>
      </c>
      <c r="E66" s="12" t="s">
        <v>247</v>
      </c>
      <c r="F66" s="13">
        <v>0.70138888888888884</v>
      </c>
      <c r="G66" s="12" t="s">
        <v>246</v>
      </c>
      <c r="H66" s="13">
        <v>0.71875</v>
      </c>
      <c r="I66" s="26"/>
      <c r="J66" s="15"/>
      <c r="K66" s="22">
        <v>5500</v>
      </c>
      <c r="L66" s="15" t="s">
        <v>231</v>
      </c>
      <c r="M66" s="15"/>
    </row>
    <row r="67" spans="1:13" hidden="1">
      <c r="A67" s="14">
        <v>66</v>
      </c>
      <c r="B67" s="42">
        <v>45994</v>
      </c>
      <c r="C67" s="12" t="s">
        <v>227</v>
      </c>
      <c r="D67" s="12" t="s">
        <v>271</v>
      </c>
      <c r="E67" s="12" t="s">
        <v>246</v>
      </c>
      <c r="F67" s="13">
        <v>0.76041666666666663</v>
      </c>
      <c r="G67" s="12" t="s">
        <v>239</v>
      </c>
      <c r="H67" s="13">
        <v>0.79513888888888884</v>
      </c>
      <c r="I67" s="26"/>
      <c r="J67" s="15"/>
      <c r="K67" s="22">
        <v>4640</v>
      </c>
      <c r="L67" s="15" t="s">
        <v>231</v>
      </c>
      <c r="M67" s="15"/>
    </row>
    <row r="68" spans="1:13" hidden="1">
      <c r="A68" s="14">
        <v>67</v>
      </c>
      <c r="B68" s="42">
        <v>45994</v>
      </c>
      <c r="C68" s="12" t="s">
        <v>227</v>
      </c>
      <c r="D68" s="12">
        <v>920</v>
      </c>
      <c r="E68" s="12" t="s">
        <v>239</v>
      </c>
      <c r="F68" s="13">
        <v>0.82986111111111116</v>
      </c>
      <c r="G68" s="12" t="s">
        <v>228</v>
      </c>
      <c r="H68" s="13">
        <v>0.92013888888888884</v>
      </c>
      <c r="I68" s="26"/>
      <c r="J68" s="15"/>
      <c r="K68" s="22">
        <v>10590</v>
      </c>
      <c r="L68" s="15" t="s">
        <v>231</v>
      </c>
      <c r="M68" s="15"/>
    </row>
    <row r="69" spans="1:13" hidden="1">
      <c r="A69" s="14">
        <v>68</v>
      </c>
      <c r="B69" s="42">
        <v>45939</v>
      </c>
      <c r="C69" s="12" t="s">
        <v>227</v>
      </c>
      <c r="D69" s="12">
        <v>325</v>
      </c>
      <c r="E69" s="12" t="s">
        <v>228</v>
      </c>
      <c r="F69" s="13"/>
      <c r="G69" s="12" t="s">
        <v>229</v>
      </c>
      <c r="H69" s="13"/>
      <c r="I69" s="26"/>
      <c r="J69" s="15"/>
      <c r="K69" s="22">
        <v>0</v>
      </c>
      <c r="L69" s="15" t="s">
        <v>231</v>
      </c>
      <c r="M69" s="15"/>
    </row>
    <row r="70" spans="1:13" hidden="1">
      <c r="A70" s="14">
        <v>69</v>
      </c>
      <c r="B70" s="42">
        <v>45941</v>
      </c>
      <c r="C70" s="12" t="s">
        <v>227</v>
      </c>
      <c r="D70" s="12">
        <v>310</v>
      </c>
      <c r="E70" s="12" t="s">
        <v>229</v>
      </c>
      <c r="F70" s="13"/>
      <c r="G70" s="12" t="s">
        <v>228</v>
      </c>
      <c r="H70" s="13"/>
      <c r="I70" s="26"/>
      <c r="J70" s="15"/>
      <c r="K70" s="22">
        <v>0</v>
      </c>
      <c r="L70" s="15" t="s">
        <v>231</v>
      </c>
      <c r="M70" s="15"/>
    </row>
    <row r="71" spans="1:13" hidden="1">
      <c r="A71" s="14">
        <v>70</v>
      </c>
      <c r="B71" s="42">
        <v>46052</v>
      </c>
      <c r="C71" s="12" t="s">
        <v>227</v>
      </c>
      <c r="D71" s="12">
        <v>325</v>
      </c>
      <c r="E71" s="12" t="s">
        <v>228</v>
      </c>
      <c r="F71" s="13">
        <v>0.2638888888888889</v>
      </c>
      <c r="G71" s="12" t="s">
        <v>239</v>
      </c>
      <c r="H71" s="13">
        <v>0.38541666666666669</v>
      </c>
      <c r="I71" s="26"/>
      <c r="J71" s="15"/>
      <c r="K71" s="22">
        <f>132568/4</f>
        <v>33142</v>
      </c>
      <c r="L71" s="15" t="s">
        <v>231</v>
      </c>
      <c r="M71" s="15"/>
    </row>
    <row r="72" spans="1:13" hidden="1">
      <c r="A72" s="14">
        <v>71</v>
      </c>
      <c r="B72" s="42">
        <v>46054</v>
      </c>
      <c r="C72" s="12" t="s">
        <v>227</v>
      </c>
      <c r="D72" s="12">
        <v>310</v>
      </c>
      <c r="E72" s="12" t="s">
        <v>239</v>
      </c>
      <c r="F72" s="13">
        <v>0.51736111111111116</v>
      </c>
      <c r="G72" s="12" t="s">
        <v>228</v>
      </c>
      <c r="H72" s="13">
        <v>0.60763888888888884</v>
      </c>
      <c r="I72" s="26"/>
      <c r="J72" s="15"/>
      <c r="K72" s="22">
        <v>0</v>
      </c>
      <c r="L72" s="15" t="s">
        <v>231</v>
      </c>
      <c r="M72" s="15"/>
    </row>
    <row r="73" spans="1:13" hidden="1">
      <c r="A73" s="14">
        <v>72</v>
      </c>
      <c r="B73" s="42">
        <v>45932</v>
      </c>
      <c r="C73" s="12" t="s">
        <v>227</v>
      </c>
      <c r="D73" s="12"/>
      <c r="E73" s="12" t="s">
        <v>228</v>
      </c>
      <c r="F73" s="13"/>
      <c r="G73" s="12" t="s">
        <v>272</v>
      </c>
      <c r="H73" s="13"/>
      <c r="I73" s="26"/>
      <c r="J73" s="15"/>
      <c r="K73" s="22">
        <v>0</v>
      </c>
      <c r="L73" s="15" t="s">
        <v>231</v>
      </c>
      <c r="M73" s="15"/>
    </row>
    <row r="74" spans="1:13" hidden="1">
      <c r="A74" s="14">
        <v>73</v>
      </c>
      <c r="B74" s="42">
        <v>45951</v>
      </c>
      <c r="C74" s="12" t="s">
        <v>227</v>
      </c>
      <c r="D74" s="12"/>
      <c r="E74" s="12" t="s">
        <v>228</v>
      </c>
      <c r="F74" s="13"/>
      <c r="G74" s="12" t="s">
        <v>273</v>
      </c>
      <c r="H74" s="13"/>
      <c r="I74" s="26"/>
      <c r="J74" s="15"/>
      <c r="K74" s="22">
        <v>0</v>
      </c>
      <c r="L74" s="15" t="s">
        <v>231</v>
      </c>
      <c r="M74" s="15"/>
    </row>
    <row r="75" spans="1:13" hidden="1">
      <c r="A75" s="14">
        <v>74</v>
      </c>
      <c r="B75" s="42">
        <v>45953</v>
      </c>
      <c r="C75" s="12" t="s">
        <v>227</v>
      </c>
      <c r="D75" s="12"/>
      <c r="E75" s="12" t="s">
        <v>260</v>
      </c>
      <c r="F75" s="13"/>
      <c r="G75" s="12" t="s">
        <v>229</v>
      </c>
      <c r="H75" s="13"/>
      <c r="I75" s="26"/>
      <c r="J75" s="15"/>
      <c r="K75" s="22">
        <v>0</v>
      </c>
      <c r="L75" s="15" t="s">
        <v>231</v>
      </c>
      <c r="M75" s="15"/>
    </row>
    <row r="76" spans="1:13" hidden="1">
      <c r="A76" s="14">
        <v>75</v>
      </c>
      <c r="B76" s="42">
        <v>45953</v>
      </c>
      <c r="C76" s="12" t="s">
        <v>227</v>
      </c>
      <c r="D76" s="12"/>
      <c r="E76" s="12" t="s">
        <v>229</v>
      </c>
      <c r="F76" s="13"/>
      <c r="G76" s="12" t="s">
        <v>228</v>
      </c>
      <c r="H76" s="13"/>
      <c r="I76" s="26"/>
      <c r="J76" s="15"/>
      <c r="K76" s="22">
        <v>0</v>
      </c>
      <c r="L76" s="15" t="s">
        <v>231</v>
      </c>
      <c r="M76" s="15"/>
    </row>
    <row r="77" spans="1:13" hidden="1">
      <c r="A77" s="14">
        <v>76</v>
      </c>
      <c r="B77" s="42">
        <v>46030</v>
      </c>
      <c r="C77" s="12" t="s">
        <v>227</v>
      </c>
      <c r="D77" s="12"/>
      <c r="E77" s="12" t="s">
        <v>228</v>
      </c>
      <c r="F77" s="13">
        <v>0.78819444444444442</v>
      </c>
      <c r="G77" s="12" t="s">
        <v>229</v>
      </c>
      <c r="H77" s="13">
        <v>0.87847222222222221</v>
      </c>
      <c r="I77" s="26"/>
      <c r="J77" s="15"/>
      <c r="K77" s="47">
        <v>8810</v>
      </c>
      <c r="L77" s="15" t="s">
        <v>231</v>
      </c>
      <c r="M77" s="15"/>
    </row>
    <row r="78" spans="1:13" hidden="1">
      <c r="A78" s="14">
        <v>77</v>
      </c>
      <c r="B78" s="42">
        <v>46031</v>
      </c>
      <c r="C78" s="12" t="s">
        <v>227</v>
      </c>
      <c r="D78" s="12"/>
      <c r="E78" s="12" t="s">
        <v>229</v>
      </c>
      <c r="F78" s="13">
        <v>0.30208333333333331</v>
      </c>
      <c r="G78" s="12" t="s">
        <v>239</v>
      </c>
      <c r="H78" s="13">
        <v>0.375</v>
      </c>
      <c r="I78" s="26"/>
      <c r="J78" s="15"/>
      <c r="K78" s="22">
        <v>10800</v>
      </c>
      <c r="L78" s="15" t="s">
        <v>231</v>
      </c>
      <c r="M78" s="15"/>
    </row>
    <row r="79" spans="1:13" hidden="1">
      <c r="A79" s="14">
        <v>78</v>
      </c>
      <c r="B79" s="42">
        <v>46031</v>
      </c>
      <c r="C79" s="12" t="s">
        <v>227</v>
      </c>
      <c r="D79" s="12"/>
      <c r="E79" s="12" t="s">
        <v>239</v>
      </c>
      <c r="F79" s="13">
        <v>0.40625</v>
      </c>
      <c r="G79" s="12" t="s">
        <v>242</v>
      </c>
      <c r="H79" s="13">
        <v>0.4513888888888889</v>
      </c>
      <c r="I79" s="26"/>
      <c r="J79" s="15"/>
      <c r="K79" s="22">
        <v>4640</v>
      </c>
      <c r="L79" s="15" t="s">
        <v>231</v>
      </c>
      <c r="M79" s="15"/>
    </row>
    <row r="80" spans="1:13" hidden="1">
      <c r="A80" s="14">
        <v>79</v>
      </c>
      <c r="B80" s="42">
        <v>46031</v>
      </c>
      <c r="C80" s="12" t="s">
        <v>227</v>
      </c>
      <c r="D80" s="12"/>
      <c r="E80" s="12" t="s">
        <v>242</v>
      </c>
      <c r="F80" s="13">
        <v>0.47916666666666669</v>
      </c>
      <c r="G80" s="12" t="s">
        <v>274</v>
      </c>
      <c r="H80" s="13">
        <v>0.52083333333333337</v>
      </c>
      <c r="I80" s="26"/>
      <c r="J80" s="15"/>
      <c r="K80" s="22">
        <v>4640</v>
      </c>
      <c r="L80" s="15" t="s">
        <v>231</v>
      </c>
      <c r="M80" s="15"/>
    </row>
    <row r="81" spans="1:13" hidden="1">
      <c r="A81" s="14">
        <v>80</v>
      </c>
      <c r="B81" s="42">
        <v>46031</v>
      </c>
      <c r="C81" s="12" t="s">
        <v>227</v>
      </c>
      <c r="D81" s="12"/>
      <c r="E81" s="12" t="s">
        <v>274</v>
      </c>
      <c r="F81" s="13">
        <v>0.58333333333333337</v>
      </c>
      <c r="G81" s="12" t="s">
        <v>265</v>
      </c>
      <c r="H81" s="13">
        <v>0.60763888888888884</v>
      </c>
      <c r="I81" s="26"/>
      <c r="J81" s="15"/>
      <c r="K81" s="22">
        <v>4640</v>
      </c>
      <c r="L81" s="15" t="s">
        <v>231</v>
      </c>
      <c r="M81" s="15"/>
    </row>
    <row r="82" spans="1:13" hidden="1">
      <c r="A82" s="14">
        <v>81</v>
      </c>
      <c r="B82" s="42">
        <v>46031</v>
      </c>
      <c r="C82" s="12" t="s">
        <v>227</v>
      </c>
      <c r="D82" s="12"/>
      <c r="E82" s="12" t="s">
        <v>265</v>
      </c>
      <c r="F82" s="13">
        <v>0.63541666666666663</v>
      </c>
      <c r="G82" s="12" t="s">
        <v>274</v>
      </c>
      <c r="H82" s="13">
        <v>0.66319444444444442</v>
      </c>
      <c r="I82" s="26"/>
      <c r="J82" s="15"/>
      <c r="K82" s="22">
        <v>4640</v>
      </c>
      <c r="L82" s="15" t="s">
        <v>231</v>
      </c>
      <c r="M82" s="15"/>
    </row>
    <row r="83" spans="1:13" hidden="1">
      <c r="A83" s="14">
        <v>82</v>
      </c>
      <c r="B83" s="42">
        <v>46031</v>
      </c>
      <c r="C83" s="12" t="s">
        <v>227</v>
      </c>
      <c r="D83" s="12"/>
      <c r="E83" s="12" t="s">
        <v>274</v>
      </c>
      <c r="F83" s="13">
        <v>0.69444444444444442</v>
      </c>
      <c r="G83" s="12" t="s">
        <v>246</v>
      </c>
      <c r="H83" s="13">
        <v>0.73263888888888884</v>
      </c>
      <c r="I83" s="26"/>
      <c r="J83" s="15"/>
      <c r="K83" s="22">
        <v>4640</v>
      </c>
      <c r="L83" s="15" t="s">
        <v>231</v>
      </c>
      <c r="M83" s="15"/>
    </row>
    <row r="84" spans="1:13" hidden="1">
      <c r="A84" s="14">
        <v>83</v>
      </c>
      <c r="B84" s="42">
        <v>46031</v>
      </c>
      <c r="C84" s="12" t="s">
        <v>227</v>
      </c>
      <c r="D84" s="12"/>
      <c r="E84" s="12" t="s">
        <v>246</v>
      </c>
      <c r="F84" s="13">
        <v>0.76041666666666663</v>
      </c>
      <c r="G84" s="12" t="s">
        <v>274</v>
      </c>
      <c r="H84" s="13">
        <v>0.79513888888888884</v>
      </c>
      <c r="I84" s="26"/>
      <c r="J84" s="15"/>
      <c r="K84" s="22">
        <v>7500</v>
      </c>
      <c r="L84" s="15" t="s">
        <v>231</v>
      </c>
      <c r="M84" s="15"/>
    </row>
    <row r="85" spans="1:13" hidden="1">
      <c r="A85" s="14">
        <v>84</v>
      </c>
      <c r="B85" s="42">
        <v>46031</v>
      </c>
      <c r="C85" s="12" t="s">
        <v>227</v>
      </c>
      <c r="D85" s="12"/>
      <c r="E85" s="12" t="s">
        <v>274</v>
      </c>
      <c r="F85" s="13">
        <v>0.82291666666666663</v>
      </c>
      <c r="G85" s="12" t="s">
        <v>229</v>
      </c>
      <c r="H85" s="13">
        <v>0.89236111111111116</v>
      </c>
      <c r="I85" s="26"/>
      <c r="J85" s="15"/>
      <c r="K85" s="22">
        <v>8050</v>
      </c>
      <c r="L85" s="15" t="s">
        <v>231</v>
      </c>
      <c r="M85" s="15"/>
    </row>
    <row r="86" spans="1:13" hidden="1">
      <c r="A86" s="14">
        <v>85</v>
      </c>
      <c r="B86" s="42">
        <v>46032</v>
      </c>
      <c r="C86" s="12" t="s">
        <v>227</v>
      </c>
      <c r="D86" s="12"/>
      <c r="E86" s="12" t="s">
        <v>229</v>
      </c>
      <c r="F86" s="13">
        <v>0.30555555555555558</v>
      </c>
      <c r="G86" s="12" t="s">
        <v>236</v>
      </c>
      <c r="H86" s="13">
        <v>0.33333333333333331</v>
      </c>
      <c r="I86" s="26"/>
      <c r="J86" s="15"/>
      <c r="K86" s="22">
        <v>6490</v>
      </c>
      <c r="L86" s="15" t="s">
        <v>231</v>
      </c>
      <c r="M86" s="15"/>
    </row>
    <row r="87" spans="1:13" hidden="1">
      <c r="A87" s="14">
        <v>86</v>
      </c>
      <c r="B87" s="42">
        <v>46032</v>
      </c>
      <c r="C87" s="12" t="s">
        <v>227</v>
      </c>
      <c r="D87" s="12"/>
      <c r="E87" s="12" t="s">
        <v>236</v>
      </c>
      <c r="F87" s="13">
        <v>0.54861111111111116</v>
      </c>
      <c r="G87" s="12" t="s">
        <v>229</v>
      </c>
      <c r="H87" s="13">
        <v>0.58333333333333337</v>
      </c>
      <c r="I87" s="26"/>
      <c r="J87" s="15"/>
      <c r="K87" s="22">
        <v>6490</v>
      </c>
      <c r="L87" s="15" t="s">
        <v>231</v>
      </c>
      <c r="M87" s="15"/>
    </row>
    <row r="88" spans="1:13" hidden="1">
      <c r="A88" s="14">
        <v>87</v>
      </c>
      <c r="B88" s="42">
        <v>46032</v>
      </c>
      <c r="C88" s="12" t="s">
        <v>227</v>
      </c>
      <c r="D88" s="12"/>
      <c r="E88" s="12" t="s">
        <v>229</v>
      </c>
      <c r="F88" s="13">
        <v>0.59722222222222221</v>
      </c>
      <c r="G88" s="12" t="s">
        <v>275</v>
      </c>
      <c r="H88" s="13">
        <v>0.63541666666666663</v>
      </c>
      <c r="I88" s="26"/>
      <c r="J88" s="15"/>
      <c r="K88" s="22">
        <v>6710</v>
      </c>
      <c r="L88" s="15" t="s">
        <v>231</v>
      </c>
      <c r="M88" s="15"/>
    </row>
    <row r="89" spans="1:13" hidden="1">
      <c r="A89" s="14">
        <v>88</v>
      </c>
      <c r="B89" s="42">
        <v>46032</v>
      </c>
      <c r="C89" s="12" t="s">
        <v>227</v>
      </c>
      <c r="D89" s="12"/>
      <c r="E89" s="12" t="s">
        <v>275</v>
      </c>
      <c r="F89" s="13">
        <v>0.66319444444444442</v>
      </c>
      <c r="G89" s="12" t="s">
        <v>229</v>
      </c>
      <c r="H89" s="13">
        <v>0.70486111111111116</v>
      </c>
      <c r="I89" s="26"/>
      <c r="J89" s="15"/>
      <c r="K89" s="22">
        <v>6710</v>
      </c>
      <c r="L89" s="15" t="s">
        <v>231</v>
      </c>
      <c r="M89" s="15"/>
    </row>
    <row r="90" spans="1:13" hidden="1">
      <c r="A90" s="14">
        <v>89</v>
      </c>
      <c r="B90" s="42">
        <v>46033</v>
      </c>
      <c r="C90" s="12" t="s">
        <v>227</v>
      </c>
      <c r="D90" s="12"/>
      <c r="E90" s="12" t="s">
        <v>229</v>
      </c>
      <c r="F90" s="13">
        <v>0.30208333333333331</v>
      </c>
      <c r="G90" s="12" t="s">
        <v>239</v>
      </c>
      <c r="H90" s="13">
        <v>0.375</v>
      </c>
      <c r="I90" s="26"/>
      <c r="J90" s="15"/>
      <c r="K90" s="22">
        <v>9150</v>
      </c>
      <c r="L90" s="15" t="s">
        <v>231</v>
      </c>
      <c r="M90" s="15"/>
    </row>
    <row r="91" spans="1:13" hidden="1">
      <c r="A91" s="14">
        <v>90</v>
      </c>
      <c r="B91" s="42">
        <v>46033</v>
      </c>
      <c r="C91" s="12" t="s">
        <v>227</v>
      </c>
      <c r="D91" s="12"/>
      <c r="E91" s="12" t="s">
        <v>239</v>
      </c>
      <c r="F91" s="13">
        <v>0.40625</v>
      </c>
      <c r="G91" s="12" t="s">
        <v>242</v>
      </c>
      <c r="H91" s="13">
        <v>0.4513888888888889</v>
      </c>
      <c r="I91" s="26"/>
      <c r="J91" s="15"/>
      <c r="K91" s="22">
        <v>5740</v>
      </c>
      <c r="L91" s="15" t="s">
        <v>231</v>
      </c>
      <c r="M91" s="15"/>
    </row>
    <row r="92" spans="1:13" hidden="1">
      <c r="A92" s="14">
        <v>91</v>
      </c>
      <c r="B92" s="42">
        <v>46033</v>
      </c>
      <c r="C92" s="12" t="s">
        <v>227</v>
      </c>
      <c r="D92" s="12"/>
      <c r="E92" s="12" t="s">
        <v>242</v>
      </c>
      <c r="F92" s="13">
        <v>0.47916666666666669</v>
      </c>
      <c r="G92" s="12" t="s">
        <v>274</v>
      </c>
      <c r="H92" s="13">
        <v>0.52083333333333337</v>
      </c>
      <c r="I92" s="26"/>
      <c r="J92" s="15"/>
      <c r="K92" s="22">
        <v>5740</v>
      </c>
      <c r="L92" s="15" t="s">
        <v>231</v>
      </c>
      <c r="M92" s="15"/>
    </row>
    <row r="93" spans="1:13" hidden="1">
      <c r="A93" s="14">
        <v>92</v>
      </c>
      <c r="B93" s="42">
        <v>46033</v>
      </c>
      <c r="C93" s="12" t="s">
        <v>227</v>
      </c>
      <c r="D93" s="12"/>
      <c r="E93" s="12" t="s">
        <v>274</v>
      </c>
      <c r="F93" s="13">
        <v>0.55208333333333337</v>
      </c>
      <c r="G93" s="12" t="s">
        <v>276</v>
      </c>
      <c r="H93" s="13">
        <v>0.57986111111111116</v>
      </c>
      <c r="I93" s="26"/>
      <c r="J93" s="15"/>
      <c r="K93" s="22">
        <v>12340</v>
      </c>
      <c r="L93" s="15" t="s">
        <v>231</v>
      </c>
      <c r="M93" s="15"/>
    </row>
    <row r="94" spans="1:13" hidden="1">
      <c r="A94" s="14">
        <v>93</v>
      </c>
      <c r="B94" s="42">
        <v>46033</v>
      </c>
      <c r="C94" s="12" t="s">
        <v>227</v>
      </c>
      <c r="D94" s="12"/>
      <c r="E94" s="12" t="s">
        <v>276</v>
      </c>
      <c r="F94" s="13">
        <v>0.60069444444444442</v>
      </c>
      <c r="G94" s="12" t="s">
        <v>274</v>
      </c>
      <c r="H94" s="13">
        <v>0.625</v>
      </c>
      <c r="I94" s="26"/>
      <c r="J94" s="15"/>
      <c r="K94" s="22">
        <v>12340</v>
      </c>
      <c r="L94" s="15" t="s">
        <v>231</v>
      </c>
      <c r="M94" s="15"/>
    </row>
    <row r="95" spans="1:13" hidden="1">
      <c r="A95" s="14">
        <v>94</v>
      </c>
      <c r="B95" s="42">
        <v>46033</v>
      </c>
      <c r="C95" s="12" t="s">
        <v>227</v>
      </c>
      <c r="D95" s="12"/>
      <c r="E95" s="12" t="s">
        <v>274</v>
      </c>
      <c r="F95" s="13">
        <v>0.65277777777777779</v>
      </c>
      <c r="G95" s="12" t="s">
        <v>265</v>
      </c>
      <c r="H95" s="13">
        <v>0.67708333333333337</v>
      </c>
      <c r="I95" s="26"/>
      <c r="J95" s="15"/>
      <c r="K95" s="22">
        <v>10910</v>
      </c>
      <c r="L95" s="15" t="s">
        <v>231</v>
      </c>
      <c r="M95" s="15"/>
    </row>
    <row r="96" spans="1:13" hidden="1">
      <c r="A96" s="14">
        <v>95</v>
      </c>
      <c r="B96" s="42">
        <v>46033</v>
      </c>
      <c r="C96" s="12" t="s">
        <v>227</v>
      </c>
      <c r="D96" s="12"/>
      <c r="E96" s="12" t="s">
        <v>265</v>
      </c>
      <c r="F96" s="13">
        <v>0.69791666666666663</v>
      </c>
      <c r="G96" s="12" t="s">
        <v>274</v>
      </c>
      <c r="H96" s="13">
        <v>0.72222222222222221</v>
      </c>
      <c r="I96" s="26"/>
      <c r="J96" s="15"/>
      <c r="K96" s="22">
        <v>4640</v>
      </c>
      <c r="L96" s="15" t="s">
        <v>231</v>
      </c>
      <c r="M96" s="15"/>
    </row>
    <row r="97" spans="1:13" hidden="1">
      <c r="A97" s="14">
        <v>96</v>
      </c>
      <c r="B97" s="42">
        <v>46033</v>
      </c>
      <c r="C97" s="12" t="s">
        <v>227</v>
      </c>
      <c r="D97" s="12"/>
      <c r="E97" s="12" t="s">
        <v>274</v>
      </c>
      <c r="F97" s="13">
        <v>0.79166666666666663</v>
      </c>
      <c r="G97" s="12" t="s">
        <v>228</v>
      </c>
      <c r="H97" s="13">
        <v>0.88194444444444442</v>
      </c>
      <c r="I97" s="26"/>
      <c r="J97" s="15"/>
      <c r="K97" s="22">
        <v>10590</v>
      </c>
      <c r="L97" s="15" t="s">
        <v>231</v>
      </c>
      <c r="M97" s="15"/>
    </row>
    <row r="98" spans="1:13" hidden="1">
      <c r="A98" s="14">
        <v>97</v>
      </c>
      <c r="B98" s="42">
        <v>46046</v>
      </c>
      <c r="C98" s="12" t="s">
        <v>227</v>
      </c>
      <c r="D98" s="12"/>
      <c r="E98" s="12" t="s">
        <v>228</v>
      </c>
      <c r="F98" s="13">
        <v>0.2638888888888889</v>
      </c>
      <c r="G98" s="12" t="s">
        <v>274</v>
      </c>
      <c r="H98" s="13">
        <v>0.38541666666666669</v>
      </c>
      <c r="I98" s="26"/>
      <c r="J98" s="15"/>
      <c r="K98" s="22">
        <v>10590</v>
      </c>
      <c r="L98" s="15" t="s">
        <v>231</v>
      </c>
      <c r="M98" s="15"/>
    </row>
    <row r="99" spans="1:13" hidden="1">
      <c r="A99" s="14">
        <v>98</v>
      </c>
      <c r="B99" s="42">
        <v>46046</v>
      </c>
      <c r="C99" s="12" t="s">
        <v>227</v>
      </c>
      <c r="D99" s="12"/>
      <c r="E99" s="12" t="s">
        <v>274</v>
      </c>
      <c r="F99" s="13">
        <v>0.4548611111111111</v>
      </c>
      <c r="G99" s="12" t="s">
        <v>246</v>
      </c>
      <c r="H99" s="13">
        <v>0.49305555555555558</v>
      </c>
      <c r="I99" s="26"/>
      <c r="J99" s="15"/>
      <c r="K99" s="22">
        <v>5740</v>
      </c>
      <c r="L99" s="15" t="s">
        <v>231</v>
      </c>
      <c r="M99" s="15"/>
    </row>
    <row r="100" spans="1:13" hidden="1">
      <c r="A100" s="14">
        <v>99</v>
      </c>
      <c r="B100" s="42">
        <v>46046</v>
      </c>
      <c r="C100" s="12" t="s">
        <v>227</v>
      </c>
      <c r="D100" s="12"/>
      <c r="E100" s="12" t="s">
        <v>246</v>
      </c>
      <c r="F100" s="13">
        <v>0.52083333333333337</v>
      </c>
      <c r="G100" s="12" t="s">
        <v>274</v>
      </c>
      <c r="H100" s="13">
        <v>0.55555555555555558</v>
      </c>
      <c r="I100" s="26"/>
      <c r="J100" s="15"/>
      <c r="K100" s="22">
        <v>5740</v>
      </c>
      <c r="L100" s="15" t="s">
        <v>231</v>
      </c>
      <c r="M100" s="15"/>
    </row>
    <row r="101" spans="1:13" hidden="1">
      <c r="A101" s="14">
        <v>100</v>
      </c>
      <c r="B101" s="42">
        <v>46046</v>
      </c>
      <c r="C101" s="12" t="s">
        <v>227</v>
      </c>
      <c r="D101" s="12"/>
      <c r="E101" s="12" t="s">
        <v>274</v>
      </c>
      <c r="F101" s="13">
        <v>0.59375</v>
      </c>
      <c r="G101" s="12" t="s">
        <v>277</v>
      </c>
      <c r="H101" s="13">
        <v>0.63541666666666663</v>
      </c>
      <c r="I101" s="26"/>
      <c r="J101" s="15"/>
      <c r="K101" s="22">
        <v>9040</v>
      </c>
      <c r="L101" s="15" t="s">
        <v>231</v>
      </c>
      <c r="M101" s="15"/>
    </row>
    <row r="102" spans="1:13" hidden="1">
      <c r="A102" s="14">
        <v>101</v>
      </c>
      <c r="B102" s="42">
        <v>46046</v>
      </c>
      <c r="C102" s="12" t="s">
        <v>227</v>
      </c>
      <c r="D102" s="12"/>
      <c r="E102" s="12" t="s">
        <v>277</v>
      </c>
      <c r="F102" s="13">
        <v>0.65625</v>
      </c>
      <c r="G102" s="12" t="s">
        <v>274</v>
      </c>
      <c r="H102" s="13">
        <v>0.70138888888888884</v>
      </c>
      <c r="I102" s="26"/>
      <c r="J102" s="15"/>
      <c r="K102" s="22">
        <v>9040</v>
      </c>
      <c r="L102" s="15" t="s">
        <v>231</v>
      </c>
      <c r="M102" s="15"/>
    </row>
    <row r="103" spans="1:13" hidden="1">
      <c r="A103" s="14">
        <v>102</v>
      </c>
      <c r="B103" s="42">
        <v>46046</v>
      </c>
      <c r="C103" s="12" t="s">
        <v>227</v>
      </c>
      <c r="D103" s="12"/>
      <c r="E103" s="12" t="s">
        <v>274</v>
      </c>
      <c r="F103" s="13">
        <v>0.87152777777777779</v>
      </c>
      <c r="G103" s="12" t="s">
        <v>228</v>
      </c>
      <c r="H103" s="13">
        <v>0.96180555555555558</v>
      </c>
      <c r="I103" s="26"/>
      <c r="J103" s="15"/>
      <c r="K103" s="22">
        <v>10590</v>
      </c>
      <c r="L103" s="15" t="s">
        <v>231</v>
      </c>
      <c r="M103" s="15"/>
    </row>
    <row r="104" spans="1:13" hidden="1">
      <c r="A104" s="14">
        <v>103</v>
      </c>
      <c r="B104" s="42">
        <v>45981</v>
      </c>
      <c r="C104" s="12" t="s">
        <v>227</v>
      </c>
      <c r="D104" s="12"/>
      <c r="E104" s="12" t="s">
        <v>228</v>
      </c>
      <c r="F104" s="13"/>
      <c r="G104" s="12" t="s">
        <v>278</v>
      </c>
      <c r="H104" s="13"/>
      <c r="I104" s="26"/>
      <c r="J104" s="15"/>
      <c r="K104" s="22">
        <v>0</v>
      </c>
      <c r="L104" s="15" t="s">
        <v>231</v>
      </c>
      <c r="M104" s="15"/>
    </row>
    <row r="105" spans="1:13" hidden="1">
      <c r="A105" s="14">
        <v>104</v>
      </c>
      <c r="B105" s="42">
        <v>45983</v>
      </c>
      <c r="C105" s="12" t="s">
        <v>227</v>
      </c>
      <c r="D105" s="12"/>
      <c r="E105" s="12" t="s">
        <v>278</v>
      </c>
      <c r="F105" s="13"/>
      <c r="G105" s="12" t="s">
        <v>228</v>
      </c>
      <c r="H105" s="13"/>
      <c r="I105" s="26"/>
      <c r="J105" s="15"/>
      <c r="K105" s="22">
        <v>0</v>
      </c>
      <c r="L105" s="15" t="s">
        <v>231</v>
      </c>
      <c r="M105" s="15"/>
    </row>
    <row r="106" spans="1:13" hidden="1">
      <c r="A106" s="14">
        <v>105</v>
      </c>
      <c r="B106" s="42">
        <v>45985</v>
      </c>
      <c r="C106" s="12" t="s">
        <v>227</v>
      </c>
      <c r="D106" s="12"/>
      <c r="E106" s="12" t="s">
        <v>228</v>
      </c>
      <c r="F106" s="13"/>
      <c r="G106" s="12" t="s">
        <v>229</v>
      </c>
      <c r="H106" s="13"/>
      <c r="I106" s="26"/>
      <c r="J106" s="15"/>
      <c r="K106" s="22">
        <v>0</v>
      </c>
      <c r="L106" s="15" t="s">
        <v>231</v>
      </c>
      <c r="M106" s="15"/>
    </row>
    <row r="107" spans="1:13" hidden="1">
      <c r="A107" s="14">
        <v>106</v>
      </c>
      <c r="B107" s="42">
        <v>45986</v>
      </c>
      <c r="C107" s="12" t="s">
        <v>227</v>
      </c>
      <c r="D107" s="12"/>
      <c r="E107" s="12" t="s">
        <v>229</v>
      </c>
      <c r="F107" s="13"/>
      <c r="G107" s="12" t="s">
        <v>228</v>
      </c>
      <c r="H107" s="13"/>
      <c r="I107" s="26"/>
      <c r="J107" s="15"/>
      <c r="K107" s="22">
        <v>0</v>
      </c>
      <c r="L107" s="15" t="s">
        <v>231</v>
      </c>
      <c r="M107" s="15"/>
    </row>
    <row r="108" spans="1:13" hidden="1">
      <c r="A108" s="14">
        <v>107</v>
      </c>
      <c r="B108" s="42">
        <v>45987</v>
      </c>
      <c r="C108" s="12" t="s">
        <v>227</v>
      </c>
      <c r="D108" s="12"/>
      <c r="E108" s="12" t="s">
        <v>228</v>
      </c>
      <c r="F108" s="13"/>
      <c r="G108" s="12" t="s">
        <v>261</v>
      </c>
      <c r="H108" s="13"/>
      <c r="I108" s="26"/>
      <c r="J108" s="15"/>
      <c r="K108" s="22">
        <v>0</v>
      </c>
      <c r="L108" s="15" t="s">
        <v>231</v>
      </c>
      <c r="M108" s="15"/>
    </row>
    <row r="109" spans="1:13" hidden="1">
      <c r="A109" s="14">
        <v>108</v>
      </c>
      <c r="B109" s="42">
        <v>45988</v>
      </c>
      <c r="C109" s="12" t="s">
        <v>227</v>
      </c>
      <c r="D109" s="12"/>
      <c r="E109" s="12" t="s">
        <v>261</v>
      </c>
      <c r="F109" s="13"/>
      <c r="G109" s="12" t="s">
        <v>228</v>
      </c>
      <c r="H109" s="13"/>
      <c r="I109" s="26"/>
      <c r="J109" s="15"/>
      <c r="K109" s="22">
        <v>0</v>
      </c>
      <c r="L109" s="15" t="s">
        <v>231</v>
      </c>
      <c r="M109" s="15"/>
    </row>
    <row r="110" spans="1:13" hidden="1">
      <c r="A110" s="14">
        <v>109</v>
      </c>
      <c r="B110" s="42">
        <v>45992</v>
      </c>
      <c r="C110" s="12" t="s">
        <v>227</v>
      </c>
      <c r="D110" s="12"/>
      <c r="E110" s="12" t="s">
        <v>228</v>
      </c>
      <c r="F110" s="13"/>
      <c r="G110" s="12" t="s">
        <v>229</v>
      </c>
      <c r="H110" s="13"/>
      <c r="I110" s="26"/>
      <c r="J110" s="15"/>
      <c r="K110" s="22">
        <v>0</v>
      </c>
      <c r="L110" s="15" t="s">
        <v>231</v>
      </c>
      <c r="M110" s="15"/>
    </row>
    <row r="111" spans="1:13" hidden="1">
      <c r="A111" s="14">
        <v>110</v>
      </c>
      <c r="B111" s="42">
        <v>45993</v>
      </c>
      <c r="C111" s="12" t="s">
        <v>227</v>
      </c>
      <c r="D111" s="12"/>
      <c r="E111" s="12" t="s">
        <v>229</v>
      </c>
      <c r="F111" s="13"/>
      <c r="G111" s="12" t="s">
        <v>228</v>
      </c>
      <c r="H111" s="13"/>
      <c r="I111" s="26"/>
      <c r="J111" s="15"/>
      <c r="K111" s="22">
        <v>0</v>
      </c>
      <c r="L111" s="15" t="s">
        <v>231</v>
      </c>
      <c r="M111" s="15"/>
    </row>
    <row r="112" spans="1:13" hidden="1">
      <c r="A112" s="14">
        <v>111</v>
      </c>
      <c r="B112" s="42">
        <v>46059</v>
      </c>
      <c r="C112" s="12" t="s">
        <v>227</v>
      </c>
      <c r="D112" s="12">
        <v>303</v>
      </c>
      <c r="E112" s="12" t="s">
        <v>279</v>
      </c>
      <c r="F112" s="13">
        <v>0.2673611111111111</v>
      </c>
      <c r="G112" s="12" t="s">
        <v>229</v>
      </c>
      <c r="H112" s="13">
        <v>0.35416666666666669</v>
      </c>
      <c r="I112" s="26"/>
      <c r="J112" s="15"/>
      <c r="K112" s="22">
        <v>9360</v>
      </c>
      <c r="L112" s="15" t="s">
        <v>231</v>
      </c>
      <c r="M112" s="15"/>
    </row>
    <row r="113" spans="1:13" hidden="1">
      <c r="A113" s="14">
        <v>112</v>
      </c>
      <c r="B113" s="42">
        <v>46059</v>
      </c>
      <c r="C113" s="12" t="s">
        <v>227</v>
      </c>
      <c r="D113" s="12">
        <v>3581</v>
      </c>
      <c r="E113" s="12" t="s">
        <v>229</v>
      </c>
      <c r="F113" s="13">
        <v>0.37847222222222221</v>
      </c>
      <c r="G113" s="12" t="s">
        <v>259</v>
      </c>
      <c r="H113" s="13">
        <v>0.41319444444444442</v>
      </c>
      <c r="I113" s="26"/>
      <c r="J113" s="15"/>
      <c r="K113" s="22">
        <v>8910</v>
      </c>
      <c r="L113" s="15" t="s">
        <v>231</v>
      </c>
      <c r="M113" s="15"/>
    </row>
    <row r="114" spans="1:13" hidden="1">
      <c r="A114" s="14">
        <v>113</v>
      </c>
      <c r="B114" s="42">
        <v>46059</v>
      </c>
      <c r="C114" s="12" t="s">
        <v>227</v>
      </c>
      <c r="D114" s="12">
        <v>3582</v>
      </c>
      <c r="E114" s="12" t="s">
        <v>259</v>
      </c>
      <c r="F114" s="13">
        <v>0.43402777777777779</v>
      </c>
      <c r="G114" s="12" t="s">
        <v>229</v>
      </c>
      <c r="H114" s="13">
        <v>0.47916666666666669</v>
      </c>
      <c r="I114" s="26"/>
      <c r="J114" s="15"/>
      <c r="K114" s="22">
        <v>8910</v>
      </c>
      <c r="L114" s="15" t="s">
        <v>231</v>
      </c>
      <c r="M114" s="15"/>
    </row>
    <row r="115" spans="1:13" hidden="1">
      <c r="A115" s="14">
        <v>114</v>
      </c>
      <c r="B115" s="42">
        <v>46059</v>
      </c>
      <c r="C115" s="12" t="s">
        <v>227</v>
      </c>
      <c r="D115" s="12"/>
      <c r="E115" s="12" t="s">
        <v>229</v>
      </c>
      <c r="F115" s="13">
        <v>0.49305555555555558</v>
      </c>
      <c r="G115" s="12" t="s">
        <v>236</v>
      </c>
      <c r="H115" s="13">
        <v>0.52777777777777779</v>
      </c>
      <c r="I115" s="26"/>
      <c r="J115" s="15"/>
      <c r="K115" s="22">
        <v>19238</v>
      </c>
      <c r="L115" s="15" t="s">
        <v>231</v>
      </c>
      <c r="M115" s="15"/>
    </row>
    <row r="116" spans="1:13" hidden="1">
      <c r="A116" s="14">
        <v>115</v>
      </c>
      <c r="B116" s="42">
        <v>46059</v>
      </c>
      <c r="C116" s="12" t="s">
        <v>227</v>
      </c>
      <c r="D116" s="12"/>
      <c r="E116" s="12" t="s">
        <v>236</v>
      </c>
      <c r="F116" s="13">
        <v>0.54861111111111116</v>
      </c>
      <c r="G116" s="12" t="s">
        <v>229</v>
      </c>
      <c r="H116" s="13">
        <v>0.58333333333333337</v>
      </c>
      <c r="I116" s="26"/>
      <c r="J116" s="15"/>
      <c r="K116" s="22">
        <v>0</v>
      </c>
      <c r="L116" s="15" t="s">
        <v>231</v>
      </c>
      <c r="M116" s="15"/>
    </row>
    <row r="117" spans="1:13" hidden="1">
      <c r="A117" s="14">
        <v>118</v>
      </c>
      <c r="B117" s="42">
        <v>46059</v>
      </c>
      <c r="C117" s="12" t="s">
        <v>238</v>
      </c>
      <c r="D117" s="12">
        <v>63</v>
      </c>
      <c r="E117" s="12" t="s">
        <v>229</v>
      </c>
      <c r="F117" s="13">
        <v>0.73263888888888884</v>
      </c>
      <c r="G117" s="12" t="s">
        <v>280</v>
      </c>
      <c r="H117" s="13">
        <v>0.80902777777777779</v>
      </c>
      <c r="I117" s="26"/>
      <c r="J117" s="15"/>
      <c r="K117" s="22">
        <v>9150</v>
      </c>
      <c r="L117" s="15" t="s">
        <v>231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280</v>
      </c>
      <c r="F118" s="13">
        <v>0.60069444444444442</v>
      </c>
      <c r="G118" s="12" t="s">
        <v>246</v>
      </c>
      <c r="H118" s="13">
        <v>0.64236111111111116</v>
      </c>
      <c r="I118" s="26"/>
      <c r="J118" s="15"/>
      <c r="K118" s="22">
        <v>5740</v>
      </c>
      <c r="L118" s="15" t="s">
        <v>231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246</v>
      </c>
      <c r="F119" s="13">
        <v>0.67013888888888884</v>
      </c>
      <c r="G119" s="12" t="s">
        <v>280</v>
      </c>
      <c r="H119" s="13">
        <v>0.70486111111111116</v>
      </c>
      <c r="I119" s="26"/>
      <c r="J119" s="15"/>
      <c r="K119" s="22">
        <v>5740</v>
      </c>
      <c r="L119" s="15" t="s">
        <v>231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239</v>
      </c>
      <c r="F120" s="13">
        <v>0.72222222222222221</v>
      </c>
      <c r="G120" s="12" t="s">
        <v>265</v>
      </c>
      <c r="H120" s="13">
        <v>0.74652777777777779</v>
      </c>
      <c r="I120" s="26"/>
      <c r="J120" s="15"/>
      <c r="K120" s="22">
        <v>4640</v>
      </c>
      <c r="L120" s="15" t="s">
        <v>231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265</v>
      </c>
      <c r="F121" s="13">
        <v>0.76736111111111116</v>
      </c>
      <c r="G121" s="12" t="s">
        <v>239</v>
      </c>
      <c r="H121" s="13">
        <v>0.79513888888888884</v>
      </c>
      <c r="I121" s="26"/>
      <c r="J121" s="15"/>
      <c r="K121" s="22">
        <v>9260</v>
      </c>
      <c r="L121" s="15" t="s">
        <v>231</v>
      </c>
      <c r="M121" s="15"/>
    </row>
    <row r="122" spans="1:13" hidden="1">
      <c r="A122" s="14">
        <v>130</v>
      </c>
      <c r="B122" s="42">
        <v>46060</v>
      </c>
      <c r="C122" s="12" t="s">
        <v>238</v>
      </c>
      <c r="D122" s="12">
        <v>62</v>
      </c>
      <c r="E122" s="12" t="s">
        <v>280</v>
      </c>
      <c r="F122" s="13">
        <v>0.82291666666666663</v>
      </c>
      <c r="G122" s="12" t="s">
        <v>229</v>
      </c>
      <c r="H122" s="13">
        <v>0.89236111111111116</v>
      </c>
      <c r="I122" s="26"/>
      <c r="J122" s="15"/>
      <c r="K122" s="22">
        <v>10250</v>
      </c>
      <c r="L122" s="15" t="s">
        <v>231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229</v>
      </c>
      <c r="F123" s="13">
        <v>0.30208333333333331</v>
      </c>
      <c r="G123" s="12" t="s">
        <v>280</v>
      </c>
      <c r="H123" s="13">
        <v>0.37847222222222221</v>
      </c>
      <c r="I123" s="26"/>
      <c r="J123" s="15"/>
      <c r="K123" s="22">
        <v>10250</v>
      </c>
      <c r="L123" s="15" t="s">
        <v>231</v>
      </c>
      <c r="M123" s="15"/>
    </row>
    <row r="124" spans="1:13" hidden="1">
      <c r="A124" s="14">
        <v>132</v>
      </c>
      <c r="B124" s="42">
        <v>46061</v>
      </c>
      <c r="C124" s="12" t="s">
        <v>243</v>
      </c>
      <c r="D124" s="12">
        <v>873</v>
      </c>
      <c r="E124" s="12" t="s">
        <v>280</v>
      </c>
      <c r="F124" s="13">
        <v>0.41319444444444442</v>
      </c>
      <c r="G124" s="12" t="s">
        <v>265</v>
      </c>
      <c r="H124" s="13">
        <v>0.43402777777777779</v>
      </c>
      <c r="I124" s="26"/>
      <c r="J124" s="15"/>
      <c r="K124" s="22">
        <v>4640</v>
      </c>
      <c r="L124" s="15" t="s">
        <v>231</v>
      </c>
      <c r="M124" s="15"/>
    </row>
    <row r="125" spans="1:13" hidden="1">
      <c r="A125" s="14">
        <v>133</v>
      </c>
      <c r="B125" s="42">
        <v>46061</v>
      </c>
      <c r="C125" s="12" t="s">
        <v>243</v>
      </c>
      <c r="D125" s="12">
        <v>874</v>
      </c>
      <c r="E125" s="12" t="s">
        <v>265</v>
      </c>
      <c r="F125" s="13">
        <v>0.4548611111111111</v>
      </c>
      <c r="G125" s="12" t="s">
        <v>280</v>
      </c>
      <c r="H125" s="13">
        <v>0.4826388888888889</v>
      </c>
      <c r="I125" s="26"/>
      <c r="J125" s="15"/>
      <c r="K125" s="22">
        <v>6620</v>
      </c>
      <c r="L125" s="15" t="s">
        <v>231</v>
      </c>
      <c r="M125" s="15"/>
    </row>
    <row r="126" spans="1:13" hidden="1">
      <c r="A126" s="14">
        <v>134</v>
      </c>
      <c r="B126" s="42">
        <v>46061</v>
      </c>
      <c r="C126" s="12" t="s">
        <v>238</v>
      </c>
      <c r="D126" s="12">
        <v>559</v>
      </c>
      <c r="E126" s="12" t="s">
        <v>280</v>
      </c>
      <c r="F126" s="13">
        <v>0.50694444444444442</v>
      </c>
      <c r="G126" s="12" t="s">
        <v>246</v>
      </c>
      <c r="H126" s="13">
        <v>0.54861111111111116</v>
      </c>
      <c r="I126" s="26"/>
      <c r="J126" s="15"/>
      <c r="K126" s="22">
        <v>5740</v>
      </c>
      <c r="L126" s="15" t="s">
        <v>231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246</v>
      </c>
      <c r="F127" s="13">
        <v>0.57291666666666663</v>
      </c>
      <c r="G127" s="12" t="s">
        <v>280</v>
      </c>
      <c r="H127" s="13">
        <v>0.60763888888888884</v>
      </c>
      <c r="I127" s="26"/>
      <c r="J127" s="15"/>
      <c r="K127" s="22">
        <v>5740</v>
      </c>
      <c r="L127" s="15" t="s">
        <v>231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280</v>
      </c>
      <c r="F128" s="13">
        <v>0.625</v>
      </c>
      <c r="G128" s="12" t="s">
        <v>242</v>
      </c>
      <c r="H128" s="13">
        <v>0.67013888888888884</v>
      </c>
      <c r="I128" s="26"/>
      <c r="J128" s="15"/>
      <c r="K128" s="22">
        <v>5740</v>
      </c>
      <c r="L128" s="15" t="s">
        <v>231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242</v>
      </c>
      <c r="F129" s="13">
        <v>0.73958333333333337</v>
      </c>
      <c r="G129" s="12" t="s">
        <v>244</v>
      </c>
      <c r="H129" s="13">
        <v>0.76388888888888884</v>
      </c>
      <c r="I129" s="26"/>
      <c r="J129" s="15"/>
      <c r="K129" s="22">
        <v>6600</v>
      </c>
      <c r="L129" s="15" t="s">
        <v>231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244</v>
      </c>
      <c r="F130" s="13">
        <v>0.78472222222222221</v>
      </c>
      <c r="G130" s="12" t="s">
        <v>280</v>
      </c>
      <c r="H130" s="13">
        <v>0.83680555555555558</v>
      </c>
      <c r="I130" s="26"/>
      <c r="J130" s="15"/>
      <c r="K130" s="22">
        <v>10140</v>
      </c>
      <c r="L130" s="15" t="s">
        <v>231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280</v>
      </c>
      <c r="F131" s="13">
        <v>0.87152777777777779</v>
      </c>
      <c r="G131" s="12" t="s">
        <v>228</v>
      </c>
      <c r="H131" s="13">
        <v>0.96180555555555558</v>
      </c>
      <c r="I131" s="26"/>
      <c r="J131" s="15"/>
      <c r="K131" s="22">
        <v>10590</v>
      </c>
      <c r="L131" s="15" t="s">
        <v>231</v>
      </c>
      <c r="M131" s="15"/>
    </row>
    <row r="132" spans="1:13" hidden="1">
      <c r="A132" s="14">
        <v>140</v>
      </c>
      <c r="B132" s="42">
        <v>46063</v>
      </c>
      <c r="C132" s="12" t="s">
        <v>227</v>
      </c>
      <c r="D132" s="12">
        <v>331</v>
      </c>
      <c r="E132" s="12" t="s">
        <v>279</v>
      </c>
      <c r="F132" s="13">
        <v>0.77777777777777779</v>
      </c>
      <c r="G132" s="12" t="s">
        <v>229</v>
      </c>
      <c r="H132" s="13">
        <v>0.86111111111111116</v>
      </c>
      <c r="I132" s="26"/>
      <c r="J132" s="15"/>
      <c r="K132" s="22">
        <v>9360</v>
      </c>
      <c r="L132" s="15" t="s">
        <v>231</v>
      </c>
      <c r="M132" s="15"/>
    </row>
    <row r="133" spans="1:13" hidden="1">
      <c r="A133" s="14">
        <v>141</v>
      </c>
      <c r="B133" s="42">
        <v>46064</v>
      </c>
      <c r="C133" s="12" t="s">
        <v>238</v>
      </c>
      <c r="D133" s="12">
        <v>51</v>
      </c>
      <c r="E133" s="12" t="s">
        <v>229</v>
      </c>
      <c r="F133" s="13">
        <v>0.30208333333333331</v>
      </c>
      <c r="G133" s="12" t="s">
        <v>280</v>
      </c>
      <c r="H133" s="13">
        <v>0.37847222222222221</v>
      </c>
      <c r="I133" s="26"/>
      <c r="J133" s="15"/>
      <c r="K133" s="22">
        <v>10800</v>
      </c>
      <c r="L133" s="15" t="s">
        <v>231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280</v>
      </c>
      <c r="F134" s="13">
        <v>0.41319444444444442</v>
      </c>
      <c r="G134" s="12" t="s">
        <v>242</v>
      </c>
      <c r="H134" s="13">
        <v>0.4548611111111111</v>
      </c>
      <c r="I134" s="26"/>
      <c r="J134" s="15"/>
      <c r="K134" s="22">
        <v>5740</v>
      </c>
      <c r="L134" s="15" t="s">
        <v>231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242</v>
      </c>
      <c r="F135" s="13">
        <v>0.4826388888888889</v>
      </c>
      <c r="G135" s="12" t="s">
        <v>280</v>
      </c>
      <c r="H135" s="13">
        <v>0.52430555555555558</v>
      </c>
      <c r="I135" s="26"/>
      <c r="J135" s="15"/>
      <c r="K135" s="22">
        <v>5740</v>
      </c>
      <c r="L135" s="15" t="s">
        <v>231</v>
      </c>
      <c r="M135" s="15"/>
    </row>
    <row r="136" spans="1:13" hidden="1">
      <c r="A136" s="14">
        <v>144</v>
      </c>
      <c r="B136" s="42">
        <v>46064</v>
      </c>
      <c r="C136" s="12" t="s">
        <v>243</v>
      </c>
      <c r="D136" s="12">
        <v>727</v>
      </c>
      <c r="E136" s="12" t="s">
        <v>280</v>
      </c>
      <c r="F136" s="13">
        <v>0.61805555555555558</v>
      </c>
      <c r="G136" s="12" t="s">
        <v>244</v>
      </c>
      <c r="H136" s="13">
        <v>0.67708333333333337</v>
      </c>
      <c r="I136" s="26"/>
      <c r="J136" s="15"/>
      <c r="K136" s="22">
        <v>10140</v>
      </c>
      <c r="L136" s="15" t="s">
        <v>231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244</v>
      </c>
      <c r="F137" s="13">
        <v>0.69791666666666663</v>
      </c>
      <c r="G137" s="12" t="s">
        <v>242</v>
      </c>
      <c r="H137" s="13">
        <v>0.71875</v>
      </c>
      <c r="I137" s="26"/>
      <c r="J137" s="15"/>
      <c r="K137" s="22">
        <v>7040</v>
      </c>
      <c r="L137" s="15" t="s">
        <v>231</v>
      </c>
      <c r="M137" s="15"/>
    </row>
    <row r="138" spans="1:13" hidden="1">
      <c r="A138" s="14">
        <v>146</v>
      </c>
      <c r="B138" s="42">
        <v>46064</v>
      </c>
      <c r="C138" s="12" t="s">
        <v>227</v>
      </c>
      <c r="D138" s="12">
        <v>974</v>
      </c>
      <c r="E138" s="12" t="s">
        <v>242</v>
      </c>
      <c r="F138" s="13">
        <v>0.80902777777777779</v>
      </c>
      <c r="G138" s="12" t="s">
        <v>279</v>
      </c>
      <c r="H138" s="13">
        <v>0.91666666666666663</v>
      </c>
      <c r="I138" s="26"/>
      <c r="J138" s="15"/>
      <c r="K138" s="22">
        <v>10900</v>
      </c>
      <c r="L138" s="15" t="s">
        <v>231</v>
      </c>
      <c r="M138" s="15"/>
    </row>
    <row r="139" spans="1:13">
      <c r="A139" s="14">
        <v>147</v>
      </c>
      <c r="B139" s="42">
        <v>46074</v>
      </c>
      <c r="C139" s="12" t="s">
        <v>227</v>
      </c>
      <c r="D139" s="12">
        <v>325</v>
      </c>
      <c r="E139" s="12" t="s">
        <v>279</v>
      </c>
      <c r="F139" s="13">
        <v>0.65972222222222221</v>
      </c>
      <c r="G139" s="12" t="s">
        <v>229</v>
      </c>
      <c r="H139" s="13">
        <v>0.74652777777777779</v>
      </c>
      <c r="I139" s="26"/>
      <c r="J139" s="15"/>
      <c r="K139" s="22">
        <f>10460+18600-10010</f>
        <v>19050</v>
      </c>
      <c r="L139" s="15"/>
      <c r="M139" s="15" t="s">
        <v>281</v>
      </c>
    </row>
    <row r="140" spans="1:13">
      <c r="A140" s="14">
        <v>148</v>
      </c>
      <c r="B140" s="42">
        <v>46074</v>
      </c>
      <c r="C140" s="12" t="s">
        <v>227</v>
      </c>
      <c r="D140" s="12">
        <v>3639</v>
      </c>
      <c r="E140" s="12" t="s">
        <v>229</v>
      </c>
      <c r="F140" s="13">
        <v>0.80208333333333337</v>
      </c>
      <c r="G140" s="12" t="s">
        <v>236</v>
      </c>
      <c r="H140" s="13">
        <v>0.83333333333333337</v>
      </c>
      <c r="I140" s="26"/>
      <c r="J140" s="15"/>
      <c r="K140" s="22">
        <v>11020</v>
      </c>
      <c r="L140" s="15"/>
      <c r="M140" s="15"/>
    </row>
    <row r="141" spans="1:13">
      <c r="A141" s="14">
        <v>149</v>
      </c>
      <c r="B141" s="42">
        <v>46074</v>
      </c>
      <c r="C141" s="12" t="s">
        <v>227</v>
      </c>
      <c r="D141" s="12">
        <v>3642</v>
      </c>
      <c r="E141" s="12" t="s">
        <v>236</v>
      </c>
      <c r="F141" s="13">
        <v>0.85763888888888884</v>
      </c>
      <c r="G141" s="12" t="s">
        <v>229</v>
      </c>
      <c r="H141" s="13">
        <v>0.89583333333333337</v>
      </c>
      <c r="I141" s="26"/>
      <c r="J141" s="15"/>
      <c r="K141" s="22">
        <v>0</v>
      </c>
      <c r="L141" s="15"/>
      <c r="M141" s="15"/>
    </row>
    <row r="142" spans="1:13">
      <c r="A142" s="14">
        <v>150</v>
      </c>
      <c r="B142" s="42">
        <v>46075</v>
      </c>
      <c r="C142" s="12" t="s">
        <v>238</v>
      </c>
      <c r="D142" s="12">
        <v>51</v>
      </c>
      <c r="E142" s="12" t="s">
        <v>229</v>
      </c>
      <c r="F142" s="13">
        <v>0.30208333333333331</v>
      </c>
      <c r="G142" s="12" t="s">
        <v>280</v>
      </c>
      <c r="H142" s="13">
        <v>0.37847222222222221</v>
      </c>
      <c r="I142" s="26"/>
      <c r="J142" s="15"/>
      <c r="K142" s="22">
        <v>12670</v>
      </c>
      <c r="L142" s="15"/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280</v>
      </c>
      <c r="F143" s="13">
        <v>0.44791666666666669</v>
      </c>
      <c r="G143" s="12" t="s">
        <v>242</v>
      </c>
      <c r="H143" s="13">
        <v>0.49305555555555558</v>
      </c>
      <c r="I143" s="26"/>
      <c r="J143" s="15"/>
      <c r="K143" s="22">
        <v>5740</v>
      </c>
      <c r="L143" s="15"/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242</v>
      </c>
      <c r="F144" s="13">
        <v>0.52083333333333337</v>
      </c>
      <c r="G144" s="12" t="s">
        <v>280</v>
      </c>
      <c r="H144" s="13">
        <v>0.5625</v>
      </c>
      <c r="I144" s="26"/>
      <c r="J144" s="15"/>
      <c r="K144" s="22">
        <v>5740</v>
      </c>
      <c r="L144" s="15"/>
      <c r="M144" s="15"/>
    </row>
    <row r="145" spans="1:13">
      <c r="A145" s="14">
        <v>153</v>
      </c>
      <c r="B145" s="42">
        <v>46075</v>
      </c>
      <c r="C145" s="12" t="s">
        <v>238</v>
      </c>
      <c r="D145" s="12">
        <v>563</v>
      </c>
      <c r="E145" s="12" t="s">
        <v>280</v>
      </c>
      <c r="F145" s="13">
        <v>0.60069444444444442</v>
      </c>
      <c r="G145" s="12" t="s">
        <v>246</v>
      </c>
      <c r="H145" s="13">
        <v>0.64236111111111116</v>
      </c>
      <c r="I145" s="26"/>
      <c r="J145" s="15"/>
      <c r="K145" s="22">
        <v>5740</v>
      </c>
      <c r="L145" s="15"/>
      <c r="M145" s="15"/>
    </row>
    <row r="146" spans="1:13">
      <c r="A146" s="14">
        <v>154</v>
      </c>
      <c r="B146" s="42">
        <v>46075</v>
      </c>
      <c r="C146" s="12" t="s">
        <v>243</v>
      </c>
      <c r="D146" s="12">
        <v>897</v>
      </c>
      <c r="E146" s="12" t="s">
        <v>246</v>
      </c>
      <c r="F146" s="13">
        <v>0.65972222222222221</v>
      </c>
      <c r="G146" s="12" t="s">
        <v>247</v>
      </c>
      <c r="H146" s="13">
        <v>0.67708333333333337</v>
      </c>
      <c r="I146" s="26"/>
      <c r="J146" s="15"/>
      <c r="K146" s="22">
        <v>9350</v>
      </c>
      <c r="L146" s="15"/>
      <c r="M146" s="15"/>
    </row>
    <row r="147" spans="1:13">
      <c r="A147" s="14">
        <v>155</v>
      </c>
      <c r="B147" s="42">
        <v>46075</v>
      </c>
      <c r="C147" s="12" t="s">
        <v>243</v>
      </c>
      <c r="D147" s="12">
        <v>898</v>
      </c>
      <c r="E147" s="12" t="s">
        <v>247</v>
      </c>
      <c r="F147" s="13">
        <v>0.70138888888888884</v>
      </c>
      <c r="G147" s="12" t="s">
        <v>246</v>
      </c>
      <c r="H147" s="13">
        <v>0.71875</v>
      </c>
      <c r="I147" s="26"/>
      <c r="J147" s="15"/>
      <c r="K147" s="22">
        <v>5500</v>
      </c>
      <c r="L147" s="15"/>
      <c r="M147" s="15"/>
    </row>
    <row r="148" spans="1:13">
      <c r="A148" s="14">
        <v>156</v>
      </c>
      <c r="B148" s="42">
        <v>46075</v>
      </c>
      <c r="C148" s="12" t="s">
        <v>243</v>
      </c>
      <c r="D148" s="12">
        <v>839</v>
      </c>
      <c r="E148" s="12" t="s">
        <v>246</v>
      </c>
      <c r="F148" s="13">
        <v>0.73958333333333337</v>
      </c>
      <c r="G148" s="12" t="s">
        <v>242</v>
      </c>
      <c r="H148" s="13">
        <v>0.76041666666666663</v>
      </c>
      <c r="I148" s="26"/>
      <c r="J148" s="15"/>
      <c r="K148" s="22">
        <v>14520</v>
      </c>
      <c r="L148" s="15"/>
      <c r="M148" s="15"/>
    </row>
    <row r="149" spans="1:13">
      <c r="A149" s="14">
        <v>157</v>
      </c>
      <c r="B149" s="42">
        <v>46075</v>
      </c>
      <c r="C149" s="12" t="s">
        <v>227</v>
      </c>
      <c r="D149" s="12">
        <v>974</v>
      </c>
      <c r="E149" s="12" t="s">
        <v>242</v>
      </c>
      <c r="F149" s="13">
        <v>0.80902777777777779</v>
      </c>
      <c r="G149" s="12" t="s">
        <v>279</v>
      </c>
      <c r="H149" s="13">
        <v>0.91666666666666663</v>
      </c>
      <c r="I149" s="26"/>
      <c r="J149" s="15"/>
      <c r="K149" s="22">
        <v>10900</v>
      </c>
      <c r="L149" s="15"/>
      <c r="M149" s="15"/>
    </row>
    <row r="150" spans="1:13">
      <c r="A150" s="14">
        <v>158</v>
      </c>
      <c r="B150" s="42">
        <v>46078</v>
      </c>
      <c r="C150" s="12" t="s">
        <v>227</v>
      </c>
      <c r="D150" s="12">
        <v>303</v>
      </c>
      <c r="E150" s="12" t="s">
        <v>279</v>
      </c>
      <c r="F150" s="13">
        <v>0.2673611111111111</v>
      </c>
      <c r="G150" s="12" t="s">
        <v>229</v>
      </c>
      <c r="H150" s="13">
        <v>0.35416666666666669</v>
      </c>
      <c r="I150" s="26"/>
      <c r="J150" s="15"/>
      <c r="K150" s="22">
        <v>9360</v>
      </c>
      <c r="L150" s="15"/>
      <c r="M150" s="15"/>
    </row>
    <row r="151" spans="1:13">
      <c r="A151" s="14">
        <v>159</v>
      </c>
      <c r="B151" s="42">
        <v>46078</v>
      </c>
      <c r="C151" s="12" t="s">
        <v>227</v>
      </c>
      <c r="D151" s="12">
        <v>3581</v>
      </c>
      <c r="E151" s="12" t="s">
        <v>229</v>
      </c>
      <c r="F151" s="13">
        <v>0.37847222222222221</v>
      </c>
      <c r="G151" s="12" t="s">
        <v>259</v>
      </c>
      <c r="H151" s="13">
        <v>0.41319444444444442</v>
      </c>
      <c r="I151" s="26"/>
      <c r="J151" s="15"/>
      <c r="K151" s="22">
        <v>8910</v>
      </c>
      <c r="L151" s="15"/>
      <c r="M151" s="15"/>
    </row>
    <row r="152" spans="1:13">
      <c r="A152" s="14">
        <v>160</v>
      </c>
      <c r="B152" s="42">
        <v>46078</v>
      </c>
      <c r="C152" s="12" t="s">
        <v>227</v>
      </c>
      <c r="D152" s="12">
        <v>3582</v>
      </c>
      <c r="E152" s="12" t="s">
        <v>259</v>
      </c>
      <c r="F152" s="13">
        <v>0.43402777777777779</v>
      </c>
      <c r="G152" s="12" t="s">
        <v>229</v>
      </c>
      <c r="H152" s="13">
        <v>0.47916666666666669</v>
      </c>
      <c r="I152" s="26"/>
      <c r="J152" s="15"/>
      <c r="K152" s="22">
        <v>8910</v>
      </c>
      <c r="L152" s="15"/>
      <c r="M152" s="15"/>
    </row>
    <row r="153" spans="1:13">
      <c r="A153" s="14">
        <v>161</v>
      </c>
      <c r="B153" s="42">
        <v>46078</v>
      </c>
      <c r="C153" s="12" t="s">
        <v>238</v>
      </c>
      <c r="D153" s="12">
        <v>57</v>
      </c>
      <c r="E153" s="12" t="s">
        <v>229</v>
      </c>
      <c r="F153" s="13">
        <v>0.54166666666666663</v>
      </c>
      <c r="G153" s="12" t="s">
        <v>280</v>
      </c>
      <c r="H153" s="13">
        <v>0.625</v>
      </c>
      <c r="I153" s="26"/>
      <c r="J153" s="15"/>
      <c r="K153" s="22">
        <v>9150</v>
      </c>
      <c r="L153" s="15"/>
      <c r="M153" s="15"/>
    </row>
    <row r="154" spans="1:13">
      <c r="A154" s="14">
        <v>162</v>
      </c>
      <c r="B154" s="42">
        <v>46078</v>
      </c>
      <c r="C154" s="12" t="s">
        <v>238</v>
      </c>
      <c r="D154" s="12">
        <v>565</v>
      </c>
      <c r="E154" s="12" t="s">
        <v>280</v>
      </c>
      <c r="F154" s="13">
        <v>0.65277777777777779</v>
      </c>
      <c r="G154" s="12" t="s">
        <v>246</v>
      </c>
      <c r="H154" s="13">
        <v>0.69097222222222221</v>
      </c>
      <c r="I154" s="26"/>
      <c r="J154" s="15"/>
      <c r="K154" s="22">
        <v>4640</v>
      </c>
      <c r="L154" s="15"/>
      <c r="M154" s="15"/>
    </row>
    <row r="155" spans="1:13">
      <c r="A155" s="14">
        <v>163</v>
      </c>
      <c r="B155" s="42">
        <v>46078</v>
      </c>
      <c r="C155" s="12" t="s">
        <v>238</v>
      </c>
      <c r="D155" s="12">
        <v>564</v>
      </c>
      <c r="E155" s="12" t="s">
        <v>246</v>
      </c>
      <c r="F155" s="13">
        <v>0.71875</v>
      </c>
      <c r="G155" s="12" t="s">
        <v>280</v>
      </c>
      <c r="H155" s="13">
        <v>0.75347222222222221</v>
      </c>
      <c r="I155" s="26"/>
      <c r="J155" s="15"/>
      <c r="K155" s="22">
        <v>4640</v>
      </c>
      <c r="L155" s="15"/>
      <c r="M155" s="15"/>
    </row>
    <row r="156" spans="1:13">
      <c r="A156" s="14">
        <v>164</v>
      </c>
      <c r="B156" s="42">
        <v>46078</v>
      </c>
      <c r="C156" s="12" t="s">
        <v>227</v>
      </c>
      <c r="D156" s="12">
        <v>920</v>
      </c>
      <c r="E156" s="12" t="s">
        <v>280</v>
      </c>
      <c r="F156" s="13">
        <v>0.82986111111111116</v>
      </c>
      <c r="G156" s="12" t="s">
        <v>279</v>
      </c>
      <c r="H156" s="13">
        <v>0.92013888888888884</v>
      </c>
      <c r="I156" s="26"/>
      <c r="J156" s="15"/>
      <c r="K156" s="22">
        <v>10590</v>
      </c>
      <c r="L156" s="15"/>
      <c r="M156" s="15"/>
    </row>
    <row r="157" spans="1:13" hidden="1">
      <c r="A157" s="14">
        <v>165</v>
      </c>
      <c r="B157" s="42">
        <v>46012</v>
      </c>
      <c r="C157" s="12" t="s">
        <v>227</v>
      </c>
      <c r="D157" s="12"/>
      <c r="E157" s="12" t="s">
        <v>228</v>
      </c>
      <c r="F157" s="13"/>
      <c r="G157" s="12" t="s">
        <v>229</v>
      </c>
      <c r="H157" s="13"/>
      <c r="I157" s="26"/>
      <c r="J157" s="15"/>
      <c r="K157" s="22">
        <v>0</v>
      </c>
      <c r="L157" s="15" t="s">
        <v>231</v>
      </c>
      <c r="M157" s="15"/>
    </row>
    <row r="158" spans="1:13" hidden="1">
      <c r="A158" s="14">
        <v>166</v>
      </c>
      <c r="B158" s="42">
        <v>46013</v>
      </c>
      <c r="C158" s="12" t="s">
        <v>227</v>
      </c>
      <c r="D158" s="12"/>
      <c r="E158" s="12" t="s">
        <v>229</v>
      </c>
      <c r="F158" s="13"/>
      <c r="G158" s="12" t="s">
        <v>228</v>
      </c>
      <c r="H158" s="13"/>
      <c r="I158" s="26"/>
      <c r="J158" s="15"/>
      <c r="K158" s="22">
        <v>0</v>
      </c>
      <c r="L158" s="15" t="s">
        <v>231</v>
      </c>
      <c r="M158" s="15"/>
    </row>
    <row r="159" spans="1:13" hidden="1">
      <c r="A159" s="14">
        <v>167</v>
      </c>
      <c r="B159" s="42">
        <v>46009</v>
      </c>
      <c r="C159" s="12" t="s">
        <v>227</v>
      </c>
      <c r="D159" s="12"/>
      <c r="E159" s="12" t="s">
        <v>228</v>
      </c>
      <c r="F159" s="13"/>
      <c r="G159" s="12" t="s">
        <v>282</v>
      </c>
      <c r="H159" s="13"/>
      <c r="I159" s="26"/>
      <c r="J159" s="15"/>
      <c r="K159" s="22">
        <v>0</v>
      </c>
      <c r="L159" s="15" t="s">
        <v>231</v>
      </c>
      <c r="M159" s="15"/>
    </row>
    <row r="160" spans="1:13" hidden="1">
      <c r="A160" s="14">
        <v>168</v>
      </c>
      <c r="B160" s="42">
        <v>46010</v>
      </c>
      <c r="C160" s="12" t="s">
        <v>227</v>
      </c>
      <c r="D160" s="12"/>
      <c r="E160" s="12" t="s">
        <v>282</v>
      </c>
      <c r="F160" s="13"/>
      <c r="G160" s="12" t="s">
        <v>228</v>
      </c>
      <c r="H160" s="13"/>
      <c r="I160" s="26"/>
      <c r="J160" s="15"/>
      <c r="K160" s="22">
        <v>0</v>
      </c>
      <c r="L160" s="15" t="s">
        <v>231</v>
      </c>
      <c r="M160" s="15"/>
    </row>
    <row r="161" spans="1:13" hidden="1">
      <c r="A161" s="14">
        <v>169</v>
      </c>
      <c r="B161" s="42">
        <v>46037</v>
      </c>
      <c r="C161" s="12" t="s">
        <v>227</v>
      </c>
      <c r="D161" s="12"/>
      <c r="E161" s="12" t="s">
        <v>228</v>
      </c>
      <c r="F161" s="13"/>
      <c r="G161" s="12" t="s">
        <v>283</v>
      </c>
      <c r="H161" s="13"/>
      <c r="I161" s="26"/>
      <c r="J161" s="15"/>
      <c r="K161" s="22">
        <v>0</v>
      </c>
      <c r="L161" s="15" t="s">
        <v>231</v>
      </c>
      <c r="M161" s="15"/>
    </row>
    <row r="162" spans="1:13" hidden="1">
      <c r="A162" s="14">
        <v>170</v>
      </c>
      <c r="B162" s="42">
        <v>46037</v>
      </c>
      <c r="C162" s="12" t="s">
        <v>227</v>
      </c>
      <c r="D162" s="12"/>
      <c r="E162" s="12" t="s">
        <v>283</v>
      </c>
      <c r="F162" s="13"/>
      <c r="G162" s="12" t="s">
        <v>228</v>
      </c>
      <c r="H162" s="13"/>
      <c r="I162" s="26"/>
      <c r="J162" s="15"/>
      <c r="K162" s="22">
        <v>0</v>
      </c>
      <c r="L162" s="15" t="s">
        <v>231</v>
      </c>
      <c r="M162" s="15"/>
    </row>
    <row r="163" spans="1:13" hidden="1">
      <c r="A163" s="14">
        <v>171</v>
      </c>
      <c r="B163" s="42">
        <v>46028</v>
      </c>
      <c r="C163" s="12" t="s">
        <v>227</v>
      </c>
      <c r="D163" s="12"/>
      <c r="E163" s="12" t="s">
        <v>228</v>
      </c>
      <c r="F163" s="13"/>
      <c r="G163" s="12" t="s">
        <v>284</v>
      </c>
      <c r="H163" s="13"/>
      <c r="I163" s="26"/>
      <c r="J163" s="15"/>
      <c r="K163" s="22">
        <v>0</v>
      </c>
      <c r="L163" s="15" t="s">
        <v>231</v>
      </c>
      <c r="M163" s="15"/>
    </row>
    <row r="164" spans="1:13" hidden="1">
      <c r="A164" s="14">
        <v>172</v>
      </c>
      <c r="B164" s="42">
        <v>46030</v>
      </c>
      <c r="C164" s="12" t="s">
        <v>227</v>
      </c>
      <c r="D164" s="12"/>
      <c r="E164" s="12" t="s">
        <v>284</v>
      </c>
      <c r="F164" s="13"/>
      <c r="G164" s="12" t="s">
        <v>228</v>
      </c>
      <c r="H164" s="13"/>
      <c r="I164" s="26"/>
      <c r="J164" s="15"/>
      <c r="K164" s="22">
        <v>0</v>
      </c>
      <c r="L164" s="15" t="s">
        <v>231</v>
      </c>
      <c r="M164" s="15"/>
    </row>
    <row r="165" spans="1:13" hidden="1">
      <c r="A165" s="14">
        <v>173</v>
      </c>
      <c r="B165" s="42">
        <v>46091</v>
      </c>
      <c r="C165" s="12" t="s">
        <v>227</v>
      </c>
      <c r="D165" s="12" t="s">
        <v>285</v>
      </c>
      <c r="E165" s="12" t="s">
        <v>279</v>
      </c>
      <c r="F165" s="13">
        <v>0.2638888888888889</v>
      </c>
      <c r="G165" s="12" t="s">
        <v>280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238</v>
      </c>
      <c r="D166" s="12" t="s">
        <v>286</v>
      </c>
      <c r="E166" s="12" t="s">
        <v>280</v>
      </c>
      <c r="F166" s="13">
        <v>0.40625</v>
      </c>
      <c r="G166" s="12" t="s">
        <v>242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243</v>
      </c>
      <c r="D167" s="12" t="s">
        <v>287</v>
      </c>
      <c r="E167" s="12" t="s">
        <v>242</v>
      </c>
      <c r="F167" s="13">
        <v>0.52430555555555558</v>
      </c>
      <c r="G167" s="12" t="s">
        <v>244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243</v>
      </c>
      <c r="D168" s="12" t="s">
        <v>288</v>
      </c>
      <c r="E168" s="12" t="s">
        <v>244</v>
      </c>
      <c r="F168" s="13">
        <v>0.56597222222222221</v>
      </c>
      <c r="G168" s="12" t="s">
        <v>242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243</v>
      </c>
      <c r="D169" s="12" t="s">
        <v>289</v>
      </c>
      <c r="E169" s="12" t="s">
        <v>242</v>
      </c>
      <c r="F169" s="13">
        <v>0.61111111111111116</v>
      </c>
      <c r="G169" s="12" t="s">
        <v>246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243</v>
      </c>
      <c r="D170" s="12" t="s">
        <v>290</v>
      </c>
      <c r="E170" s="12" t="s">
        <v>246</v>
      </c>
      <c r="F170" s="13">
        <v>0.65625</v>
      </c>
      <c r="G170" s="12" t="s">
        <v>247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243</v>
      </c>
      <c r="D171" s="12" t="s">
        <v>291</v>
      </c>
      <c r="E171" s="12" t="s">
        <v>247</v>
      </c>
      <c r="F171" s="13">
        <v>0.69791666666666663</v>
      </c>
      <c r="G171" s="12" t="s">
        <v>246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243</v>
      </c>
      <c r="D172" s="12" t="s">
        <v>292</v>
      </c>
      <c r="E172" s="12" t="s">
        <v>246</v>
      </c>
      <c r="F172" s="13">
        <v>0.73611111111111116</v>
      </c>
      <c r="G172" s="12" t="s">
        <v>242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238</v>
      </c>
      <c r="D173" s="12" t="s">
        <v>293</v>
      </c>
      <c r="E173" s="12" t="s">
        <v>242</v>
      </c>
      <c r="F173" s="13">
        <v>0.78472222222222221</v>
      </c>
      <c r="G173" s="12" t="s">
        <v>280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227</v>
      </c>
      <c r="D174" s="12" t="s">
        <v>294</v>
      </c>
      <c r="E174" s="12" t="s">
        <v>280</v>
      </c>
      <c r="F174" s="13">
        <v>0.86805555555555558</v>
      </c>
      <c r="G174" s="12" t="s">
        <v>279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227</v>
      </c>
      <c r="D175" s="12"/>
      <c r="E175" s="12" t="s">
        <v>228</v>
      </c>
      <c r="F175" s="13">
        <v>0.40277777777777779</v>
      </c>
      <c r="G175" s="12" t="s">
        <v>239</v>
      </c>
      <c r="H175" s="13">
        <v>0.52777777777777779</v>
      </c>
      <c r="I175" s="26"/>
      <c r="J175" s="15"/>
      <c r="K175" s="22">
        <v>0</v>
      </c>
      <c r="L175" s="15" t="s">
        <v>231</v>
      </c>
      <c r="M175" s="15"/>
    </row>
    <row r="176" spans="1:13" hidden="1">
      <c r="A176" s="14">
        <v>184</v>
      </c>
      <c r="B176" s="42">
        <v>46050</v>
      </c>
      <c r="C176" s="12" t="s">
        <v>227</v>
      </c>
      <c r="D176" s="12"/>
      <c r="E176" s="12" t="s">
        <v>274</v>
      </c>
      <c r="F176" s="13">
        <v>0.47569444444444442</v>
      </c>
      <c r="G176" s="12" t="s">
        <v>228</v>
      </c>
      <c r="H176" s="13">
        <v>0.56597222222222221</v>
      </c>
      <c r="I176" s="26"/>
      <c r="J176" s="15"/>
      <c r="K176" s="22">
        <v>0</v>
      </c>
      <c r="L176" s="15" t="s">
        <v>231</v>
      </c>
      <c r="M176" s="15"/>
    </row>
    <row r="177" spans="1:13" hidden="1">
      <c r="A177" s="14">
        <v>185</v>
      </c>
      <c r="B177" s="42">
        <v>46055</v>
      </c>
      <c r="C177" s="12" t="s">
        <v>227</v>
      </c>
      <c r="D177" s="12"/>
      <c r="E177" s="12" t="s">
        <v>279</v>
      </c>
      <c r="F177" s="13">
        <v>0.49652777777777779</v>
      </c>
      <c r="G177" s="12" t="s">
        <v>280</v>
      </c>
      <c r="H177" s="13">
        <v>0.61805555555555558</v>
      </c>
      <c r="I177" s="26"/>
      <c r="J177" s="15"/>
      <c r="K177" s="22">
        <v>0</v>
      </c>
      <c r="L177" s="15" t="s">
        <v>231</v>
      </c>
      <c r="M177" s="15"/>
    </row>
    <row r="178" spans="1:13" hidden="1">
      <c r="A178" s="14">
        <v>186</v>
      </c>
      <c r="B178" s="42">
        <v>46057</v>
      </c>
      <c r="C178" s="12" t="s">
        <v>227</v>
      </c>
      <c r="D178" s="12"/>
      <c r="E178" s="12" t="s">
        <v>280</v>
      </c>
      <c r="F178" s="13">
        <v>0.47569444444444442</v>
      </c>
      <c r="G178" s="12" t="s">
        <v>279</v>
      </c>
      <c r="H178" s="13">
        <v>0.56597222222222221</v>
      </c>
      <c r="I178" s="26"/>
      <c r="J178" s="15"/>
      <c r="K178" s="22">
        <v>0</v>
      </c>
      <c r="L178" s="15" t="s">
        <v>231</v>
      </c>
      <c r="M178" s="15"/>
    </row>
    <row r="179" spans="1:13" hidden="1">
      <c r="A179" s="14">
        <v>187</v>
      </c>
      <c r="B179" s="42">
        <v>46062</v>
      </c>
      <c r="C179" s="12" t="s">
        <v>227</v>
      </c>
      <c r="D179" s="12"/>
      <c r="E179" s="12" t="s">
        <v>279</v>
      </c>
      <c r="F179" s="13">
        <v>0.32291666666666669</v>
      </c>
      <c r="G179" s="12" t="s">
        <v>272</v>
      </c>
      <c r="H179" s="13">
        <v>0.38194444444444442</v>
      </c>
      <c r="I179" s="26"/>
      <c r="J179" s="15"/>
      <c r="K179" s="22">
        <v>0</v>
      </c>
      <c r="L179" s="15" t="s">
        <v>231</v>
      </c>
      <c r="M179" s="15"/>
    </row>
    <row r="180" spans="1:13" hidden="1">
      <c r="A180" s="14">
        <v>188</v>
      </c>
      <c r="B180" s="42">
        <v>46063</v>
      </c>
      <c r="C180" s="12" t="s">
        <v>227</v>
      </c>
      <c r="D180" s="12"/>
      <c r="E180" s="12" t="s">
        <v>272</v>
      </c>
      <c r="F180" s="13">
        <v>0.2986111111111111</v>
      </c>
      <c r="G180" s="12" t="s">
        <v>279</v>
      </c>
      <c r="H180" s="13">
        <v>0.35069444444444442</v>
      </c>
      <c r="I180" s="26"/>
      <c r="J180" s="15"/>
      <c r="K180" s="22">
        <v>0</v>
      </c>
      <c r="L180" s="15" t="s">
        <v>231</v>
      </c>
      <c r="M180" s="15"/>
    </row>
    <row r="181" spans="1:13" hidden="1">
      <c r="A181" s="14">
        <v>189</v>
      </c>
      <c r="B181" s="42">
        <v>46125</v>
      </c>
      <c r="C181" s="12" t="s">
        <v>227</v>
      </c>
      <c r="D181" s="12">
        <v>585</v>
      </c>
      <c r="E181" s="12" t="s">
        <v>279</v>
      </c>
      <c r="F181" s="13">
        <v>0.3125</v>
      </c>
      <c r="G181" s="12" t="s">
        <v>295</v>
      </c>
      <c r="H181" s="13">
        <v>0.36805555555555558</v>
      </c>
      <c r="I181" s="26">
        <v>0.12152777777777778</v>
      </c>
      <c r="J181" s="15" t="s">
        <v>296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297</v>
      </c>
      <c r="D182" s="12">
        <v>2791</v>
      </c>
      <c r="E182" s="12" t="s">
        <v>295</v>
      </c>
      <c r="F182" s="13">
        <v>0.48958333333333331</v>
      </c>
      <c r="G182" s="12" t="s">
        <v>298</v>
      </c>
      <c r="H182" s="13">
        <v>0.51041666666666663</v>
      </c>
      <c r="I182" s="26">
        <v>2.0833333333333332E-2</v>
      </c>
      <c r="J182" s="15" t="s">
        <v>296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297</v>
      </c>
      <c r="D183" s="12">
        <v>2792</v>
      </c>
      <c r="E183" s="12" t="s">
        <v>298</v>
      </c>
      <c r="F183" s="13">
        <v>0.53125</v>
      </c>
      <c r="G183" s="12" t="s">
        <v>295</v>
      </c>
      <c r="H183" s="13">
        <v>0.55208333333333337</v>
      </c>
      <c r="I183" s="26">
        <v>2.0833333333333332E-2</v>
      </c>
      <c r="J183" s="15" t="s">
        <v>296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297</v>
      </c>
      <c r="D184" s="12">
        <v>2748</v>
      </c>
      <c r="E184" s="12" t="s">
        <v>295</v>
      </c>
      <c r="F184" s="13">
        <v>0.57291666666666663</v>
      </c>
      <c r="G184" s="12" t="s">
        <v>299</v>
      </c>
      <c r="H184" s="13">
        <v>0.60069444444444442</v>
      </c>
      <c r="I184" s="26">
        <v>3.125E-2</v>
      </c>
      <c r="J184" s="15" t="s">
        <v>296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297</v>
      </c>
      <c r="D185" s="12">
        <v>2737</v>
      </c>
      <c r="E185" s="12" t="s">
        <v>299</v>
      </c>
      <c r="F185" s="13">
        <v>0.63194444444444442</v>
      </c>
      <c r="G185" s="12" t="s">
        <v>300</v>
      </c>
      <c r="H185" s="13">
        <v>0.66666666666666663</v>
      </c>
      <c r="I185" s="26">
        <v>2.0833333333333332E-2</v>
      </c>
      <c r="J185" s="15" t="s">
        <v>296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297</v>
      </c>
      <c r="D186" s="12">
        <v>2738</v>
      </c>
      <c r="E186" s="12" t="s">
        <v>300</v>
      </c>
      <c r="F186" s="13">
        <v>0.6875</v>
      </c>
      <c r="G186" s="12" t="s">
        <v>299</v>
      </c>
      <c r="H186" s="13">
        <v>0.72569444444444442</v>
      </c>
      <c r="I186" s="26">
        <v>2.7777777777777776E-2</v>
      </c>
      <c r="J186" s="15" t="s">
        <v>296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297</v>
      </c>
      <c r="D187" s="12">
        <v>2755</v>
      </c>
      <c r="E187" s="12" t="s">
        <v>299</v>
      </c>
      <c r="F187" s="13">
        <v>0.75347222222222221</v>
      </c>
      <c r="G187" s="12" t="s">
        <v>295</v>
      </c>
      <c r="H187" s="13">
        <v>0.78125</v>
      </c>
      <c r="I187" s="26">
        <v>3.125E-2</v>
      </c>
      <c r="J187" s="15" t="s">
        <v>296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227</v>
      </c>
      <c r="D188" s="12">
        <v>588</v>
      </c>
      <c r="E188" s="12" t="s">
        <v>295</v>
      </c>
      <c r="F188" s="13">
        <v>0.8125</v>
      </c>
      <c r="G188" s="12" t="s">
        <v>279</v>
      </c>
      <c r="H188" s="13">
        <v>0.875</v>
      </c>
      <c r="I188" s="26"/>
      <c r="J188" s="15" t="s">
        <v>296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227</v>
      </c>
      <c r="D189" s="12">
        <v>553</v>
      </c>
      <c r="E189" s="12" t="s">
        <v>279</v>
      </c>
      <c r="F189" s="13">
        <v>0.46527777777777779</v>
      </c>
      <c r="G189" s="12" t="s">
        <v>301</v>
      </c>
      <c r="H189" s="13">
        <v>0.53125</v>
      </c>
      <c r="I189" s="26">
        <v>3.4722222222222224E-2</v>
      </c>
      <c r="J189" s="15" t="s">
        <v>296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227</v>
      </c>
      <c r="D190" s="12">
        <v>554</v>
      </c>
      <c r="E190" s="12" t="s">
        <v>301</v>
      </c>
      <c r="F190" s="13">
        <v>0.56597222222222221</v>
      </c>
      <c r="G190" s="12" t="s">
        <v>279</v>
      </c>
      <c r="H190" s="13">
        <v>0.64236111111111116</v>
      </c>
      <c r="I190" s="26">
        <v>4.1666666666666664E-2</v>
      </c>
      <c r="J190" s="15" t="s">
        <v>296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227</v>
      </c>
      <c r="D191" s="12">
        <v>695</v>
      </c>
      <c r="E191" s="12" t="s">
        <v>279</v>
      </c>
      <c r="F191" s="13">
        <v>0.68402777777777779</v>
      </c>
      <c r="G191" s="12" t="s">
        <v>236</v>
      </c>
      <c r="H191" s="13">
        <v>0.75694444444444442</v>
      </c>
      <c r="I191" s="26">
        <v>9.7222222222222224E-2</v>
      </c>
      <c r="J191" s="15" t="s">
        <v>296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227</v>
      </c>
      <c r="D192" s="12">
        <v>3642</v>
      </c>
      <c r="E192" s="12" t="s">
        <v>236</v>
      </c>
      <c r="F192" s="13">
        <v>0.85416666666666663</v>
      </c>
      <c r="G192" s="12" t="s">
        <v>229</v>
      </c>
      <c r="H192" s="13">
        <v>0.89583333333333337</v>
      </c>
      <c r="I192" s="26"/>
      <c r="J192" s="15" t="s">
        <v>296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238</v>
      </c>
      <c r="D193" s="12">
        <v>51</v>
      </c>
      <c r="E193" s="12" t="s">
        <v>229</v>
      </c>
      <c r="F193" s="13">
        <v>0.30208333333333331</v>
      </c>
      <c r="G193" s="12" t="s">
        <v>280</v>
      </c>
      <c r="H193" s="13">
        <v>0.37847222222222221</v>
      </c>
      <c r="I193" s="26">
        <v>2.7777777777777776E-2</v>
      </c>
      <c r="J193" s="15" t="s">
        <v>296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238</v>
      </c>
      <c r="D194" s="12">
        <v>605</v>
      </c>
      <c r="E194" s="12" t="s">
        <v>280</v>
      </c>
      <c r="F194" s="13">
        <v>0.40625</v>
      </c>
      <c r="G194" s="12" t="s">
        <v>242</v>
      </c>
      <c r="H194" s="13">
        <v>0.44791666666666669</v>
      </c>
      <c r="I194" s="26">
        <v>7.2916666666666671E-2</v>
      </c>
      <c r="J194" s="15" t="s">
        <v>296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238</v>
      </c>
      <c r="D195" s="12">
        <v>608</v>
      </c>
      <c r="E195" s="12" t="s">
        <v>242</v>
      </c>
      <c r="F195" s="13">
        <v>0.52083333333333337</v>
      </c>
      <c r="G195" s="12" t="s">
        <v>280</v>
      </c>
      <c r="H195" s="13">
        <v>0.5625</v>
      </c>
      <c r="I195" s="26">
        <v>2.7777777777777776E-2</v>
      </c>
      <c r="J195" s="15" t="s">
        <v>296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238</v>
      </c>
      <c r="D196" s="12">
        <v>211</v>
      </c>
      <c r="E196" s="12" t="s">
        <v>280</v>
      </c>
      <c r="F196" s="13">
        <v>0.59027777777777779</v>
      </c>
      <c r="G196" s="12" t="s">
        <v>265</v>
      </c>
      <c r="H196" s="13">
        <v>0.61458333333333337</v>
      </c>
      <c r="I196" s="26">
        <v>1.0416666666666666E-2</v>
      </c>
      <c r="J196" s="15" t="s">
        <v>296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238</v>
      </c>
      <c r="D197" s="12">
        <v>212</v>
      </c>
      <c r="E197" s="12" t="s">
        <v>265</v>
      </c>
      <c r="F197" s="13">
        <v>0.625</v>
      </c>
      <c r="G197" s="12" t="s">
        <v>280</v>
      </c>
      <c r="H197" s="13">
        <v>0.65277777777777779</v>
      </c>
      <c r="I197" s="26">
        <v>2.7777777777777776E-2</v>
      </c>
      <c r="J197" s="15" t="s">
        <v>296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238</v>
      </c>
      <c r="D198" s="12">
        <v>567</v>
      </c>
      <c r="E198" s="12" t="s">
        <v>280</v>
      </c>
      <c r="F198" s="13">
        <v>0.68055555555555558</v>
      </c>
      <c r="G198" s="12" t="s">
        <v>246</v>
      </c>
      <c r="H198" s="13">
        <v>0.71875</v>
      </c>
      <c r="I198" s="26">
        <v>2.7777777777777776E-2</v>
      </c>
      <c r="J198" s="15" t="s">
        <v>296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238</v>
      </c>
      <c r="D199" s="12">
        <v>566</v>
      </c>
      <c r="E199" s="12" t="s">
        <v>246</v>
      </c>
      <c r="F199" s="13">
        <v>0.74652777777777779</v>
      </c>
      <c r="G199" s="12" t="s">
        <v>280</v>
      </c>
      <c r="H199" s="13">
        <v>0.78125</v>
      </c>
      <c r="I199" s="26">
        <v>7.9861111111111105E-2</v>
      </c>
      <c r="J199" s="15" t="s">
        <v>296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227</v>
      </c>
      <c r="D200" s="12">
        <v>922</v>
      </c>
      <c r="E200" s="12" t="s">
        <v>280</v>
      </c>
      <c r="F200" s="13">
        <v>0.86111111111111116</v>
      </c>
      <c r="G200" s="12" t="s">
        <v>279</v>
      </c>
      <c r="H200" s="13">
        <v>0.95833333333333337</v>
      </c>
      <c r="I200" s="26"/>
      <c r="J200" s="15" t="s">
        <v>296</v>
      </c>
      <c r="K200" s="22">
        <v>10590</v>
      </c>
      <c r="L200" s="15"/>
      <c r="M200" s="15"/>
    </row>
    <row r="201" spans="1:13" hidden="1">
      <c r="A201" s="14">
        <v>209</v>
      </c>
      <c r="B201" s="42"/>
      <c r="C201" s="12"/>
      <c r="D201" s="12"/>
      <c r="E201" s="12"/>
      <c r="F201" s="13"/>
      <c r="G201" s="12"/>
      <c r="H201" s="13"/>
      <c r="I201" s="26"/>
      <c r="J201" s="15"/>
      <c r="K201" s="22"/>
      <c r="L201" s="15"/>
      <c r="M201" s="15"/>
    </row>
    <row r="202" spans="1:13" hidden="1">
      <c r="A202" s="14">
        <v>210</v>
      </c>
      <c r="B202" s="42"/>
      <c r="C202" s="12"/>
      <c r="D202" s="12"/>
      <c r="E202" s="12"/>
      <c r="F202" s="13"/>
      <c r="G202" s="12"/>
      <c r="H202" s="13"/>
      <c r="I202" s="26"/>
      <c r="J202" s="15"/>
      <c r="K202" s="22"/>
      <c r="L202" s="15"/>
      <c r="M202" s="15"/>
    </row>
    <row r="203" spans="1:13" hidden="1">
      <c r="A203" s="14">
        <v>211</v>
      </c>
      <c r="B203" s="42"/>
      <c r="C203" s="12"/>
      <c r="D203" s="12"/>
      <c r="E203" s="12"/>
      <c r="F203" s="13"/>
      <c r="G203" s="12"/>
      <c r="H203" s="13"/>
      <c r="I203" s="26"/>
      <c r="J203" s="15"/>
      <c r="K203" s="22"/>
      <c r="L203" s="15"/>
      <c r="M203" s="15"/>
    </row>
    <row r="204" spans="1:13" hidden="1">
      <c r="A204" s="14">
        <v>212</v>
      </c>
      <c r="B204" s="42"/>
      <c r="C204" s="12"/>
      <c r="D204" s="12"/>
      <c r="E204" s="12"/>
      <c r="F204" s="13"/>
      <c r="G204" s="12"/>
      <c r="H204" s="13"/>
      <c r="I204" s="26"/>
      <c r="J204" s="15"/>
      <c r="K204" s="22"/>
      <c r="L204" s="15"/>
      <c r="M204" s="15"/>
    </row>
    <row r="205" spans="1:13" hidden="1">
      <c r="A205" s="14">
        <v>213</v>
      </c>
      <c r="B205" s="42"/>
      <c r="C205" s="12"/>
      <c r="D205" s="12"/>
      <c r="E205" s="12"/>
      <c r="F205" s="13"/>
      <c r="G205" s="12"/>
      <c r="H205" s="13"/>
      <c r="I205" s="26"/>
      <c r="J205" s="15"/>
      <c r="K205" s="22"/>
      <c r="L205" s="15"/>
      <c r="M205" s="15"/>
    </row>
    <row r="206" spans="1:13" hidden="1">
      <c r="A206" s="14">
        <v>214</v>
      </c>
      <c r="B206" s="42"/>
      <c r="C206" s="12"/>
      <c r="D206" s="12"/>
      <c r="E206" s="12"/>
      <c r="F206" s="13"/>
      <c r="G206" s="12"/>
      <c r="H206" s="13"/>
      <c r="I206" s="26"/>
      <c r="J206" s="15"/>
      <c r="K206" s="22"/>
      <c r="L206" s="15"/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302</v>
      </c>
      <c r="K281" s="11">
        <f>SUM(テーブル4[料金])</f>
        <v>1313784</v>
      </c>
    </row>
    <row r="282" spans="10:11">
      <c r="J282" t="s">
        <v>303</v>
      </c>
      <c r="K282">
        <f>COUNTA(テーブル4[料金])*5</f>
        <v>995</v>
      </c>
    </row>
    <row r="283" spans="10:11">
      <c r="J283" t="s">
        <v>5</v>
      </c>
      <c r="K283">
        <f>COUNTA(テーブル4[料金])</f>
        <v>199</v>
      </c>
    </row>
    <row r="284" spans="10:11">
      <c r="J284" t="s">
        <v>304</v>
      </c>
      <c r="K284" s="41">
        <f>K281/K282</f>
        <v>1320.3859296482412</v>
      </c>
    </row>
    <row r="296" spans="1:8">
      <c r="A296" s="24" t="s">
        <v>215</v>
      </c>
      <c r="B296" s="24" t="s">
        <v>216</v>
      </c>
      <c r="C296" s="24" t="s">
        <v>217</v>
      </c>
      <c r="D296" s="24" t="s">
        <v>218</v>
      </c>
      <c r="E296" s="24" t="s">
        <v>219</v>
      </c>
      <c r="F296" s="24" t="s">
        <v>220</v>
      </c>
      <c r="G296" s="24" t="s">
        <v>221</v>
      </c>
      <c r="H296" s="24" t="s">
        <v>222</v>
      </c>
    </row>
    <row r="297" spans="1:8">
      <c r="A297">
        <v>1</v>
      </c>
      <c r="B297" t="s">
        <v>238</v>
      </c>
      <c r="C297">
        <v>51</v>
      </c>
      <c r="D297" t="s">
        <v>229</v>
      </c>
      <c r="E297" s="25">
        <v>0.2986111111111111</v>
      </c>
      <c r="F297" t="s">
        <v>239</v>
      </c>
      <c r="G297" s="25">
        <v>0.36805555555555558</v>
      </c>
      <c r="H297" t="s">
        <v>230</v>
      </c>
    </row>
    <row r="298" spans="1:8">
      <c r="A298">
        <v>2</v>
      </c>
      <c r="B298" t="s">
        <v>243</v>
      </c>
      <c r="C298">
        <v>873</v>
      </c>
      <c r="D298" t="s">
        <v>239</v>
      </c>
      <c r="E298" s="25">
        <v>0.41319444444444442</v>
      </c>
      <c r="F298" t="s">
        <v>265</v>
      </c>
      <c r="G298" s="25">
        <v>0.43402777777777779</v>
      </c>
      <c r="H298" t="s">
        <v>305</v>
      </c>
    </row>
    <row r="299" spans="1:8">
      <c r="A299">
        <v>3</v>
      </c>
      <c r="B299" t="s">
        <v>243</v>
      </c>
      <c r="C299">
        <v>874</v>
      </c>
      <c r="D299" t="s">
        <v>265</v>
      </c>
      <c r="E299" s="25">
        <v>0.45833333333333331</v>
      </c>
      <c r="F299" t="s">
        <v>239</v>
      </c>
      <c r="G299" s="25">
        <v>0.4826388888888889</v>
      </c>
      <c r="H299" t="s">
        <v>235</v>
      </c>
    </row>
    <row r="300" spans="1:8">
      <c r="A300">
        <v>4</v>
      </c>
      <c r="B300" t="s">
        <v>238</v>
      </c>
      <c r="C300">
        <v>609</v>
      </c>
      <c r="D300" t="s">
        <v>239</v>
      </c>
      <c r="E300" s="25">
        <v>0.53472222222222221</v>
      </c>
      <c r="F300" t="s">
        <v>242</v>
      </c>
      <c r="G300" s="25">
        <v>0.57291666666666663</v>
      </c>
      <c r="H300" t="s">
        <v>306</v>
      </c>
    </row>
    <row r="301" spans="1:8">
      <c r="A301">
        <v>5</v>
      </c>
      <c r="B301" t="s">
        <v>238</v>
      </c>
      <c r="C301">
        <v>614</v>
      </c>
      <c r="D301" t="s">
        <v>242</v>
      </c>
      <c r="E301" s="25">
        <v>0.60069444444444442</v>
      </c>
      <c r="F301" t="s">
        <v>239</v>
      </c>
      <c r="G301" s="25">
        <v>0.64583333333333337</v>
      </c>
      <c r="H301" t="s">
        <v>240</v>
      </c>
    </row>
    <row r="302" spans="1:8">
      <c r="A302">
        <v>6</v>
      </c>
      <c r="B302" t="s">
        <v>238</v>
      </c>
      <c r="C302">
        <v>567</v>
      </c>
      <c r="D302" t="s">
        <v>239</v>
      </c>
      <c r="E302" s="25">
        <v>0.67361111111111116</v>
      </c>
      <c r="F302" t="s">
        <v>246</v>
      </c>
      <c r="G302" s="25">
        <v>0.70833333333333337</v>
      </c>
      <c r="H302" t="s">
        <v>240</v>
      </c>
    </row>
    <row r="303" spans="1:8">
      <c r="A303">
        <v>7</v>
      </c>
      <c r="B303" t="s">
        <v>238</v>
      </c>
      <c r="C303">
        <v>566</v>
      </c>
      <c r="D303" t="s">
        <v>246</v>
      </c>
      <c r="E303" s="25">
        <v>0.73611111111111116</v>
      </c>
      <c r="F303" t="s">
        <v>239</v>
      </c>
      <c r="G303" s="25">
        <v>0.77430555555555558</v>
      </c>
      <c r="H303" t="s">
        <v>240</v>
      </c>
    </row>
    <row r="304" spans="1:8">
      <c r="A304">
        <v>8</v>
      </c>
      <c r="B304" t="s">
        <v>227</v>
      </c>
      <c r="C304">
        <v>920</v>
      </c>
      <c r="D304" t="s">
        <v>239</v>
      </c>
      <c r="E304" s="25">
        <v>0.80902777777777779</v>
      </c>
      <c r="F304" t="s">
        <v>228</v>
      </c>
      <c r="G304" s="25">
        <v>0.91666666666666663</v>
      </c>
      <c r="H304" t="s">
        <v>307</v>
      </c>
    </row>
    <row r="307" spans="1:9">
      <c r="A307" s="24" t="s">
        <v>215</v>
      </c>
      <c r="B307" s="24" t="s">
        <v>216</v>
      </c>
      <c r="C307" s="24" t="s">
        <v>217</v>
      </c>
      <c r="D307" s="24" t="s">
        <v>218</v>
      </c>
      <c r="E307" s="24" t="s">
        <v>219</v>
      </c>
      <c r="F307" s="24" t="s">
        <v>220</v>
      </c>
      <c r="G307" s="24" t="s">
        <v>221</v>
      </c>
      <c r="H307" s="24" t="s">
        <v>222</v>
      </c>
    </row>
    <row r="308" spans="1:9">
      <c r="A308">
        <v>1</v>
      </c>
      <c r="B308" t="s">
        <v>238</v>
      </c>
      <c r="C308">
        <v>51</v>
      </c>
      <c r="D308" t="s">
        <v>229</v>
      </c>
      <c r="E308" s="25">
        <v>0.2986111111111111</v>
      </c>
      <c r="F308" t="s">
        <v>239</v>
      </c>
      <c r="G308" s="25">
        <v>0.36805555555555558</v>
      </c>
      <c r="H308" t="s">
        <v>230</v>
      </c>
    </row>
    <row r="309" spans="1:9">
      <c r="A309">
        <v>2</v>
      </c>
      <c r="B309" t="s">
        <v>238</v>
      </c>
      <c r="C309">
        <v>605</v>
      </c>
      <c r="D309" t="s">
        <v>239</v>
      </c>
      <c r="E309" s="25">
        <v>0.39583333333333331</v>
      </c>
      <c r="F309" t="s">
        <v>242</v>
      </c>
      <c r="G309" s="25">
        <v>0.43402777777777779</v>
      </c>
      <c r="H309" t="s">
        <v>240</v>
      </c>
    </row>
    <row r="310" spans="1:9">
      <c r="A310">
        <v>3</v>
      </c>
      <c r="B310" t="s">
        <v>243</v>
      </c>
      <c r="C310">
        <v>743</v>
      </c>
      <c r="D310" t="s">
        <v>242</v>
      </c>
      <c r="E310" s="25">
        <v>0.52430555555555558</v>
      </c>
      <c r="F310" t="s">
        <v>244</v>
      </c>
      <c r="G310" s="25">
        <v>0.54513888888888884</v>
      </c>
      <c r="H310" t="s">
        <v>245</v>
      </c>
    </row>
    <row r="311" spans="1:9">
      <c r="A311">
        <v>4</v>
      </c>
      <c r="B311" t="s">
        <v>243</v>
      </c>
      <c r="C311">
        <v>744</v>
      </c>
      <c r="D311" t="s">
        <v>244</v>
      </c>
      <c r="E311" s="25">
        <v>0.56597222222222221</v>
      </c>
      <c r="F311" t="s">
        <v>242</v>
      </c>
      <c r="G311" s="25">
        <v>0.58680555555555558</v>
      </c>
      <c r="H311" t="s">
        <v>237</v>
      </c>
    </row>
    <row r="312" spans="1:9">
      <c r="A312">
        <v>5</v>
      </c>
      <c r="B312" t="s">
        <v>243</v>
      </c>
      <c r="C312">
        <v>834</v>
      </c>
      <c r="D312" t="s">
        <v>242</v>
      </c>
      <c r="E312" s="25">
        <v>0.61111111111111116</v>
      </c>
      <c r="F312" t="s">
        <v>246</v>
      </c>
      <c r="G312" s="25">
        <v>0.63194444444444442</v>
      </c>
      <c r="H312" t="s">
        <v>235</v>
      </c>
    </row>
    <row r="313" spans="1:9">
      <c r="A313">
        <v>6</v>
      </c>
      <c r="B313" t="s">
        <v>238</v>
      </c>
      <c r="C313">
        <v>564</v>
      </c>
      <c r="D313" t="s">
        <v>246</v>
      </c>
      <c r="E313" s="25">
        <v>0.69791666666666663</v>
      </c>
      <c r="F313" t="s">
        <v>239</v>
      </c>
      <c r="G313" s="25">
        <v>0.73611111111111116</v>
      </c>
      <c r="H313" t="s">
        <v>257</v>
      </c>
    </row>
    <row r="314" spans="1:9">
      <c r="A314">
        <v>7</v>
      </c>
      <c r="B314" t="s">
        <v>227</v>
      </c>
      <c r="C314">
        <v>920</v>
      </c>
      <c r="D314" t="s">
        <v>239</v>
      </c>
      <c r="E314" s="25">
        <v>0.80902777777777779</v>
      </c>
      <c r="F314" t="s">
        <v>228</v>
      </c>
      <c r="G314" s="25">
        <v>0.91666666666666663</v>
      </c>
      <c r="H314" t="s">
        <v>258</v>
      </c>
    </row>
    <row r="316" spans="1:9" ht="14.25">
      <c r="A316" s="48">
        <v>1</v>
      </c>
      <c r="B316" s="49" t="s">
        <v>227</v>
      </c>
      <c r="C316" s="49">
        <v>901</v>
      </c>
      <c r="D316" s="49" t="s">
        <v>279</v>
      </c>
      <c r="E316" s="50">
        <v>0.27083333333333331</v>
      </c>
      <c r="F316" s="49" t="s">
        <v>280</v>
      </c>
      <c r="G316" s="50">
        <v>0.375</v>
      </c>
      <c r="H316" s="51" t="s">
        <v>308</v>
      </c>
      <c r="I316" s="52"/>
    </row>
    <row r="317" spans="1:9" ht="14.25">
      <c r="A317" s="53">
        <v>2</v>
      </c>
      <c r="B317" s="54" t="s">
        <v>238</v>
      </c>
      <c r="C317" s="54">
        <v>605</v>
      </c>
      <c r="D317" s="54" t="s">
        <v>280</v>
      </c>
      <c r="E317" s="55">
        <v>0.39930555555555558</v>
      </c>
      <c r="F317" s="54" t="s">
        <v>242</v>
      </c>
      <c r="G317" s="55">
        <v>0.44097222222222221</v>
      </c>
      <c r="H317" s="54" t="s">
        <v>235</v>
      </c>
      <c r="I317" s="56"/>
    </row>
    <row r="318" spans="1:9" ht="14.25">
      <c r="A318" s="48">
        <v>3</v>
      </c>
      <c r="B318" s="49" t="s">
        <v>243</v>
      </c>
      <c r="C318" s="49">
        <v>743</v>
      </c>
      <c r="D318" s="49" t="s">
        <v>242</v>
      </c>
      <c r="E318" s="50">
        <v>0.52430555555555558</v>
      </c>
      <c r="F318" s="49" t="s">
        <v>244</v>
      </c>
      <c r="G318" s="50">
        <v>0.54513888888888884</v>
      </c>
      <c r="H318" s="49" t="s">
        <v>309</v>
      </c>
      <c r="I318" s="52"/>
    </row>
    <row r="319" spans="1:9" ht="14.25">
      <c r="A319" s="53">
        <v>4</v>
      </c>
      <c r="B319" s="54" t="s">
        <v>243</v>
      </c>
      <c r="C319" s="54">
        <v>744</v>
      </c>
      <c r="D319" s="54" t="s">
        <v>244</v>
      </c>
      <c r="E319" s="55">
        <v>0.56597222222222221</v>
      </c>
      <c r="F319" s="54" t="s">
        <v>242</v>
      </c>
      <c r="G319" s="55">
        <v>0.58680555555555558</v>
      </c>
      <c r="H319" s="54" t="s">
        <v>237</v>
      </c>
      <c r="I319" s="56"/>
    </row>
    <row r="320" spans="1:9" ht="14.25">
      <c r="A320" s="48">
        <v>5</v>
      </c>
      <c r="B320" s="49" t="s">
        <v>243</v>
      </c>
      <c r="C320" s="49">
        <v>834</v>
      </c>
      <c r="D320" s="49" t="s">
        <v>242</v>
      </c>
      <c r="E320" s="50">
        <v>0.61111111111111116</v>
      </c>
      <c r="F320" s="49" t="s">
        <v>246</v>
      </c>
      <c r="G320" s="50">
        <v>0.63194444444444442</v>
      </c>
      <c r="H320" s="49" t="s">
        <v>235</v>
      </c>
      <c r="I320" s="52"/>
    </row>
    <row r="321" spans="1:9" ht="14.25">
      <c r="A321" s="53">
        <v>6</v>
      </c>
      <c r="B321" s="54" t="s">
        <v>243</v>
      </c>
      <c r="C321" s="54">
        <v>897</v>
      </c>
      <c r="D321" s="54" t="s">
        <v>246</v>
      </c>
      <c r="E321" s="55">
        <v>0.65277777777777779</v>
      </c>
      <c r="F321" s="54" t="s">
        <v>247</v>
      </c>
      <c r="G321" s="55">
        <v>0.67013888888888884</v>
      </c>
      <c r="H321" s="54" t="s">
        <v>237</v>
      </c>
      <c r="I321" s="56"/>
    </row>
    <row r="322" spans="1:9" ht="14.25">
      <c r="A322" s="48">
        <v>7</v>
      </c>
      <c r="B322" s="49" t="s">
        <v>243</v>
      </c>
      <c r="C322" s="49">
        <v>898</v>
      </c>
      <c r="D322" s="49" t="s">
        <v>247</v>
      </c>
      <c r="E322" s="50">
        <v>0.69444444444444442</v>
      </c>
      <c r="F322" s="49" t="s">
        <v>246</v>
      </c>
      <c r="G322" s="50">
        <v>0.71180555555555558</v>
      </c>
      <c r="H322" s="49" t="s">
        <v>235</v>
      </c>
      <c r="I322" s="52"/>
    </row>
    <row r="323" spans="1:9" ht="14.25">
      <c r="A323" s="53">
        <v>8</v>
      </c>
      <c r="B323" s="54" t="s">
        <v>238</v>
      </c>
      <c r="C323" s="54">
        <v>572</v>
      </c>
      <c r="D323" s="54" t="s">
        <v>246</v>
      </c>
      <c r="E323" s="55">
        <v>0.74652777777777779</v>
      </c>
      <c r="F323" s="54" t="s">
        <v>280</v>
      </c>
      <c r="G323" s="55">
        <v>0.78472222222222221</v>
      </c>
      <c r="H323" s="54" t="s">
        <v>307</v>
      </c>
      <c r="I323" s="56"/>
    </row>
    <row r="324" spans="1:9" ht="14.25">
      <c r="A324" s="57">
        <v>9</v>
      </c>
      <c r="B324" s="58" t="s">
        <v>227</v>
      </c>
      <c r="C324" s="58">
        <v>920</v>
      </c>
      <c r="D324" s="58" t="s">
        <v>280</v>
      </c>
      <c r="E324" s="59">
        <v>0.8125</v>
      </c>
      <c r="F324" s="58" t="s">
        <v>279</v>
      </c>
      <c r="G324" s="59">
        <v>0.91666666666666663</v>
      </c>
      <c r="H324" s="58" t="s">
        <v>240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2026-02-14T07:19:56Z</dcterms:modified>
  <cp:category/>
  <cp:contentStatus/>
</cp:coreProperties>
</file>