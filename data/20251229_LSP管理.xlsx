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D2132E77-E04B-449E-ADC6-3A027B575966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3" i="6" l="1"/>
  <c r="K284" i="6"/>
  <c r="L636" i="5"/>
  <c r="M636" i="5"/>
  <c r="L637" i="5"/>
  <c r="M637" i="5"/>
  <c r="L638" i="5"/>
  <c r="M638" i="5"/>
  <c r="L639" i="5"/>
  <c r="M639" i="5"/>
  <c r="L640" i="5"/>
  <c r="M640" i="5"/>
  <c r="L641" i="5"/>
  <c r="M641" i="5"/>
  <c r="L633" i="5"/>
  <c r="M633" i="5"/>
  <c r="L634" i="5"/>
  <c r="M634" i="5"/>
  <c r="L635" i="5"/>
  <c r="M635" i="5"/>
  <c r="L626" i="5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G150" i="8" l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<sst xmlns="http://schemas.openxmlformats.org/spreadsheetml/2006/main" count="2807" uniqueCount="383">
  <si>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</si>
  <si>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</si>
  <si>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</si>
  <si>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</si>
  <si>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</si>
  <si>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</si>
  <si>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</si>
  <si>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</si>
  <si>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</si>
  <si>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</si>
  <si>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</si>
  <si>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</si>
  <si>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</si>
  <si>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</si>
  <si>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</si>
  <si>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</si>
  <si>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</si>
  <si>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</si>
  <si>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</si>
  <si>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</si>
  <si>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</si>
  <si>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</si>
  <si>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</si>
  <si>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</si>
  <si>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</si>
  <si>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</si>
  <si>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</si>
  <si>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</si>
  <si>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</si>
  <si>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</si>
  <si>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</si>
  <si>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</si>
  <si>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</si>
  <si>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</si>
  <si>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</si>
  <si>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</si>
  <si>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</si>
  <si>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</si>
  <si>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</si>
  <si>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</si>
  <si>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</si>
  <si>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</si>
  <si>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</si>
  <si>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</si>
  <si>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</si>
  <si>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</si>
  <si>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</si>
  <si>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</si>
  <si>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</si>
  <si>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</si>
  <si>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</si>
  <si>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</si>
  <si>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</si>
  <si>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</si>
  <si>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</si>
  <si>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</si>
  <si>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</si>
  <si>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</si>
  <si>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</si>
  <si>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</si>
  <si>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</si>
  <si>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</si>
  <si>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</si>
  <si>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</si>
  <si>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</si>
  <si>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</si>
  <si>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</si>
  <si>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</si>
  <si>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</si>
  <si>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</si>
  <si>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</si>
  <si>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</si>
  <si>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</si>
  <si>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</si>
  <si>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</si>
  <si>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</si>
  <si>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</si>
  <si>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</si>
  <si>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</si>
  <si>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</si>
  <si>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</si>
  <si>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</si>
  <si>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</si>
  <si>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</si>
  <si>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</si>
  <si>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</si>
  <si>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</si>
  <si>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</si>
  <si>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</si>
  <si>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</si>
  <si>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</si>
  <si>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</si>
  <si>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</si>
  <si>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</si>
  <si>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</si>
  <si>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</si>
  <si>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</si>
  <si>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</si>
  <si>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</si>
  <si>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</si>
  <si>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</si>
  <si>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</si>
  <si>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</si>
  <si>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</si>
  <si>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</si>
  <si>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</si>
  <si>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</si>
  <si>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</si>
  <si>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</si>
  <si>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</si>
  <si>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</si>
  <si>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</si>
  <si>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</si>
  <si>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</si>
  <si>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</si>
  <si>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</si>
  <si>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</si>
  <si>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</si>
  <si>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</si>
  <si>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</si>
  <si>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</si>
  <si>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</si>
  <si>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</si>
  <si>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</si>
  <si>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</si>
  <si>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</si>
  <si>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</si>
  <si>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</si>
  <si>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</si>
  <si>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</si>
  <si>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</si>
  <si>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</si>
  <si>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</si>
  <si>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</si>
  <si>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</si>
  <si>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</si>
  <si>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</si>
  <si>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</si>
  <si>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</si>
  <si>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</si>
  <si>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</si>
  <si>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</si>
  <si>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</si>
  <si>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</si>
  <si>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</si>
  <si>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</si>
  <si>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</si>
  <si>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</si>
  <si>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</si>
  <si>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</si>
  <si>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</si>
  <si>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</si>
  <si>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</si>
  <si>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</si>
  <si>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</si>
  <si>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</si>
  <si>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</si>
  <si>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</si>
  <si>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</si>
  <si>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</si>
  <si>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</si>
  <si>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</si>
  <si>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</si>
  <si>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</si>
  <si>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</si>
  <si>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</si>
  <si>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</si>
  <si>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</si>
  <si>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</si>
  <si>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</si>
  <si>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</si>
  <si>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</si>
  <si>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</si>
  <si>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</si>
  <si>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</si>
  <si>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</si>
  <si>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</si>
  <si>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</si>
  <si>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</si>
  <si>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</si>
  <si>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</si>
  <si>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</si>
  <si>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</si>
  <si>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</si>
  <si>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</si>
  <si>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</si>
  <si>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</si>
  <si>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</si>
  <si>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</si>
  <si>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</si>
  <si>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</si>
  <si>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</si>
  <si>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</si>
  <si>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</si>
  <si>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</si>
  <si>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</si>
  <si>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</si>
  <si>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</si>
  <si>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</si>
  <si>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</si>
  <si>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</si>
  <si>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</si>
  <si>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</si>
  <si>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</si>
  <si>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</si>
  <si>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</si>
  <si>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</si>
  <si>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</si>
  <si>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</si>
  <si>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</si>
  <si>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</si>
  <si>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</si>
  <si>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</si>
  <si>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</si>
  <si>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</si>
  <si>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</si>
  <si>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</si>
  <si>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</si>
  <si>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</si>
  <si>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</si>
  <si>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</si>
  <si>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</si>
  <si>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</si>
  <si>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</si>
  <si>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</si>
  <si>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</si>
  <si>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</si>
  <si>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</si>
  <si>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</si>
  <si>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</si>
  <si>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</si>
  <si>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</si>
  <si>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</si>
  <si>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</si>
  <si>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</si>
  <si>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</si>
  <si>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</si>
  <si>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</si>
  <si>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</si>
  <si>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</si>
  <si>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</si>
  <si>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JL0113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</si>
  <si>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</si>
  <si>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</si>
  <si>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</si>
  <si>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</si>
  <si>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</si>
  <si>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</si>
  <si>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</si>
  <si>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</si>
  <si>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</si>
  <si>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</si>
  <si>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</si>
  <si>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</si>
  <si>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</si>
  <si>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</si>
  <si>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JALマイレージパーク利用</t>
  </si>
  <si>
    <t>JAL Wellness &amp; Travel利用</t>
  </si>
  <si>
    <t>航空</t>
  </si>
  <si>
    <t>JAL国内線利用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</si>
  <si>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</si>
  <si>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</si>
  <si>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</si>
  <si>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</si>
  <si>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</si>
  <si>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</si>
  <si>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</si>
  <si>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</si>
  <si>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</si>
  <si>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</si>
  <si>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</si>
  <si>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</si>
  <si>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</si>
  <si>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</si>
  <si>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</si>
  <si>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</si>
  <si>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</si>
  <si>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</si>
  <si>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</si>
  <si>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</si>
  <si>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</si>
  <si>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</si>
  <si>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</si>
  <si>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</si>
  <si>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</si>
  <si>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</si>
  <si>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</si>
  <si>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</si>
  <si>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</si>
  <si>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</si>
  <si>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</si>
  <si>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</si>
  <si>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</si>
  <si>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</si>
  <si>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</si>
  <si>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</si>
  <si>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</si>
  <si>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</si>
  <si>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</si>
  <si>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</si>
  <si>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</si>
  <si>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</si>
  <si>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</si>
  <si>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</si>
  <si>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</si>
  <si>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</si>
  <si>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</si>
  <si>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</si>
  <si>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</si>
  <si>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</si>
  <si>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</si>
  <si>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</si>
  <si>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</si>
  <si>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</si>
  <si>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</si>
  <si>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</si>
  <si>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</si>
  <si>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</si>
  <si>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</si>
  <si>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</si>
  <si>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</si>
  <si>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</si>
  <si>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</si>
  <si>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</si>
  <si>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</si>
  <si>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</si>
  <si>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</si>
  <si>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</si>
  <si>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</si>
  <si>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</si>
  <si>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</si>
  <si>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</si>
  <si>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</si>
  <si>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</si>
  <si>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</si>
  <si>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</si>
  <si>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</si>
  <si>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</si>
  <si>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</si>
  <si>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</si>
  <si>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</si>
  <si>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</si>
  <si>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</si>
  <si>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</si>
  <si>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</si>
  <si>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</si>
  <si>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</si>
  <si>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</si>
  <si>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</si>
  <si>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</si>
  <si>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</si>
  <si>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</si>
  <si>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</si>
  <si>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</si>
  <si>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</si>
  <si>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</si>
  <si>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</si>
  <si>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</si>
  <si>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</si>
  <si>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</si>
  <si>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</si>
  <si>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</si>
  <si>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</si>
  <si>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</si>
  <si>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</si>
  <si>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</si>
  <si>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</si>
  <si>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</si>
  <si>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</si>
  <si>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JAL313</t>
  </si>
  <si>
    <t>JAL324</t>
  </si>
  <si>
    <t>JAL479</t>
  </si>
  <si>
    <t>JAL486</t>
  </si>
  <si>
    <t>JAL629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</si>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</sst>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117704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6259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1624</c:v>
                </c:pt>
                <c:pt idx="1">
                  <c:v>1624</c:v>
                </c:pt>
                <c:pt idx="2">
                  <c:v>1624</c:v>
                </c:pt>
                <c:pt idx="3">
                  <c:v>1624</c:v>
                </c:pt>
                <c:pt idx="4">
                  <c:v>1624</c:v>
                </c:pt>
                <c:pt idx="5">
                  <c:v>1624</c:v>
                </c:pt>
                <c:pt idx="6">
                  <c:v>1624</c:v>
                </c:pt>
                <c:pt idx="7">
                  <c:v>1624</c:v>
                </c:pt>
                <c:pt idx="8">
                  <c:v>1624</c:v>
                </c:pt>
                <c:pt idx="9">
                  <c:v>1624</c:v>
                </c:pt>
                <c:pt idx="10">
                  <c:v>1624</c:v>
                </c:pt>
                <c:pt idx="11">
                  <c:v>1624</c:v>
                </c:pt>
                <c:pt idx="12">
                  <c:v>1624</c:v>
                </c:pt>
                <c:pt idx="13">
                  <c:v>1624</c:v>
                </c:pt>
                <c:pt idx="14">
                  <c:v>1624</c:v>
                </c:pt>
                <c:pt idx="15">
                  <c:v>1624</c:v>
                </c:pt>
                <c:pt idx="16">
                  <c:v>1624</c:v>
                </c:pt>
                <c:pt idx="17">
                  <c:v>1624</c:v>
                </c:pt>
                <c:pt idx="18">
                  <c:v>1624</c:v>
                </c:pt>
                <c:pt idx="19">
                  <c:v>1624</c:v>
                </c:pt>
                <c:pt idx="20">
                  <c:v>1624</c:v>
                </c:pt>
                <c:pt idx="21">
                  <c:v>1624</c:v>
                </c:pt>
                <c:pt idx="22">
                  <c:v>1624</c:v>
                </c:pt>
                <c:pt idx="23">
                  <c:v>1624</c:v>
                </c:pt>
                <c:pt idx="24">
                  <c:v>1624</c:v>
                </c:pt>
                <c:pt idx="25">
                  <c:v>1624</c:v>
                </c:pt>
                <c:pt idx="26">
                  <c:v>1624</c:v>
                </c:pt>
                <c:pt idx="27">
                  <c:v>1624</c:v>
                </c:pt>
                <c:pt idx="28">
                  <c:v>1624</c:v>
                </c:pt>
                <c:pt idx="29">
                  <c:v>1624</c:v>
                </c:pt>
                <c:pt idx="30">
                  <c:v>1624</c:v>
                </c:pt>
                <c:pt idx="31">
                  <c:v>1624</c:v>
                </c:pt>
                <c:pt idx="32">
                  <c:v>1624</c:v>
                </c:pt>
                <c:pt idx="33">
                  <c:v>1624</c:v>
                </c:pt>
                <c:pt idx="34">
                  <c:v>1624</c:v>
                </c:pt>
                <c:pt idx="35">
                  <c:v>1624</c:v>
                </c:pt>
                <c:pt idx="36">
                  <c:v>1624</c:v>
                </c:pt>
                <c:pt idx="37">
                  <c:v>1624</c:v>
                </c:pt>
                <c:pt idx="38">
                  <c:v>1624</c:v>
                </c:pt>
                <c:pt idx="39">
                  <c:v>1624</c:v>
                </c:pt>
                <c:pt idx="40">
                  <c:v>1624</c:v>
                </c:pt>
                <c:pt idx="41">
                  <c:v>1624</c:v>
                </c:pt>
                <c:pt idx="42">
                  <c:v>1624</c:v>
                </c:pt>
                <c:pt idx="43">
                  <c:v>1624</c:v>
                </c:pt>
                <c:pt idx="44">
                  <c:v>1624</c:v>
                </c:pt>
                <c:pt idx="45">
                  <c:v>1624</c:v>
                </c:pt>
                <c:pt idx="46">
                  <c:v>1624</c:v>
                </c:pt>
                <c:pt idx="47">
                  <c:v>1624</c:v>
                </c:pt>
                <c:pt idx="48">
                  <c:v>1624</c:v>
                </c:pt>
                <c:pt idx="49">
                  <c:v>1624</c:v>
                </c:pt>
                <c:pt idx="50">
                  <c:v>1624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1100</c:v>
                </c:pt>
                <c:pt idx="1">
                  <c:v>70</c:v>
                </c:pt>
                <c:pt idx="2">
                  <c:v>135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drawing" Target="../drawings/drawing1.xm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41"/>
  <sheetViews>
    <sheetView workbookViewId="0">
      <pane xSplit="1" ySplit="3" topLeftCell="B623" activePane="bottomRight" state="frozen"/>
      <selection pane="bottomRight" activeCell="I642" sqref="I64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117704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6259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107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158314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6" t="s">
        <v>33</v>
      </c>
      <c r="C616" s="76"/>
      <c r="D616" s="76"/>
      <c r="E616" s="77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6" t="s">
        <v>33</v>
      </c>
      <c r="C617" s="76"/>
      <c r="D617" s="76"/>
      <c r="E617" s="77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6" t="s">
        <v>65</v>
      </c>
      <c r="C618" s="76"/>
      <c r="D618" s="76"/>
      <c r="E618" s="77"/>
      <c r="F618" s="4">
        <v>2782</v>
      </c>
      <c r="G618" s="74">
        <v>0</v>
      </c>
      <c r="H618" s="4">
        <v>2782</v>
      </c>
      <c r="I618" s="4">
        <v>71273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6" t="s">
        <v>49</v>
      </c>
      <c r="C619" s="76"/>
      <c r="D619" s="76"/>
      <c r="E619" s="77"/>
      <c r="F619" s="74">
        <v>0</v>
      </c>
      <c r="G619" s="74">
        <v>1</v>
      </c>
      <c r="H619" s="74">
        <v>1</v>
      </c>
      <c r="I619" s="4">
        <v>71274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6" t="s">
        <v>33</v>
      </c>
      <c r="C620" s="76"/>
      <c r="D620" s="76"/>
      <c r="E620" s="77"/>
      <c r="F620" s="74">
        <v>0</v>
      </c>
      <c r="G620" s="74">
        <v>7</v>
      </c>
      <c r="H620" s="74">
        <v>7</v>
      </c>
      <c r="I620" s="4">
        <v>71281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6" t="s">
        <v>49</v>
      </c>
      <c r="C621" s="76"/>
      <c r="D621" s="76"/>
      <c r="E621" s="77"/>
      <c r="F621" s="74">
        <v>0</v>
      </c>
      <c r="G621" s="74">
        <v>1</v>
      </c>
      <c r="H621" s="74">
        <v>1</v>
      </c>
      <c r="I621" s="4">
        <v>71282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6" t="s">
        <v>49</v>
      </c>
      <c r="C622" s="76"/>
      <c r="D622" s="76"/>
      <c r="E622" s="77"/>
      <c r="F622" s="74">
        <v>0</v>
      </c>
      <c r="G622" s="74">
        <v>1</v>
      </c>
      <c r="H622" s="74">
        <v>1</v>
      </c>
      <c r="I622" s="4">
        <v>71283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6" t="s">
        <v>49</v>
      </c>
      <c r="C623" s="76"/>
      <c r="D623" s="76"/>
      <c r="E623" s="77"/>
      <c r="F623" s="74">
        <v>0</v>
      </c>
      <c r="G623" s="74">
        <v>1</v>
      </c>
      <c r="H623" s="74">
        <v>1</v>
      </c>
      <c r="I623" s="4">
        <v>71284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6" t="s">
        <v>49</v>
      </c>
      <c r="C624" s="76"/>
      <c r="D624" s="76"/>
      <c r="E624" s="77"/>
      <c r="F624" s="74">
        <v>0</v>
      </c>
      <c r="G624" s="74">
        <v>1</v>
      </c>
      <c r="H624" s="74">
        <v>1</v>
      </c>
      <c r="I624" s="4">
        <v>71285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7">
        <v>46153</v>
      </c>
      <c r="B625" s="76" t="s">
        <v>49</v>
      </c>
      <c r="C625" s="76"/>
      <c r="D625" s="76"/>
      <c r="E625" s="77"/>
      <c r="F625" s="74">
        <v>0</v>
      </c>
      <c r="G625" s="74">
        <v>1</v>
      </c>
      <c r="H625" s="74">
        <v>1</v>
      </c>
      <c r="I625" s="4">
        <v>71286</v>
      </c>
      <c r="J625" s="74">
        <v>0</v>
      </c>
      <c r="K625" s="74">
        <v>0</v>
      </c>
      <c r="L625" s="74">
        <f t="shared" si="86"/>
        <v>151768</v>
      </c>
      <c r="M625" s="74">
        <f t="shared" si="87"/>
        <v>186</v>
      </c>
    </row>
    <row r="626" spans="1:13">
      <c r="A626" s="27">
        <v>46154</v>
      </c>
      <c r="B626" s="76" t="s">
        <v>33</v>
      </c>
      <c r="C626" s="76"/>
      <c r="D626" s="76"/>
      <c r="E626" s="77"/>
      <c r="F626" s="74">
        <v>0</v>
      </c>
      <c r="G626" s="74">
        <v>10</v>
      </c>
      <c r="H626" s="74">
        <v>10</v>
      </c>
      <c r="I626" s="4">
        <v>71296</v>
      </c>
      <c r="J626" s="74">
        <v>0</v>
      </c>
      <c r="K626" s="74">
        <v>0</v>
      </c>
      <c r="L626" s="74">
        <f t="shared" ref="L626:L632" si="88">J626+L625</f>
        <v>151768</v>
      </c>
      <c r="M626" s="74">
        <f t="shared" ref="M626:M632" si="89">K626+M625</f>
        <v>186</v>
      </c>
    </row>
    <row r="627" spans="1:13">
      <c r="A627" s="27">
        <v>46155</v>
      </c>
      <c r="B627" s="1" t="s">
        <v>241</v>
      </c>
      <c r="C627" s="1" t="s">
        <v>107</v>
      </c>
      <c r="D627" s="1" t="s">
        <v>42</v>
      </c>
      <c r="E627" s="1" t="s">
        <v>43</v>
      </c>
      <c r="F627" s="74">
        <v>308</v>
      </c>
      <c r="G627" s="28">
        <v>450</v>
      </c>
      <c r="H627" s="74">
        <v>758</v>
      </c>
      <c r="I627" s="4">
        <v>72054</v>
      </c>
      <c r="J627" s="4">
        <v>1016</v>
      </c>
      <c r="K627" s="74">
        <v>1</v>
      </c>
      <c r="L627" s="74">
        <f t="shared" si="88"/>
        <v>152784</v>
      </c>
      <c r="M627" s="74">
        <f t="shared" si="89"/>
        <v>187</v>
      </c>
    </row>
    <row r="628" spans="1:13">
      <c r="A628" s="27">
        <v>46155</v>
      </c>
      <c r="B628" s="76" t="s">
        <v>33</v>
      </c>
      <c r="C628" s="76"/>
      <c r="D628" s="76"/>
      <c r="E628" s="77"/>
      <c r="F628" s="74">
        <v>0</v>
      </c>
      <c r="G628" s="74">
        <v>10</v>
      </c>
      <c r="H628" s="74">
        <v>10</v>
      </c>
      <c r="I628" s="4">
        <v>72064</v>
      </c>
      <c r="J628" s="74">
        <v>0</v>
      </c>
      <c r="K628" s="74">
        <v>0</v>
      </c>
      <c r="L628" s="74">
        <f t="shared" si="88"/>
        <v>152784</v>
      </c>
      <c r="M628" s="74">
        <f t="shared" si="89"/>
        <v>187</v>
      </c>
    </row>
    <row r="629" spans="1:13">
      <c r="A629" s="27">
        <v>46156</v>
      </c>
      <c r="B629" s="76" t="s">
        <v>33</v>
      </c>
      <c r="C629" s="76"/>
      <c r="D629" s="76"/>
      <c r="E629" s="77"/>
      <c r="F629" s="74">
        <v>0</v>
      </c>
      <c r="G629" s="74">
        <v>8</v>
      </c>
      <c r="H629" s="74">
        <v>8</v>
      </c>
      <c r="I629" s="4">
        <v>72072</v>
      </c>
      <c r="J629" s="74">
        <v>0</v>
      </c>
      <c r="K629" s="74">
        <v>0</v>
      </c>
      <c r="L629" s="74">
        <f t="shared" si="88"/>
        <v>152784</v>
      </c>
      <c r="M629" s="74">
        <f t="shared" si="89"/>
        <v>187</v>
      </c>
    </row>
    <row r="630" spans="1:13">
      <c r="A630" s="27">
        <v>46157</v>
      </c>
      <c r="B630" s="76" t="s">
        <v>49</v>
      </c>
      <c r="C630" s="76"/>
      <c r="D630" s="76"/>
      <c r="E630" s="77"/>
      <c r="F630" s="74">
        <v>0</v>
      </c>
      <c r="G630" s="74">
        <v>1</v>
      </c>
      <c r="H630" s="74">
        <v>1</v>
      </c>
      <c r="I630" s="4">
        <v>72073</v>
      </c>
      <c r="J630" s="74">
        <v>0</v>
      </c>
      <c r="K630" s="74">
        <v>0</v>
      </c>
      <c r="L630" s="74">
        <f t="shared" si="88"/>
        <v>152784</v>
      </c>
      <c r="M630" s="74">
        <f t="shared" si="89"/>
        <v>187</v>
      </c>
    </row>
    <row r="631" spans="1:13">
      <c r="A631" s="27">
        <v>46157</v>
      </c>
      <c r="B631" s="76" t="s">
        <v>33</v>
      </c>
      <c r="C631" s="76"/>
      <c r="D631" s="76"/>
      <c r="E631" s="77"/>
      <c r="F631" s="74">
        <v>0</v>
      </c>
      <c r="G631" s="74">
        <v>11</v>
      </c>
      <c r="H631" s="74">
        <v>11</v>
      </c>
      <c r="I631" s="4">
        <v>72084</v>
      </c>
      <c r="J631" s="74">
        <v>0</v>
      </c>
      <c r="K631" s="74">
        <v>0</v>
      </c>
      <c r="L631" s="74">
        <f t="shared" si="88"/>
        <v>152784</v>
      </c>
      <c r="M631" s="74">
        <f t="shared" si="89"/>
        <v>187</v>
      </c>
    </row>
    <row r="632" spans="1:13">
      <c r="A632" s="27">
        <v>46157</v>
      </c>
      <c r="B632" s="76" t="s">
        <v>49</v>
      </c>
      <c r="C632" s="76"/>
      <c r="D632" s="76"/>
      <c r="E632" s="77"/>
      <c r="F632" s="74">
        <v>0</v>
      </c>
      <c r="G632" s="74">
        <v>1</v>
      </c>
      <c r="H632" s="74">
        <v>1</v>
      </c>
      <c r="I632" s="4">
        <v>72085</v>
      </c>
      <c r="J632" s="74">
        <v>0</v>
      </c>
      <c r="K632" s="74">
        <v>0</v>
      </c>
      <c r="L632" s="74">
        <f t="shared" si="88"/>
        <v>152784</v>
      </c>
      <c r="M632" s="74">
        <f t="shared" si="89"/>
        <v>187</v>
      </c>
    </row>
    <row r="633" spans="1:13">
      <c r="A633" s="27">
        <v>46159</v>
      </c>
      <c r="B633" s="76" t="s">
        <v>129</v>
      </c>
      <c r="C633" s="76"/>
      <c r="D633" s="76"/>
      <c r="E633" s="77"/>
      <c r="F633" s="74">
        <v>0</v>
      </c>
      <c r="G633" s="74">
        <v>109</v>
      </c>
      <c r="H633" s="74">
        <v>109</v>
      </c>
      <c r="I633" s="4">
        <v>72194</v>
      </c>
      <c r="J633" s="74">
        <v>0</v>
      </c>
      <c r="K633" s="74">
        <v>0</v>
      </c>
      <c r="L633" s="74">
        <f t="shared" ref="L633:L635" si="90">J633+L632</f>
        <v>152784</v>
      </c>
      <c r="M633" s="74">
        <f t="shared" ref="M633:M635" si="91">K633+M632</f>
        <v>187</v>
      </c>
    </row>
    <row r="634" spans="1:13">
      <c r="A634" s="27">
        <v>46159</v>
      </c>
      <c r="B634" s="76" t="s">
        <v>33</v>
      </c>
      <c r="C634" s="76"/>
      <c r="D634" s="76"/>
      <c r="E634" s="77"/>
      <c r="F634" s="74">
        <v>0</v>
      </c>
      <c r="G634" s="74">
        <v>48</v>
      </c>
      <c r="H634" s="74">
        <v>48</v>
      </c>
      <c r="I634" s="4">
        <v>72242</v>
      </c>
      <c r="J634" s="74">
        <v>0</v>
      </c>
      <c r="K634" s="74">
        <v>0</v>
      </c>
      <c r="L634" s="74">
        <f t="shared" si="90"/>
        <v>152784</v>
      </c>
      <c r="M634" s="74">
        <f t="shared" si="91"/>
        <v>187</v>
      </c>
    </row>
    <row r="635" spans="1:13">
      <c r="A635" s="29">
        <v>46160</v>
      </c>
      <c r="B635" s="78" t="s">
        <v>33</v>
      </c>
      <c r="C635" s="78"/>
      <c r="D635" s="78"/>
      <c r="E635" s="79"/>
      <c r="F635" s="75">
        <v>0</v>
      </c>
      <c r="G635" s="75">
        <v>9</v>
      </c>
      <c r="H635" s="75">
        <v>9</v>
      </c>
      <c r="I635" s="30">
        <v>72251</v>
      </c>
      <c r="J635" s="75">
        <v>0</v>
      </c>
      <c r="K635" s="75">
        <v>0</v>
      </c>
      <c r="L635" s="74">
        <f t="shared" si="90"/>
        <v>152784</v>
      </c>
      <c r="M635" s="74">
        <f t="shared" si="91"/>
        <v>187</v>
      </c>
    </row>
    <row r="636" spans="1:13">
      <c r="A636" s="27">
        <v>46161</v>
      </c>
      <c r="B636" s="76" t="s">
        <v>33</v>
      </c>
      <c r="C636" s="76"/>
      <c r="D636" s="76"/>
      <c r="E636" s="77"/>
      <c r="F636" s="74">
        <v>0</v>
      </c>
      <c r="G636" s="74">
        <v>7</v>
      </c>
      <c r="H636" s="74">
        <v>7</v>
      </c>
      <c r="I636" s="4">
        <v>72381</v>
      </c>
      <c r="J636" s="74">
        <v>0</v>
      </c>
      <c r="K636" s="74">
        <v>0</v>
      </c>
      <c r="L636" s="74">
        <f t="shared" ref="L636:L641" si="92">J636+L635</f>
        <v>152784</v>
      </c>
      <c r="M636" s="74">
        <f t="shared" ref="M636:M641" si="93">K636+M635</f>
        <v>187</v>
      </c>
    </row>
    <row r="637" spans="1:13">
      <c r="A637" s="27">
        <v>46162</v>
      </c>
      <c r="B637" s="76" t="s">
        <v>49</v>
      </c>
      <c r="C637" s="76"/>
      <c r="D637" s="76"/>
      <c r="E637" s="77"/>
      <c r="F637" s="74">
        <v>0</v>
      </c>
      <c r="G637" s="74">
        <v>1</v>
      </c>
      <c r="H637" s="74">
        <v>1</v>
      </c>
      <c r="I637" s="4">
        <v>72382</v>
      </c>
      <c r="J637" s="74">
        <v>0</v>
      </c>
      <c r="K637" s="74">
        <v>0</v>
      </c>
      <c r="L637" s="74">
        <f t="shared" si="92"/>
        <v>152784</v>
      </c>
      <c r="M637" s="74">
        <f t="shared" si="93"/>
        <v>187</v>
      </c>
    </row>
    <row r="638" spans="1:13">
      <c r="A638" s="27">
        <v>46162</v>
      </c>
      <c r="B638" s="76" t="s">
        <v>33</v>
      </c>
      <c r="C638" s="76"/>
      <c r="D638" s="76"/>
      <c r="E638" s="77"/>
      <c r="F638" s="74">
        <v>0</v>
      </c>
      <c r="G638" s="74">
        <v>8</v>
      </c>
      <c r="H638" s="74">
        <v>8</v>
      </c>
      <c r="I638" s="4">
        <v>72390</v>
      </c>
      <c r="J638" s="74">
        <v>0</v>
      </c>
      <c r="K638" s="74">
        <v>0</v>
      </c>
      <c r="L638" s="74">
        <f t="shared" si="92"/>
        <v>152784</v>
      </c>
      <c r="M638" s="74">
        <f t="shared" si="93"/>
        <v>187</v>
      </c>
    </row>
    <row r="639" spans="1:13">
      <c r="A639" s="27">
        <v>46162</v>
      </c>
      <c r="B639" s="76" t="s">
        <v>49</v>
      </c>
      <c r="C639" s="76"/>
      <c r="D639" s="76"/>
      <c r="E639" s="77"/>
      <c r="F639" s="74">
        <v>0</v>
      </c>
      <c r="G639" s="74">
        <v>1</v>
      </c>
      <c r="H639" s="74">
        <v>1</v>
      </c>
      <c r="I639" s="4">
        <v>72391</v>
      </c>
      <c r="J639" s="74">
        <v>0</v>
      </c>
      <c r="K639" s="74">
        <v>0</v>
      </c>
      <c r="L639" s="74">
        <f t="shared" si="92"/>
        <v>152784</v>
      </c>
      <c r="M639" s="74">
        <f t="shared" si="93"/>
        <v>187</v>
      </c>
    </row>
    <row r="640" spans="1:13">
      <c r="A640" s="27">
        <v>46163</v>
      </c>
      <c r="B640" s="76" t="s">
        <v>33</v>
      </c>
      <c r="C640" s="76"/>
      <c r="D640" s="76"/>
      <c r="E640" s="77"/>
      <c r="F640" s="74">
        <v>0</v>
      </c>
      <c r="G640" s="74">
        <v>4</v>
      </c>
      <c r="H640" s="74">
        <v>4</v>
      </c>
      <c r="I640" s="4">
        <v>72395</v>
      </c>
      <c r="J640" s="74">
        <v>0</v>
      </c>
      <c r="K640" s="74">
        <v>0</v>
      </c>
      <c r="L640" s="74">
        <f t="shared" si="92"/>
        <v>152784</v>
      </c>
      <c r="M640" s="74">
        <f t="shared" si="93"/>
        <v>187</v>
      </c>
    </row>
    <row r="641" spans="1:13">
      <c r="A641" s="29">
        <v>46164</v>
      </c>
      <c r="B641" s="78" t="s">
        <v>33</v>
      </c>
      <c r="C641" s="78"/>
      <c r="D641" s="78"/>
      <c r="E641" s="79"/>
      <c r="F641" s="75">
        <v>0</v>
      </c>
      <c r="G641" s="75">
        <v>7</v>
      </c>
      <c r="H641" s="75">
        <v>7</v>
      </c>
      <c r="I641" s="30">
        <v>72402</v>
      </c>
      <c r="J641" s="75">
        <v>0</v>
      </c>
      <c r="K641" s="75">
        <v>0</v>
      </c>
      <c r="L641" s="74">
        <f t="shared" si="92"/>
        <v>152784</v>
      </c>
      <c r="M641" s="74">
        <f t="shared" si="93"/>
        <v>187</v>
      </c>
    </row>
  </sheetData>
  <autoFilter ref="A1:O523" xr:uid="{2A57836D-5153-486D-8B76-48FAFDDE1EA1}"/>
  <mergeCells count="431">
    <mergeCell ref="B636:E636"/>
    <mergeCell ref="B637:E637"/>
    <mergeCell ref="B638:E638"/>
    <mergeCell ref="B639:E639"/>
    <mergeCell ref="B640:E640"/>
    <mergeCell ref="B641:E641"/>
    <mergeCell ref="B630:E630"/>
    <mergeCell ref="B631:E631"/>
    <mergeCell ref="B632:E632"/>
    <mergeCell ref="B600:E600"/>
    <mergeCell ref="B601:E601"/>
    <mergeCell ref="B602:E602"/>
    <mergeCell ref="B603:E603"/>
    <mergeCell ref="B604:E604"/>
    <mergeCell ref="B617:E617"/>
    <mergeCell ref="B618:E618"/>
    <mergeCell ref="B619:E619"/>
    <mergeCell ref="B620:E620"/>
    <mergeCell ref="B621:E621"/>
    <mergeCell ref="B622:E622"/>
    <mergeCell ref="B623:E623"/>
    <mergeCell ref="B624:E624"/>
    <mergeCell ref="B625:E625"/>
    <mergeCell ref="B564:E564"/>
    <mergeCell ref="B565:E565"/>
    <mergeCell ref="B566:E566"/>
    <mergeCell ref="B575:E575"/>
    <mergeCell ref="B577:E577"/>
    <mergeCell ref="B579:E579"/>
    <mergeCell ref="B626:E626"/>
    <mergeCell ref="B628:E628"/>
    <mergeCell ref="B629:E629"/>
    <mergeCell ref="B550:E550"/>
    <mergeCell ref="B551:E551"/>
    <mergeCell ref="B552:E552"/>
    <mergeCell ref="B553:E553"/>
    <mergeCell ref="B554:E554"/>
    <mergeCell ref="B557:E557"/>
    <mergeCell ref="B561:E561"/>
    <mergeCell ref="B562:E562"/>
    <mergeCell ref="B563:E563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606:E606"/>
    <mergeCell ref="B607:E607"/>
    <mergeCell ref="B599:E59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95:E595"/>
    <mergeCell ref="B596:E596"/>
    <mergeCell ref="B597:E597"/>
    <mergeCell ref="B598:E598"/>
    <mergeCell ref="B558:E558"/>
    <mergeCell ref="B559:E559"/>
    <mergeCell ref="B556:E556"/>
    <mergeCell ref="B548:E548"/>
    <mergeCell ref="B549:E549"/>
    <mergeCell ref="B633:E633"/>
    <mergeCell ref="B634:E634"/>
    <mergeCell ref="B635:E635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  <hyperlink ref="G627" r:id="rId179" display="450" xr:uid="{27C02157-6C09-4330-9F0E-06204B445BAA}"/>
  </hyperlinks>
  <pageMargins left="0.7" right="0.7" top="0.75" bottom="0.75" header="0.3" footer="0.3"/>
  <drawing r:id="rId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E53" sqref="E53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242</v>
      </c>
      <c r="C2" s="32" t="s">
        <v>243</v>
      </c>
      <c r="D2" s="32" t="s">
        <v>244</v>
      </c>
      <c r="E2" s="32" t="s">
        <v>1</v>
      </c>
      <c r="F2" s="32" t="s">
        <v>245</v>
      </c>
      <c r="G2" s="34" t="s">
        <v>246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1624</v>
      </c>
    </row>
    <row r="4" spans="2:10" ht="15">
      <c r="B4" s="44"/>
      <c r="C4" s="45"/>
      <c r="D4" s="45"/>
      <c r="E4" s="45"/>
      <c r="F4" s="45"/>
      <c r="G4" s="34">
        <f t="shared" si="0"/>
        <v>1624</v>
      </c>
      <c r="I4" t="s">
        <v>247</v>
      </c>
      <c r="J4">
        <f>SUMIFS(F3:F30143,D3:D30143, "*JAL国内線*")</f>
        <v>1100</v>
      </c>
    </row>
    <row r="5" spans="2:10" ht="15">
      <c r="B5" s="44"/>
      <c r="C5" s="45"/>
      <c r="D5" s="45"/>
      <c r="E5" s="45"/>
      <c r="F5" s="45"/>
      <c r="G5" s="34">
        <f t="shared" si="0"/>
        <v>1624</v>
      </c>
      <c r="I5" t="s">
        <v>248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1624</v>
      </c>
      <c r="I6" t="s">
        <v>249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1624</v>
      </c>
      <c r="I7" t="s">
        <v>250</v>
      </c>
      <c r="J7">
        <f>SUMIFS(F3:F30143,D3:D30143, "*JALモバイル*")</f>
        <v>10</v>
      </c>
    </row>
    <row r="8" spans="2:10" ht="15">
      <c r="B8" s="44"/>
      <c r="C8" s="45"/>
      <c r="D8" s="45"/>
      <c r="E8" s="45"/>
      <c r="F8" s="45"/>
      <c r="G8" s="34">
        <f t="shared" si="0"/>
        <v>1624</v>
      </c>
      <c r="I8" s="31" t="s">
        <v>251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1624</v>
      </c>
      <c r="I9" s="31" t="s">
        <v>252</v>
      </c>
      <c r="J9">
        <f>SUMIFS(F3:F30143,D3:D30143, "*JALマイレージパーク*")</f>
        <v>11</v>
      </c>
    </row>
    <row r="10" spans="2:10" ht="15">
      <c r="B10" s="44"/>
      <c r="C10" s="45"/>
      <c r="D10" s="45"/>
      <c r="E10" s="45"/>
      <c r="F10" s="45"/>
      <c r="G10" s="34">
        <f t="shared" si="0"/>
        <v>1624</v>
      </c>
      <c r="I10" s="31" t="s">
        <v>253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1624</v>
      </c>
      <c r="I11" s="31" t="s">
        <v>254</v>
      </c>
      <c r="J11">
        <f>SUM(J4:J10)</f>
        <v>1624</v>
      </c>
    </row>
    <row r="12" spans="2:10" ht="15">
      <c r="B12" s="44"/>
      <c r="C12" s="45"/>
      <c r="D12" s="45"/>
      <c r="E12" s="45"/>
      <c r="F12" s="45"/>
      <c r="G12" s="34">
        <f t="shared" si="0"/>
        <v>1624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1624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1624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1624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1624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1624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1624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1624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1624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1624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1624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1624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1624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1624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1624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1624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1624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1624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1624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1624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1624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1624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1624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1624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1624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1624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1624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1624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1624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1624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1624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1624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1624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1624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1624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1624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1624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1624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1624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1624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1624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1624</v>
      </c>
      <c r="I53" s="31"/>
    </row>
    <row r="54" spans="2:9" ht="17.25">
      <c r="B54" s="44">
        <v>46163</v>
      </c>
      <c r="C54" s="45" t="s">
        <v>255</v>
      </c>
      <c r="D54" s="45" t="s">
        <v>250</v>
      </c>
      <c r="E54" s="45" t="s">
        <v>250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255</v>
      </c>
      <c r="D55" s="45" t="s">
        <v>252</v>
      </c>
      <c r="E55" s="45" t="s">
        <v>256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255</v>
      </c>
      <c r="D56" s="45" t="s">
        <v>251</v>
      </c>
      <c r="E56" s="45" t="s">
        <v>257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258</v>
      </c>
      <c r="D57" s="45" t="s">
        <v>247</v>
      </c>
      <c r="E57" s="45" t="s">
        <v>259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255</v>
      </c>
      <c r="D58" s="45" t="s">
        <v>249</v>
      </c>
      <c r="E58" s="45" t="s">
        <v>260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258</v>
      </c>
      <c r="D59" s="45" t="s">
        <v>247</v>
      </c>
      <c r="E59" s="45" t="s">
        <v>259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258</v>
      </c>
      <c r="D60" s="45" t="s">
        <v>247</v>
      </c>
      <c r="E60" s="45" t="s">
        <v>259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255</v>
      </c>
      <c r="D61" s="45" t="s">
        <v>252</v>
      </c>
      <c r="E61" s="45" t="s">
        <v>256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255</v>
      </c>
      <c r="D62" s="45" t="s">
        <v>252</v>
      </c>
      <c r="E62" s="45" t="s">
        <v>256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258</v>
      </c>
      <c r="D63" s="45" t="s">
        <v>247</v>
      </c>
      <c r="E63" s="45" t="s">
        <v>259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255</v>
      </c>
      <c r="D64" s="45" t="s">
        <v>250</v>
      </c>
      <c r="E64" s="45" t="s">
        <v>250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258</v>
      </c>
      <c r="D65" s="45" t="s">
        <v>247</v>
      </c>
      <c r="E65" s="45" t="s">
        <v>259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255</v>
      </c>
      <c r="D66" s="45" t="s">
        <v>251</v>
      </c>
      <c r="E66" s="45" t="s">
        <v>257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258</v>
      </c>
      <c r="D67" s="45" t="s">
        <v>247</v>
      </c>
      <c r="E67" s="45" t="s">
        <v>259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258</v>
      </c>
      <c r="D68" s="45" t="s">
        <v>247</v>
      </c>
      <c r="E68" s="45" t="s">
        <v>259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255</v>
      </c>
      <c r="D69" s="45" t="s">
        <v>249</v>
      </c>
      <c r="E69" s="45" t="s">
        <v>260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258</v>
      </c>
      <c r="D70" s="45" t="s">
        <v>247</v>
      </c>
      <c r="E70" s="45" t="s">
        <v>259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258</v>
      </c>
      <c r="D71" s="45" t="s">
        <v>247</v>
      </c>
      <c r="E71" s="45" t="s">
        <v>259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258</v>
      </c>
      <c r="D72" s="45" t="s">
        <v>247</v>
      </c>
      <c r="E72" s="45" t="s">
        <v>259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255</v>
      </c>
      <c r="D73" s="45" t="s">
        <v>252</v>
      </c>
      <c r="E73" s="45" t="s">
        <v>256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253</v>
      </c>
      <c r="D74" s="45" t="s">
        <v>253</v>
      </c>
      <c r="E74" s="45" t="s">
        <v>261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258</v>
      </c>
      <c r="D75" s="45" t="s">
        <v>247</v>
      </c>
      <c r="E75" s="45" t="s">
        <v>259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258</v>
      </c>
      <c r="D76" s="45" t="s">
        <v>247</v>
      </c>
      <c r="E76" s="45" t="s">
        <v>259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253</v>
      </c>
      <c r="D77" s="45" t="s">
        <v>253</v>
      </c>
      <c r="E77" s="45" t="s">
        <v>262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255</v>
      </c>
      <c r="D78" s="45" t="s">
        <v>252</v>
      </c>
      <c r="E78" s="45" t="s">
        <v>256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255</v>
      </c>
      <c r="D79" s="45" t="s">
        <v>250</v>
      </c>
      <c r="E79" s="45" t="s">
        <v>250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255</v>
      </c>
      <c r="D80" s="45" t="s">
        <v>251</v>
      </c>
      <c r="E80" s="45" t="s">
        <v>257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258</v>
      </c>
      <c r="D81" s="45" t="s">
        <v>247</v>
      </c>
      <c r="E81" s="45" t="s">
        <v>259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255</v>
      </c>
      <c r="D82" s="45" t="s">
        <v>249</v>
      </c>
      <c r="E82" s="45" t="s">
        <v>260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258</v>
      </c>
      <c r="D83" s="45" t="s">
        <v>247</v>
      </c>
      <c r="E83" s="45" t="s">
        <v>259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258</v>
      </c>
      <c r="D84" s="45" t="s">
        <v>247</v>
      </c>
      <c r="E84" s="45" t="s">
        <v>259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258</v>
      </c>
      <c r="D85" s="45" t="s">
        <v>247</v>
      </c>
      <c r="E85" s="45" t="s">
        <v>259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258</v>
      </c>
      <c r="D86" s="45" t="s">
        <v>247</v>
      </c>
      <c r="E86" s="45" t="s">
        <v>259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255</v>
      </c>
      <c r="D87" s="45" t="s">
        <v>252</v>
      </c>
      <c r="E87" s="45" t="s">
        <v>256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255</v>
      </c>
      <c r="D88" s="45" t="s">
        <v>250</v>
      </c>
      <c r="E88" s="45" t="s">
        <v>250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255</v>
      </c>
      <c r="D89" s="45" t="s">
        <v>251</v>
      </c>
      <c r="E89" s="45" t="s">
        <v>257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258</v>
      </c>
      <c r="D90" s="45" t="s">
        <v>247</v>
      </c>
      <c r="E90" s="45" t="s">
        <v>259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258</v>
      </c>
      <c r="D91" s="45" t="s">
        <v>247</v>
      </c>
      <c r="E91" s="45" t="s">
        <v>259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255</v>
      </c>
      <c r="D92" s="45" t="s">
        <v>249</v>
      </c>
      <c r="E92" s="45" t="s">
        <v>260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258</v>
      </c>
      <c r="D93" s="45" t="s">
        <v>247</v>
      </c>
      <c r="E93" s="45" t="s">
        <v>259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258</v>
      </c>
      <c r="D94" s="45" t="s">
        <v>247</v>
      </c>
      <c r="E94" s="45" t="s">
        <v>259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258</v>
      </c>
      <c r="D95" s="45" t="s">
        <v>247</v>
      </c>
      <c r="E95" s="45" t="s">
        <v>259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258</v>
      </c>
      <c r="D96" s="45" t="s">
        <v>247</v>
      </c>
      <c r="E96" s="45" t="s">
        <v>259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258</v>
      </c>
      <c r="D97" s="45" t="s">
        <v>247</v>
      </c>
      <c r="E97" s="45" t="s">
        <v>259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258</v>
      </c>
      <c r="D98" s="45" t="s">
        <v>247</v>
      </c>
      <c r="E98" s="45" t="s">
        <v>259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258</v>
      </c>
      <c r="D99" s="45" t="s">
        <v>247</v>
      </c>
      <c r="E99" s="45" t="s">
        <v>259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253</v>
      </c>
      <c r="D100" s="45" t="s">
        <v>253</v>
      </c>
      <c r="E100" s="45" t="s">
        <v>263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258</v>
      </c>
      <c r="D101" s="45" t="s">
        <v>247</v>
      </c>
      <c r="E101" s="45" t="s">
        <v>259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258</v>
      </c>
      <c r="D102" s="45" t="s">
        <v>247</v>
      </c>
      <c r="E102" s="45" t="s">
        <v>259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258</v>
      </c>
      <c r="D103" s="45" t="s">
        <v>247</v>
      </c>
      <c r="E103" s="45" t="s">
        <v>259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258</v>
      </c>
      <c r="D104" s="45" t="s">
        <v>247</v>
      </c>
      <c r="E104" s="45" t="s">
        <v>259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255</v>
      </c>
      <c r="D105" s="45" t="s">
        <v>252</v>
      </c>
      <c r="E105" s="45" t="s">
        <v>256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258</v>
      </c>
      <c r="D106" s="45" t="s">
        <v>247</v>
      </c>
      <c r="E106" s="45" t="s">
        <v>259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255</v>
      </c>
      <c r="D107" s="45" t="s">
        <v>250</v>
      </c>
      <c r="E107" s="45" t="s">
        <v>250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258</v>
      </c>
      <c r="D108" s="45" t="s">
        <v>247</v>
      </c>
      <c r="E108" s="45" t="s">
        <v>259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258</v>
      </c>
      <c r="D109" s="45" t="s">
        <v>247</v>
      </c>
      <c r="E109" s="45" t="s">
        <v>259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255</v>
      </c>
      <c r="D110" s="45" t="s">
        <v>251</v>
      </c>
      <c r="E110" s="45" t="s">
        <v>257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258</v>
      </c>
      <c r="D111" s="45" t="s">
        <v>247</v>
      </c>
      <c r="E111" s="45" t="s">
        <v>259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258</v>
      </c>
      <c r="D112" s="45" t="s">
        <v>247</v>
      </c>
      <c r="E112" s="45" t="s">
        <v>259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255</v>
      </c>
      <c r="D113" s="45" t="s">
        <v>249</v>
      </c>
      <c r="E113" s="45" t="s">
        <v>260</v>
      </c>
      <c r="F113" s="45">
        <v>30</v>
      </c>
      <c r="G113" s="34">
        <f t="shared" si="0"/>
        <v>711</v>
      </c>
      <c r="J113">
        <f>SUM(J4:J11)</f>
        <v>3248</v>
      </c>
    </row>
    <row r="114" spans="2:10" ht="17.25">
      <c r="B114" s="44">
        <v>46033</v>
      </c>
      <c r="C114" s="45" t="s">
        <v>258</v>
      </c>
      <c r="D114" s="45" t="s">
        <v>247</v>
      </c>
      <c r="E114" s="45" t="s">
        <v>259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258</v>
      </c>
      <c r="D115" s="45" t="s">
        <v>247</v>
      </c>
      <c r="E115" s="45" t="s">
        <v>259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258</v>
      </c>
      <c r="D116" s="45" t="s">
        <v>247</v>
      </c>
      <c r="E116" s="45" t="s">
        <v>259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258</v>
      </c>
      <c r="D117" s="45" t="s">
        <v>247</v>
      </c>
      <c r="E117" s="45" t="s">
        <v>259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258</v>
      </c>
      <c r="D118" s="45" t="s">
        <v>247</v>
      </c>
      <c r="E118" s="45" t="s">
        <v>259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255</v>
      </c>
      <c r="D119" s="45" t="s">
        <v>252</v>
      </c>
      <c r="E119" s="45" t="s">
        <v>256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258</v>
      </c>
      <c r="D120" s="45" t="s">
        <v>247</v>
      </c>
      <c r="E120" s="45" t="s">
        <v>259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258</v>
      </c>
      <c r="D121" s="45" t="s">
        <v>247</v>
      </c>
      <c r="E121" s="45" t="s">
        <v>259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255</v>
      </c>
      <c r="D122" s="45" t="s">
        <v>250</v>
      </c>
      <c r="E122" s="45" t="s">
        <v>250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255</v>
      </c>
      <c r="D123" s="45" t="s">
        <v>251</v>
      </c>
      <c r="E123" s="45" t="s">
        <v>257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255</v>
      </c>
      <c r="D124" s="45" t="s">
        <v>249</v>
      </c>
      <c r="E124" s="45" t="s">
        <v>260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258</v>
      </c>
      <c r="D125" s="45" t="s">
        <v>247</v>
      </c>
      <c r="E125" s="45" t="s">
        <v>259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258</v>
      </c>
      <c r="D126" s="45" t="s">
        <v>247</v>
      </c>
      <c r="E126" s="45" t="s">
        <v>259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258</v>
      </c>
      <c r="D127" s="45" t="s">
        <v>247</v>
      </c>
      <c r="E127" s="45" t="s">
        <v>259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258</v>
      </c>
      <c r="D128" s="45" t="s">
        <v>247</v>
      </c>
      <c r="E128" s="45" t="s">
        <v>259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258</v>
      </c>
      <c r="D129" s="45" t="s">
        <v>247</v>
      </c>
      <c r="E129" s="45" t="s">
        <v>259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253</v>
      </c>
      <c r="D130" s="45" t="s">
        <v>253</v>
      </c>
      <c r="E130" s="45" t="s">
        <v>264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258</v>
      </c>
      <c r="D131" s="45" t="s">
        <v>247</v>
      </c>
      <c r="E131" s="45" t="s">
        <v>259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258</v>
      </c>
      <c r="D132" s="45" t="s">
        <v>247</v>
      </c>
      <c r="E132" s="45" t="s">
        <v>259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258</v>
      </c>
      <c r="D133" s="45" t="s">
        <v>247</v>
      </c>
      <c r="E133" s="45" t="s">
        <v>259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258</v>
      </c>
      <c r="D134" s="45" t="s">
        <v>247</v>
      </c>
      <c r="E134" s="45" t="s">
        <v>259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255</v>
      </c>
      <c r="D135" s="45" t="s">
        <v>252</v>
      </c>
      <c r="E135" s="45" t="s">
        <v>256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255</v>
      </c>
      <c r="D136" s="45" t="s">
        <v>250</v>
      </c>
      <c r="E136" s="45" t="s">
        <v>250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255</v>
      </c>
      <c r="D137" s="45" t="s">
        <v>251</v>
      </c>
      <c r="E137" s="45" t="s">
        <v>257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255</v>
      </c>
      <c r="D138" s="45" t="s">
        <v>249</v>
      </c>
      <c r="E138" s="45" t="s">
        <v>260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253</v>
      </c>
      <c r="D139" s="45" t="s">
        <v>253</v>
      </c>
      <c r="E139" s="45" t="s">
        <v>265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258</v>
      </c>
      <c r="D140" s="45" t="s">
        <v>247</v>
      </c>
      <c r="E140" s="45" t="s">
        <v>259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258</v>
      </c>
      <c r="D141" s="45" t="s">
        <v>247</v>
      </c>
      <c r="E141" s="45" t="s">
        <v>259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258</v>
      </c>
      <c r="D142" s="45" t="s">
        <v>247</v>
      </c>
      <c r="E142" s="45" t="s">
        <v>259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255</v>
      </c>
      <c r="D143" s="45" t="s">
        <v>252</v>
      </c>
      <c r="E143" s="45" t="s">
        <v>256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258</v>
      </c>
      <c r="D144" s="45" t="s">
        <v>247</v>
      </c>
      <c r="E144" s="45" t="s">
        <v>259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255</v>
      </c>
      <c r="D145" s="45" t="s">
        <v>250</v>
      </c>
      <c r="E145" s="45" t="s">
        <v>250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255</v>
      </c>
      <c r="D146" s="45" t="s">
        <v>251</v>
      </c>
      <c r="E146" s="45" t="s">
        <v>257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258</v>
      </c>
      <c r="D147" s="45" t="s">
        <v>247</v>
      </c>
      <c r="E147" s="45" t="s">
        <v>259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255</v>
      </c>
      <c r="D148" s="45" t="s">
        <v>249</v>
      </c>
      <c r="E148" s="45" t="s">
        <v>260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258</v>
      </c>
      <c r="D149" s="45" t="s">
        <v>247</v>
      </c>
      <c r="E149" s="45" t="s">
        <v>259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258</v>
      </c>
      <c r="D150" s="45" t="s">
        <v>247</v>
      </c>
      <c r="E150" s="45" t="s">
        <v>259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258</v>
      </c>
      <c r="D151" s="45" t="s">
        <v>247</v>
      </c>
      <c r="E151" s="45" t="s">
        <v>259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258</v>
      </c>
      <c r="D152" s="45" t="s">
        <v>247</v>
      </c>
      <c r="E152" s="45" t="s">
        <v>259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258</v>
      </c>
      <c r="D153" s="45" t="s">
        <v>247</v>
      </c>
      <c r="E153" s="45" t="s">
        <v>259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258</v>
      </c>
      <c r="D154" s="45" t="s">
        <v>247</v>
      </c>
      <c r="E154" s="45" t="s">
        <v>259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258</v>
      </c>
      <c r="D155" s="45" t="s">
        <v>247</v>
      </c>
      <c r="E155" s="45" t="s">
        <v>259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258</v>
      </c>
      <c r="D156" s="45" t="s">
        <v>247</v>
      </c>
      <c r="E156" s="45" t="s">
        <v>259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258</v>
      </c>
      <c r="D157" s="45" t="s">
        <v>247</v>
      </c>
      <c r="E157" s="45" t="s">
        <v>259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255</v>
      </c>
      <c r="D158" s="45" t="s">
        <v>250</v>
      </c>
      <c r="E158" s="45" t="s">
        <v>250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255</v>
      </c>
      <c r="D159" s="45" t="s">
        <v>251</v>
      </c>
      <c r="E159" s="45" t="s">
        <v>257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255</v>
      </c>
      <c r="D160" s="45" t="s">
        <v>249</v>
      </c>
      <c r="E160" s="45" t="s">
        <v>260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258</v>
      </c>
      <c r="D161" s="45" t="s">
        <v>247</v>
      </c>
      <c r="E161" s="45" t="s">
        <v>259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258</v>
      </c>
      <c r="D162" s="45" t="s">
        <v>247</v>
      </c>
      <c r="E162" s="45" t="s">
        <v>259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258</v>
      </c>
      <c r="D163" s="45" t="s">
        <v>247</v>
      </c>
      <c r="E163" s="45" t="s">
        <v>259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258</v>
      </c>
      <c r="D164" s="45" t="s">
        <v>247</v>
      </c>
      <c r="E164" s="45" t="s">
        <v>259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255</v>
      </c>
      <c r="D165" s="45" t="s">
        <v>250</v>
      </c>
      <c r="E165" s="45" t="s">
        <v>250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255</v>
      </c>
      <c r="D166" s="45" t="s">
        <v>251</v>
      </c>
      <c r="E166" s="45" t="s">
        <v>257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258</v>
      </c>
      <c r="D167" s="45" t="s">
        <v>247</v>
      </c>
      <c r="E167" s="45" t="s">
        <v>259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258</v>
      </c>
      <c r="D168" s="33" t="s">
        <v>247</v>
      </c>
      <c r="E168" s="33" t="s">
        <v>259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258</v>
      </c>
      <c r="D169" s="33" t="s">
        <v>247</v>
      </c>
      <c r="E169" s="33" t="s">
        <v>259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258</v>
      </c>
      <c r="D170" s="33" t="s">
        <v>247</v>
      </c>
      <c r="E170" s="33" t="s">
        <v>259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258</v>
      </c>
      <c r="D171" s="33" t="s">
        <v>247</v>
      </c>
      <c r="E171" s="33" t="s">
        <v>259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258</v>
      </c>
      <c r="D172" s="33" t="s">
        <v>247</v>
      </c>
      <c r="E172" s="33" t="s">
        <v>259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258</v>
      </c>
      <c r="D173" s="33" t="s">
        <v>247</v>
      </c>
      <c r="E173" s="33" t="s">
        <v>259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258</v>
      </c>
      <c r="D174" s="33" t="s">
        <v>247</v>
      </c>
      <c r="E174" s="33" t="s">
        <v>259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258</v>
      </c>
      <c r="D175" s="33" t="s">
        <v>247</v>
      </c>
      <c r="E175" s="33" t="s">
        <v>259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258</v>
      </c>
      <c r="D176" s="33" t="s">
        <v>247</v>
      </c>
      <c r="E176" s="33" t="s">
        <v>259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258</v>
      </c>
      <c r="D177" s="33" t="s">
        <v>247</v>
      </c>
      <c r="E177" s="33" t="s">
        <v>259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258</v>
      </c>
      <c r="D178" s="33" t="s">
        <v>247</v>
      </c>
      <c r="E178" s="33" t="s">
        <v>259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258</v>
      </c>
      <c r="D179" s="33" t="s">
        <v>247</v>
      </c>
      <c r="E179" s="33" t="s">
        <v>259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258</v>
      </c>
      <c r="D180" s="33" t="s">
        <v>247</v>
      </c>
      <c r="E180" s="33" t="s">
        <v>259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258</v>
      </c>
      <c r="D181" s="33" t="s">
        <v>247</v>
      </c>
      <c r="E181" s="33" t="s">
        <v>259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258</v>
      </c>
      <c r="D182" s="33" t="s">
        <v>247</v>
      </c>
      <c r="E182" s="33" t="s">
        <v>259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258</v>
      </c>
      <c r="D183" s="33" t="s">
        <v>247</v>
      </c>
      <c r="E183" s="33" t="s">
        <v>259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258</v>
      </c>
      <c r="D184" s="33" t="s">
        <v>247</v>
      </c>
      <c r="E184" s="33" t="s">
        <v>259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258</v>
      </c>
      <c r="D185" s="33" t="s">
        <v>247</v>
      </c>
      <c r="E185" s="33" t="s">
        <v>259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258</v>
      </c>
      <c r="D186" s="33" t="s">
        <v>247</v>
      </c>
      <c r="E186" s="33" t="s">
        <v>259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258</v>
      </c>
      <c r="D187" s="33" t="s">
        <v>247</v>
      </c>
      <c r="E187" s="33" t="s">
        <v>259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258</v>
      </c>
      <c r="D188" s="33" t="s">
        <v>266</v>
      </c>
      <c r="E188" s="33" t="s">
        <v>267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258</v>
      </c>
      <c r="D189" s="33" t="s">
        <v>266</v>
      </c>
      <c r="E189" s="33" t="s">
        <v>267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258</v>
      </c>
      <c r="D190" s="33" t="s">
        <v>266</v>
      </c>
      <c r="E190" s="33" t="s">
        <v>267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258</v>
      </c>
      <c r="D191" s="68" t="s">
        <v>247</v>
      </c>
      <c r="E191" s="68" t="s">
        <v>259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253" workbookViewId="0">
      <selection activeCell="K284" sqref="K284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268</v>
      </c>
      <c r="B1" s="17" t="s">
        <v>0</v>
      </c>
      <c r="C1" s="17" t="s">
        <v>269</v>
      </c>
      <c r="D1" s="17" t="s">
        <v>270</v>
      </c>
      <c r="E1" s="17" t="s">
        <v>271</v>
      </c>
      <c r="F1" s="17" t="s">
        <v>272</v>
      </c>
      <c r="G1" s="17" t="s">
        <v>273</v>
      </c>
      <c r="H1" s="17" t="s">
        <v>274</v>
      </c>
      <c r="I1" s="18" t="s">
        <v>275</v>
      </c>
      <c r="J1" s="18" t="s">
        <v>276</v>
      </c>
      <c r="K1" s="18" t="s">
        <v>277</v>
      </c>
      <c r="L1" s="18" t="s">
        <v>278</v>
      </c>
      <c r="M1" s="17" t="s">
        <v>279</v>
      </c>
    </row>
    <row r="2" spans="1:13" hidden="1">
      <c r="A2" s="14">
        <v>1</v>
      </c>
      <c r="B2" s="43">
        <v>45926</v>
      </c>
      <c r="C2" s="12" t="s">
        <v>280</v>
      </c>
      <c r="D2" s="12">
        <v>305</v>
      </c>
      <c r="E2" s="12" t="s">
        <v>281</v>
      </c>
      <c r="F2" s="13">
        <v>0.30208333333333331</v>
      </c>
      <c r="G2" s="12" t="s">
        <v>282</v>
      </c>
      <c r="H2" s="13">
        <v>0.375</v>
      </c>
      <c r="I2" s="15" t="s">
        <v>283</v>
      </c>
      <c r="J2" s="15"/>
      <c r="K2" s="22">
        <v>13320</v>
      </c>
      <c r="L2" s="15" t="s">
        <v>284</v>
      </c>
      <c r="M2" s="63"/>
    </row>
    <row r="3" spans="1:13" hidden="1">
      <c r="A3" s="14">
        <v>2</v>
      </c>
      <c r="B3" s="42">
        <v>45926</v>
      </c>
      <c r="C3" s="12" t="s">
        <v>285</v>
      </c>
      <c r="D3" s="12">
        <v>3563</v>
      </c>
      <c r="E3" s="12" t="s">
        <v>282</v>
      </c>
      <c r="F3" s="13">
        <v>0.41319444444444442</v>
      </c>
      <c r="G3" s="12" t="s">
        <v>286</v>
      </c>
      <c r="H3" s="13">
        <v>0.4548611111111111</v>
      </c>
      <c r="I3" s="15" t="s">
        <v>287</v>
      </c>
      <c r="J3" s="15"/>
      <c r="K3" s="22">
        <v>12963</v>
      </c>
      <c r="L3" s="15" t="s">
        <v>284</v>
      </c>
      <c r="M3" s="15"/>
    </row>
    <row r="4" spans="1:13" hidden="1">
      <c r="A4" s="14">
        <v>3</v>
      </c>
      <c r="B4" s="42">
        <v>45926</v>
      </c>
      <c r="C4" s="12" t="s">
        <v>285</v>
      </c>
      <c r="D4" s="12">
        <v>3564</v>
      </c>
      <c r="E4" s="12" t="s">
        <v>286</v>
      </c>
      <c r="F4" s="13">
        <v>0.47916666666666669</v>
      </c>
      <c r="G4" s="12" t="s">
        <v>282</v>
      </c>
      <c r="H4" s="13">
        <v>0.52430555555555558</v>
      </c>
      <c r="I4" s="15" t="s">
        <v>288</v>
      </c>
      <c r="J4" s="15"/>
      <c r="K4" s="22">
        <v>12963</v>
      </c>
      <c r="L4" s="15" t="s">
        <v>284</v>
      </c>
      <c r="M4" s="15"/>
    </row>
    <row r="5" spans="1:13" hidden="1">
      <c r="A5" s="14">
        <v>4</v>
      </c>
      <c r="B5" s="42">
        <v>45926</v>
      </c>
      <c r="C5" s="12" t="s">
        <v>285</v>
      </c>
      <c r="D5" s="12">
        <v>3629</v>
      </c>
      <c r="E5" s="12" t="s">
        <v>282</v>
      </c>
      <c r="F5" s="13">
        <v>0.54861111111111116</v>
      </c>
      <c r="G5" s="12" t="s">
        <v>289</v>
      </c>
      <c r="H5" s="13">
        <v>0.57986111111111116</v>
      </c>
      <c r="I5" s="15" t="s">
        <v>288</v>
      </c>
      <c r="J5" s="15"/>
      <c r="K5" s="22">
        <v>6171</v>
      </c>
      <c r="L5" s="15" t="s">
        <v>284</v>
      </c>
      <c r="M5" s="15"/>
    </row>
    <row r="6" spans="1:13" hidden="1">
      <c r="A6" s="14">
        <v>5</v>
      </c>
      <c r="B6" s="42">
        <v>45926</v>
      </c>
      <c r="C6" s="12" t="s">
        <v>285</v>
      </c>
      <c r="D6" s="12">
        <v>3630</v>
      </c>
      <c r="E6" s="12" t="s">
        <v>289</v>
      </c>
      <c r="F6" s="13">
        <v>0.60069444444444442</v>
      </c>
      <c r="G6" s="12" t="s">
        <v>282</v>
      </c>
      <c r="H6" s="13">
        <v>0.63541666666666663</v>
      </c>
      <c r="I6" s="15" t="s">
        <v>290</v>
      </c>
      <c r="J6" s="15"/>
      <c r="K6" s="22">
        <v>9410</v>
      </c>
      <c r="L6" s="15" t="s">
        <v>284</v>
      </c>
      <c r="M6" s="15"/>
    </row>
    <row r="7" spans="1:13" hidden="1">
      <c r="A7" s="14">
        <v>6</v>
      </c>
      <c r="B7" s="42">
        <v>45926</v>
      </c>
      <c r="C7" s="12" t="s">
        <v>291</v>
      </c>
      <c r="D7" s="23">
        <v>61</v>
      </c>
      <c r="E7" s="12" t="s">
        <v>282</v>
      </c>
      <c r="F7" s="13">
        <v>0.66319444444444442</v>
      </c>
      <c r="G7" s="12" t="s">
        <v>292</v>
      </c>
      <c r="H7" s="13">
        <v>0.73263888888888884</v>
      </c>
      <c r="I7" s="15" t="s">
        <v>293</v>
      </c>
      <c r="J7" s="15"/>
      <c r="K7" s="22">
        <v>10591</v>
      </c>
      <c r="L7" s="15" t="s">
        <v>284</v>
      </c>
      <c r="M7" s="15"/>
    </row>
    <row r="8" spans="1:13" hidden="1">
      <c r="A8" s="14">
        <v>7</v>
      </c>
      <c r="B8" s="42">
        <v>45926</v>
      </c>
      <c r="C8" s="12" t="s">
        <v>291</v>
      </c>
      <c r="D8" s="23">
        <v>60</v>
      </c>
      <c r="E8" s="12" t="s">
        <v>292</v>
      </c>
      <c r="F8" s="13">
        <v>0.76736111111111116</v>
      </c>
      <c r="G8" s="12" t="s">
        <v>282</v>
      </c>
      <c r="H8" s="13">
        <v>0.84027777777777779</v>
      </c>
      <c r="I8" s="15" t="s">
        <v>294</v>
      </c>
      <c r="J8" s="15"/>
      <c r="K8" s="22">
        <v>16965</v>
      </c>
      <c r="L8" s="15" t="s">
        <v>284</v>
      </c>
      <c r="M8" s="15"/>
    </row>
    <row r="9" spans="1:13" hidden="1">
      <c r="A9" s="14">
        <v>8</v>
      </c>
      <c r="B9" s="42">
        <v>45927</v>
      </c>
      <c r="C9" s="12" t="s">
        <v>291</v>
      </c>
      <c r="D9" s="12">
        <v>51</v>
      </c>
      <c r="E9" s="12" t="s">
        <v>282</v>
      </c>
      <c r="F9" s="13">
        <v>0.30208333333333331</v>
      </c>
      <c r="G9" s="12" t="s">
        <v>292</v>
      </c>
      <c r="H9" s="13">
        <v>0.36805555555555558</v>
      </c>
      <c r="I9" s="15" t="s">
        <v>283</v>
      </c>
      <c r="J9" s="15"/>
      <c r="K9" s="22">
        <v>16965</v>
      </c>
      <c r="L9" s="15" t="s">
        <v>284</v>
      </c>
      <c r="M9" s="15"/>
    </row>
    <row r="10" spans="1:13" hidden="1">
      <c r="A10" s="14">
        <v>9</v>
      </c>
      <c r="B10" s="42">
        <v>45927</v>
      </c>
      <c r="C10" s="12" t="s">
        <v>291</v>
      </c>
      <c r="D10" s="12">
        <v>605</v>
      </c>
      <c r="E10" s="12" t="s">
        <v>292</v>
      </c>
      <c r="F10" s="13">
        <v>0.39930555555555558</v>
      </c>
      <c r="G10" s="12" t="s">
        <v>295</v>
      </c>
      <c r="H10" s="13">
        <v>0.44097222222222221</v>
      </c>
      <c r="I10" s="15" t="s">
        <v>293</v>
      </c>
      <c r="J10" s="15"/>
      <c r="K10" s="22">
        <v>6180</v>
      </c>
      <c r="L10" s="15" t="s">
        <v>284</v>
      </c>
      <c r="M10" s="15"/>
    </row>
    <row r="11" spans="1:13" hidden="1">
      <c r="A11" s="14">
        <v>10</v>
      </c>
      <c r="B11" s="42">
        <v>45927</v>
      </c>
      <c r="C11" s="12" t="s">
        <v>296</v>
      </c>
      <c r="D11" s="12">
        <v>743</v>
      </c>
      <c r="E11" s="12" t="s">
        <v>295</v>
      </c>
      <c r="F11" s="13">
        <v>0.52430555555555558</v>
      </c>
      <c r="G11" s="12" t="s">
        <v>297</v>
      </c>
      <c r="H11" s="13">
        <v>0.54513888888888884</v>
      </c>
      <c r="I11" s="15" t="s">
        <v>298</v>
      </c>
      <c r="J11" s="15"/>
      <c r="K11" s="22">
        <v>6583</v>
      </c>
      <c r="L11" s="15" t="s">
        <v>284</v>
      </c>
      <c r="M11" s="15"/>
    </row>
    <row r="12" spans="1:13" hidden="1">
      <c r="A12" s="14">
        <v>11</v>
      </c>
      <c r="B12" s="42">
        <v>45927</v>
      </c>
      <c r="C12" s="12" t="s">
        <v>296</v>
      </c>
      <c r="D12" s="12">
        <v>744</v>
      </c>
      <c r="E12" s="12" t="s">
        <v>297</v>
      </c>
      <c r="F12" s="13">
        <v>0.56597222222222221</v>
      </c>
      <c r="G12" s="12" t="s">
        <v>295</v>
      </c>
      <c r="H12" s="13">
        <v>0.58680555555555558</v>
      </c>
      <c r="I12" s="15" t="s">
        <v>290</v>
      </c>
      <c r="J12" s="15"/>
      <c r="K12" s="22">
        <v>6583</v>
      </c>
      <c r="L12" s="15" t="s">
        <v>284</v>
      </c>
      <c r="M12" s="15"/>
    </row>
    <row r="13" spans="1:13" hidden="1">
      <c r="A13" s="14">
        <v>12</v>
      </c>
      <c r="B13" s="42">
        <v>45927</v>
      </c>
      <c r="C13" s="12" t="s">
        <v>296</v>
      </c>
      <c r="D13" s="12">
        <v>834</v>
      </c>
      <c r="E13" s="12" t="s">
        <v>295</v>
      </c>
      <c r="F13" s="13">
        <v>0.61111111111111116</v>
      </c>
      <c r="G13" s="12" t="s">
        <v>299</v>
      </c>
      <c r="H13" s="13">
        <v>0.63194444444444442</v>
      </c>
      <c r="I13" s="15" t="s">
        <v>288</v>
      </c>
      <c r="J13" s="15"/>
      <c r="K13" s="22">
        <v>9020</v>
      </c>
      <c r="L13" s="15" t="s">
        <v>284</v>
      </c>
      <c r="M13" s="15"/>
    </row>
    <row r="14" spans="1:13" hidden="1">
      <c r="A14" s="14">
        <v>13</v>
      </c>
      <c r="B14" s="42">
        <v>45927</v>
      </c>
      <c r="C14" s="12" t="s">
        <v>296</v>
      </c>
      <c r="D14" s="12">
        <v>897</v>
      </c>
      <c r="E14" s="12" t="s">
        <v>299</v>
      </c>
      <c r="F14" s="13">
        <v>0.65277777777777779</v>
      </c>
      <c r="G14" s="12" t="s">
        <v>300</v>
      </c>
      <c r="H14" s="13">
        <v>0.67013888888888884</v>
      </c>
      <c r="I14" s="15" t="s">
        <v>290</v>
      </c>
      <c r="J14" s="15"/>
      <c r="K14" s="22">
        <v>5434</v>
      </c>
      <c r="L14" s="15" t="s">
        <v>284</v>
      </c>
      <c r="M14" s="15"/>
    </row>
    <row r="15" spans="1:13" hidden="1">
      <c r="A15" s="14">
        <v>14</v>
      </c>
      <c r="B15" s="42">
        <v>45927</v>
      </c>
      <c r="C15" s="12" t="s">
        <v>296</v>
      </c>
      <c r="D15" s="12">
        <v>898</v>
      </c>
      <c r="E15" s="12" t="s">
        <v>300</v>
      </c>
      <c r="F15" s="13">
        <v>0.69444444444444442</v>
      </c>
      <c r="G15" s="12" t="s">
        <v>299</v>
      </c>
      <c r="H15" s="13">
        <v>0.71180555555555558</v>
      </c>
      <c r="I15" s="15" t="s">
        <v>288</v>
      </c>
      <c r="J15" s="15"/>
      <c r="K15" s="22">
        <v>5434</v>
      </c>
      <c r="L15" s="15" t="s">
        <v>284</v>
      </c>
      <c r="M15" s="15"/>
    </row>
    <row r="16" spans="1:13" hidden="1">
      <c r="A16" s="14">
        <v>15</v>
      </c>
      <c r="B16" s="42">
        <v>45927</v>
      </c>
      <c r="C16" s="12" t="s">
        <v>291</v>
      </c>
      <c r="D16" s="12">
        <v>566</v>
      </c>
      <c r="E16" s="12" t="s">
        <v>299</v>
      </c>
      <c r="F16" s="13">
        <v>0.74652777777777779</v>
      </c>
      <c r="G16" s="12" t="s">
        <v>292</v>
      </c>
      <c r="H16" s="13">
        <v>0.78472222222222221</v>
      </c>
      <c r="I16" s="15" t="s">
        <v>288</v>
      </c>
      <c r="J16" s="15"/>
      <c r="K16" s="22">
        <v>6290</v>
      </c>
      <c r="L16" s="15" t="s">
        <v>284</v>
      </c>
      <c r="M16" s="15"/>
    </row>
    <row r="17" spans="1:13" hidden="1">
      <c r="A17" s="14">
        <v>16</v>
      </c>
      <c r="B17" s="42">
        <v>45927</v>
      </c>
      <c r="C17" s="12" t="s">
        <v>291</v>
      </c>
      <c r="D17" s="12">
        <v>62</v>
      </c>
      <c r="E17" s="12" t="s">
        <v>292</v>
      </c>
      <c r="F17" s="13">
        <v>0.81597222222222221</v>
      </c>
      <c r="G17" s="12" t="s">
        <v>282</v>
      </c>
      <c r="H17" s="13">
        <v>0.89236111111111116</v>
      </c>
      <c r="I17" s="15" t="s">
        <v>301</v>
      </c>
      <c r="J17" s="15"/>
      <c r="K17" s="22">
        <v>10591</v>
      </c>
      <c r="L17" s="15" t="s">
        <v>284</v>
      </c>
      <c r="M17" s="15"/>
    </row>
    <row r="18" spans="1:13" hidden="1">
      <c r="A18" s="14">
        <v>17</v>
      </c>
      <c r="B18" s="43">
        <v>45928</v>
      </c>
      <c r="C18" s="12" t="s">
        <v>285</v>
      </c>
      <c r="D18" s="12">
        <v>3681</v>
      </c>
      <c r="E18" s="12" t="s">
        <v>282</v>
      </c>
      <c r="F18" s="13">
        <v>0.2951388888888889</v>
      </c>
      <c r="G18" s="12" t="s">
        <v>302</v>
      </c>
      <c r="H18" s="13">
        <v>0.34375</v>
      </c>
      <c r="I18" s="15" t="s">
        <v>283</v>
      </c>
      <c r="J18" s="15"/>
      <c r="K18" s="22">
        <v>13860</v>
      </c>
      <c r="L18" s="15" t="s">
        <v>284</v>
      </c>
      <c r="M18" s="15"/>
    </row>
    <row r="19" spans="1:13" hidden="1">
      <c r="A19" s="14">
        <v>18</v>
      </c>
      <c r="B19" s="42">
        <v>45928</v>
      </c>
      <c r="C19" s="12" t="s">
        <v>303</v>
      </c>
      <c r="D19" s="12">
        <v>3831</v>
      </c>
      <c r="E19" s="12" t="s">
        <v>302</v>
      </c>
      <c r="F19" s="13">
        <v>0.3923611111111111</v>
      </c>
      <c r="G19" s="12" t="s">
        <v>304</v>
      </c>
      <c r="H19" s="13">
        <v>0.40625</v>
      </c>
      <c r="I19" s="15" t="s">
        <v>305</v>
      </c>
      <c r="J19" s="15"/>
      <c r="K19" s="22">
        <v>5989</v>
      </c>
      <c r="L19" s="15" t="s">
        <v>284</v>
      </c>
      <c r="M19" s="15"/>
    </row>
    <row r="20" spans="1:13" hidden="1">
      <c r="A20" s="14">
        <v>19</v>
      </c>
      <c r="B20" s="42">
        <v>45928</v>
      </c>
      <c r="C20" s="12" t="s">
        <v>303</v>
      </c>
      <c r="D20" s="12">
        <v>3830</v>
      </c>
      <c r="E20" s="12" t="s">
        <v>304</v>
      </c>
      <c r="F20" s="13">
        <v>0.42708333333333331</v>
      </c>
      <c r="G20" s="12" t="s">
        <v>302</v>
      </c>
      <c r="H20" s="13">
        <v>0.44097222222222221</v>
      </c>
      <c r="I20" s="15" t="s">
        <v>290</v>
      </c>
      <c r="J20" s="15"/>
      <c r="K20" s="22">
        <v>5989</v>
      </c>
      <c r="L20" s="15" t="s">
        <v>284</v>
      </c>
      <c r="M20" s="15"/>
    </row>
    <row r="21" spans="1:13" hidden="1">
      <c r="A21" s="14">
        <v>20</v>
      </c>
      <c r="B21" s="42">
        <v>45928</v>
      </c>
      <c r="C21" s="12" t="s">
        <v>303</v>
      </c>
      <c r="D21" s="12">
        <v>3841</v>
      </c>
      <c r="E21" s="12" t="s">
        <v>302</v>
      </c>
      <c r="F21" s="13">
        <v>0.4548611111111111</v>
      </c>
      <c r="G21" s="12" t="s">
        <v>306</v>
      </c>
      <c r="H21" s="13">
        <v>0.47916666666666669</v>
      </c>
      <c r="I21" s="15" t="s">
        <v>307</v>
      </c>
      <c r="J21" s="15"/>
      <c r="K21" s="22">
        <v>10450</v>
      </c>
      <c r="L21" s="15" t="s">
        <v>284</v>
      </c>
      <c r="M21" s="15"/>
    </row>
    <row r="22" spans="1:13" hidden="1">
      <c r="A22" s="14">
        <v>21</v>
      </c>
      <c r="B22" s="42">
        <v>45928</v>
      </c>
      <c r="C22" s="12" t="s">
        <v>303</v>
      </c>
      <c r="D22" s="12">
        <v>3711</v>
      </c>
      <c r="E22" s="12" t="s">
        <v>306</v>
      </c>
      <c r="F22" s="13">
        <v>0.5</v>
      </c>
      <c r="G22" s="12" t="s">
        <v>308</v>
      </c>
      <c r="H22" s="13">
        <v>0.51736111111111116</v>
      </c>
      <c r="I22" s="15" t="s">
        <v>288</v>
      </c>
      <c r="J22" s="15"/>
      <c r="K22" s="22">
        <v>8580</v>
      </c>
      <c r="L22" s="15" t="s">
        <v>284</v>
      </c>
      <c r="M22" s="15"/>
    </row>
    <row r="23" spans="1:13" hidden="1">
      <c r="A23" s="14">
        <v>22</v>
      </c>
      <c r="B23" s="42">
        <v>45928</v>
      </c>
      <c r="C23" s="12" t="s">
        <v>303</v>
      </c>
      <c r="D23" s="12">
        <v>3716</v>
      </c>
      <c r="E23" s="12" t="s">
        <v>308</v>
      </c>
      <c r="F23" s="13">
        <v>0.53819444444444442</v>
      </c>
      <c r="G23" s="12" t="s">
        <v>292</v>
      </c>
      <c r="H23" s="13">
        <v>0.57291666666666663</v>
      </c>
      <c r="I23" s="15" t="s">
        <v>288</v>
      </c>
      <c r="J23" s="15"/>
      <c r="K23" s="22">
        <v>15310</v>
      </c>
      <c r="L23" s="15" t="s">
        <v>284</v>
      </c>
      <c r="M23" s="15"/>
    </row>
    <row r="24" spans="1:13" hidden="1">
      <c r="A24" s="14">
        <v>23</v>
      </c>
      <c r="B24" s="42">
        <v>45928</v>
      </c>
      <c r="C24" s="12" t="s">
        <v>291</v>
      </c>
      <c r="D24" s="12">
        <v>617</v>
      </c>
      <c r="E24" s="12" t="s">
        <v>292</v>
      </c>
      <c r="F24" s="13">
        <v>0.61458333333333337</v>
      </c>
      <c r="G24" s="12" t="s">
        <v>295</v>
      </c>
      <c r="H24" s="13">
        <v>0.65972222222222221</v>
      </c>
      <c r="I24" s="15" t="s">
        <v>294</v>
      </c>
      <c r="J24" s="15"/>
      <c r="K24" s="22">
        <v>5883</v>
      </c>
      <c r="L24" s="15" t="s">
        <v>284</v>
      </c>
      <c r="M24" s="15"/>
    </row>
    <row r="25" spans="1:13" hidden="1">
      <c r="A25" s="14">
        <v>24</v>
      </c>
      <c r="B25" s="42">
        <v>45928</v>
      </c>
      <c r="C25" s="12" t="s">
        <v>291</v>
      </c>
      <c r="D25" s="12">
        <v>622</v>
      </c>
      <c r="E25" s="12" t="s">
        <v>295</v>
      </c>
      <c r="F25" s="13">
        <v>0.68402777777777779</v>
      </c>
      <c r="G25" s="12" t="s">
        <v>292</v>
      </c>
      <c r="H25" s="13">
        <v>0.72569444444444442</v>
      </c>
      <c r="I25" s="15" t="s">
        <v>293</v>
      </c>
      <c r="J25" s="15"/>
      <c r="K25" s="22">
        <v>5883</v>
      </c>
      <c r="L25" s="15" t="s">
        <v>284</v>
      </c>
      <c r="M25" s="15"/>
    </row>
    <row r="26" spans="1:13" hidden="1">
      <c r="A26" s="14">
        <v>25</v>
      </c>
      <c r="B26" s="42">
        <v>45928</v>
      </c>
      <c r="C26" s="12" t="s">
        <v>280</v>
      </c>
      <c r="D26" s="12">
        <v>918</v>
      </c>
      <c r="E26" s="12" t="s">
        <v>292</v>
      </c>
      <c r="F26" s="13">
        <v>0.78472222222222221</v>
      </c>
      <c r="G26" s="12" t="s">
        <v>281</v>
      </c>
      <c r="H26" s="13">
        <v>0.88888888888888884</v>
      </c>
      <c r="I26" s="15" t="s">
        <v>309</v>
      </c>
      <c r="J26" s="15"/>
      <c r="K26" s="22">
        <v>22580</v>
      </c>
      <c r="L26" s="15" t="s">
        <v>284</v>
      </c>
      <c r="M26" s="15"/>
    </row>
    <row r="27" spans="1:13" hidden="1">
      <c r="A27" s="14">
        <v>26</v>
      </c>
      <c r="B27" s="42">
        <v>45934</v>
      </c>
      <c r="C27" s="12" t="s">
        <v>280</v>
      </c>
      <c r="D27" s="12">
        <v>333</v>
      </c>
      <c r="E27" s="12" t="s">
        <v>281</v>
      </c>
      <c r="F27" s="13">
        <v>0.80208333333333337</v>
      </c>
      <c r="G27" s="12" t="s">
        <v>282</v>
      </c>
      <c r="H27" s="13">
        <v>0.88194444444444442</v>
      </c>
      <c r="I27" s="15"/>
      <c r="J27" s="15"/>
      <c r="K27" s="22">
        <v>13320</v>
      </c>
      <c r="L27" s="15" t="s">
        <v>284</v>
      </c>
      <c r="M27" s="15"/>
    </row>
    <row r="28" spans="1:13" hidden="1">
      <c r="A28" s="14">
        <v>27</v>
      </c>
      <c r="B28" s="42">
        <v>45935</v>
      </c>
      <c r="C28" s="12" t="s">
        <v>291</v>
      </c>
      <c r="D28" s="12">
        <v>51</v>
      </c>
      <c r="E28" s="12" t="s">
        <v>282</v>
      </c>
      <c r="F28" s="13">
        <v>0.30208333333333331</v>
      </c>
      <c r="G28" s="12" t="s">
        <v>292</v>
      </c>
      <c r="H28" s="13">
        <v>0.37152777777777779</v>
      </c>
      <c r="I28" s="26" t="s">
        <v>283</v>
      </c>
      <c r="J28" s="15"/>
      <c r="K28" s="22">
        <v>11130</v>
      </c>
      <c r="L28" s="15" t="s">
        <v>284</v>
      </c>
      <c r="M28" s="15"/>
    </row>
    <row r="29" spans="1:13" hidden="1">
      <c r="A29" s="14">
        <v>28</v>
      </c>
      <c r="B29" s="42">
        <v>45935</v>
      </c>
      <c r="C29" s="12" t="s">
        <v>291</v>
      </c>
      <c r="D29" s="12">
        <v>605</v>
      </c>
      <c r="E29" s="12" t="s">
        <v>292</v>
      </c>
      <c r="F29" s="13">
        <v>0.40277777777777779</v>
      </c>
      <c r="G29" s="12" t="s">
        <v>295</v>
      </c>
      <c r="H29" s="13">
        <v>0.44444444444444442</v>
      </c>
      <c r="I29" s="26" t="s">
        <v>293</v>
      </c>
      <c r="J29" s="15"/>
      <c r="K29" s="22">
        <v>6180</v>
      </c>
      <c r="L29" s="15" t="s">
        <v>284</v>
      </c>
      <c r="M29" s="15"/>
    </row>
    <row r="30" spans="1:13" hidden="1">
      <c r="A30" s="14">
        <v>29</v>
      </c>
      <c r="B30" s="42">
        <v>45935</v>
      </c>
      <c r="C30" s="12" t="s">
        <v>296</v>
      </c>
      <c r="D30" s="12">
        <v>743</v>
      </c>
      <c r="E30" s="12" t="s">
        <v>295</v>
      </c>
      <c r="F30" s="13">
        <v>0.52430555555555558</v>
      </c>
      <c r="G30" s="12" t="s">
        <v>297</v>
      </c>
      <c r="H30" s="13">
        <v>0.54513888888888884</v>
      </c>
      <c r="I30" s="26" t="s">
        <v>298</v>
      </c>
      <c r="J30" s="15"/>
      <c r="K30" s="22">
        <v>6583</v>
      </c>
      <c r="L30" s="15" t="s">
        <v>284</v>
      </c>
      <c r="M30" s="15"/>
    </row>
    <row r="31" spans="1:13" hidden="1">
      <c r="A31" s="14">
        <v>30</v>
      </c>
      <c r="B31" s="42">
        <v>45935</v>
      </c>
      <c r="C31" s="12" t="s">
        <v>296</v>
      </c>
      <c r="D31" s="12">
        <v>744</v>
      </c>
      <c r="E31" s="12" t="s">
        <v>297</v>
      </c>
      <c r="F31" s="13">
        <v>0.56944444444444442</v>
      </c>
      <c r="G31" s="12" t="s">
        <v>295</v>
      </c>
      <c r="H31" s="13">
        <v>0.59027777777777779</v>
      </c>
      <c r="I31" s="26" t="s">
        <v>290</v>
      </c>
      <c r="J31" s="15"/>
      <c r="K31" s="22">
        <v>5883</v>
      </c>
      <c r="L31" s="15" t="s">
        <v>284</v>
      </c>
      <c r="M31" s="15"/>
    </row>
    <row r="32" spans="1:13" hidden="1">
      <c r="A32" s="14">
        <v>31</v>
      </c>
      <c r="B32" s="42">
        <v>45935</v>
      </c>
      <c r="C32" s="12" t="s">
        <v>296</v>
      </c>
      <c r="D32" s="12">
        <v>834</v>
      </c>
      <c r="E32" s="12" t="s">
        <v>295</v>
      </c>
      <c r="F32" s="13">
        <v>0.61805555555555558</v>
      </c>
      <c r="G32" s="12" t="s">
        <v>299</v>
      </c>
      <c r="H32" s="13">
        <v>0.63888888888888884</v>
      </c>
      <c r="I32" s="26" t="s">
        <v>288</v>
      </c>
      <c r="J32" s="15"/>
      <c r="K32" s="22">
        <v>9570</v>
      </c>
      <c r="L32" s="15" t="s">
        <v>284</v>
      </c>
      <c r="M32" s="15"/>
    </row>
    <row r="33" spans="1:13" hidden="1">
      <c r="A33" s="14">
        <v>32</v>
      </c>
      <c r="B33" s="42">
        <v>45935</v>
      </c>
      <c r="C33" s="12" t="s">
        <v>291</v>
      </c>
      <c r="D33" s="12">
        <v>564</v>
      </c>
      <c r="E33" s="12" t="s">
        <v>299</v>
      </c>
      <c r="F33" s="13">
        <v>0.70486111111111116</v>
      </c>
      <c r="G33" s="12" t="s">
        <v>292</v>
      </c>
      <c r="H33" s="13">
        <v>0.73958333333333337</v>
      </c>
      <c r="I33" s="26" t="s">
        <v>310</v>
      </c>
      <c r="J33" s="15"/>
      <c r="K33" s="22">
        <v>6290</v>
      </c>
      <c r="L33" s="15" t="s">
        <v>284</v>
      </c>
      <c r="M33" s="15"/>
    </row>
    <row r="34" spans="1:13" hidden="1">
      <c r="A34" s="14">
        <v>33</v>
      </c>
      <c r="B34" s="42">
        <v>45935</v>
      </c>
      <c r="C34" s="12" t="s">
        <v>280</v>
      </c>
      <c r="D34" s="12">
        <v>920</v>
      </c>
      <c r="E34" s="12" t="s">
        <v>292</v>
      </c>
      <c r="F34" s="13">
        <v>0.81944444444444442</v>
      </c>
      <c r="G34" s="12" t="s">
        <v>281</v>
      </c>
      <c r="H34" s="13">
        <v>0.91666666666666663</v>
      </c>
      <c r="I34" s="26" t="s">
        <v>311</v>
      </c>
      <c r="J34" s="15"/>
      <c r="K34" s="22">
        <v>22030</v>
      </c>
      <c r="L34" s="15" t="s">
        <v>284</v>
      </c>
      <c r="M34" s="15"/>
    </row>
    <row r="35" spans="1:13" hidden="1">
      <c r="A35" s="14">
        <v>34</v>
      </c>
      <c r="B35" s="42">
        <v>45890</v>
      </c>
      <c r="C35" s="12" t="s">
        <v>280</v>
      </c>
      <c r="D35" s="12">
        <v>487</v>
      </c>
      <c r="E35" s="12" t="s">
        <v>281</v>
      </c>
      <c r="F35" s="13">
        <v>0.84375</v>
      </c>
      <c r="G35" s="12" t="s">
        <v>312</v>
      </c>
      <c r="H35" s="13">
        <v>0.89583333333333337</v>
      </c>
      <c r="I35" s="26"/>
      <c r="J35" s="15"/>
      <c r="K35" s="22">
        <v>0</v>
      </c>
      <c r="L35" s="15" t="s">
        <v>284</v>
      </c>
      <c r="M35" s="15"/>
    </row>
    <row r="36" spans="1:13" hidden="1">
      <c r="A36" s="14">
        <v>35</v>
      </c>
      <c r="B36" s="42">
        <v>45891</v>
      </c>
      <c r="C36" s="12" t="s">
        <v>280</v>
      </c>
      <c r="D36" s="12">
        <v>482</v>
      </c>
      <c r="E36" s="12" t="s">
        <v>312</v>
      </c>
      <c r="F36" s="13">
        <v>0.63541666666666663</v>
      </c>
      <c r="G36" s="12" t="s">
        <v>281</v>
      </c>
      <c r="H36" s="13">
        <v>0.69791666666666663</v>
      </c>
      <c r="I36" s="26"/>
      <c r="J36" s="15"/>
      <c r="K36" s="15">
        <v>0</v>
      </c>
      <c r="L36" s="15" t="s">
        <v>284</v>
      </c>
      <c r="M36" s="15"/>
    </row>
    <row r="37" spans="1:13" hidden="1">
      <c r="A37" s="14">
        <v>36</v>
      </c>
      <c r="B37" s="42">
        <v>45902</v>
      </c>
      <c r="C37" s="12" t="s">
        <v>280</v>
      </c>
      <c r="D37" s="12">
        <v>317</v>
      </c>
      <c r="E37" s="12" t="s">
        <v>281</v>
      </c>
      <c r="F37" s="13">
        <v>0.52083333333333337</v>
      </c>
      <c r="G37" s="12" t="s">
        <v>282</v>
      </c>
      <c r="H37" s="13">
        <v>0.57638888888888884</v>
      </c>
      <c r="I37" s="26"/>
      <c r="J37" s="15"/>
      <c r="K37" s="15">
        <v>0</v>
      </c>
      <c r="L37" s="15" t="s">
        <v>284</v>
      </c>
      <c r="M37" s="15"/>
    </row>
    <row r="38" spans="1:13" hidden="1">
      <c r="A38" s="14">
        <v>37</v>
      </c>
      <c r="B38" s="42">
        <v>45903</v>
      </c>
      <c r="C38" s="12" t="s">
        <v>280</v>
      </c>
      <c r="D38" s="12">
        <v>300</v>
      </c>
      <c r="E38" s="12" t="s">
        <v>282</v>
      </c>
      <c r="F38" s="13">
        <v>0.29166666666666669</v>
      </c>
      <c r="G38" s="12" t="s">
        <v>281</v>
      </c>
      <c r="H38" s="13">
        <v>0.3611111111111111</v>
      </c>
      <c r="I38" s="26"/>
      <c r="J38" s="15"/>
      <c r="K38" s="15">
        <v>0</v>
      </c>
      <c r="L38" s="15" t="s">
        <v>284</v>
      </c>
      <c r="M38" s="15"/>
    </row>
    <row r="39" spans="1:13" hidden="1">
      <c r="A39" s="14">
        <v>38</v>
      </c>
      <c r="B39" s="42">
        <v>45949</v>
      </c>
      <c r="C39" s="12" t="s">
        <v>280</v>
      </c>
      <c r="D39" s="12">
        <v>491</v>
      </c>
      <c r="E39" s="12" t="s">
        <v>281</v>
      </c>
      <c r="F39" s="13">
        <v>0.3125</v>
      </c>
      <c r="G39" s="12" t="s">
        <v>312</v>
      </c>
      <c r="H39" s="13">
        <v>0.375</v>
      </c>
      <c r="I39" s="26"/>
      <c r="J39" s="15"/>
      <c r="K39" s="15">
        <v>20700</v>
      </c>
      <c r="L39" s="15" t="s">
        <v>284</v>
      </c>
      <c r="M39" s="15"/>
    </row>
    <row r="40" spans="1:13" hidden="1">
      <c r="A40" s="14">
        <v>39</v>
      </c>
      <c r="B40" s="42">
        <v>45949</v>
      </c>
      <c r="C40" s="12" t="s">
        <v>280</v>
      </c>
      <c r="D40" s="12">
        <v>492</v>
      </c>
      <c r="E40" s="12" t="s">
        <v>312</v>
      </c>
      <c r="F40" s="13">
        <v>0.40277777777777779</v>
      </c>
      <c r="G40" s="12" t="s">
        <v>281</v>
      </c>
      <c r="H40" s="13">
        <v>0.45833333333333331</v>
      </c>
      <c r="I40" s="26"/>
      <c r="J40" s="15"/>
      <c r="K40" s="15">
        <v>0</v>
      </c>
      <c r="L40" s="15" t="s">
        <v>284</v>
      </c>
      <c r="M40" s="15"/>
    </row>
    <row r="41" spans="1:13" hidden="1">
      <c r="A41" s="14">
        <v>40</v>
      </c>
      <c r="B41" s="42">
        <v>45589</v>
      </c>
      <c r="C41" s="12" t="s">
        <v>280</v>
      </c>
      <c r="D41" s="12">
        <v>319</v>
      </c>
      <c r="E41" s="12" t="s">
        <v>281</v>
      </c>
      <c r="F41" s="13"/>
      <c r="G41" s="12" t="s">
        <v>282</v>
      </c>
      <c r="H41" s="13"/>
      <c r="I41" s="26"/>
      <c r="J41" s="15"/>
      <c r="K41" s="15">
        <v>0</v>
      </c>
      <c r="L41" s="15" t="s">
        <v>284</v>
      </c>
      <c r="M41" s="15"/>
    </row>
    <row r="42" spans="1:13" hidden="1">
      <c r="A42" s="14">
        <v>41</v>
      </c>
      <c r="B42" s="42">
        <v>45590</v>
      </c>
      <c r="C42" s="12" t="s">
        <v>280</v>
      </c>
      <c r="D42" s="12">
        <v>318</v>
      </c>
      <c r="E42" s="12" t="s">
        <v>282</v>
      </c>
      <c r="F42" s="13"/>
      <c r="G42" s="12" t="s">
        <v>281</v>
      </c>
      <c r="H42" s="13"/>
      <c r="I42" s="26"/>
      <c r="J42" s="15"/>
      <c r="K42" s="15">
        <v>0</v>
      </c>
      <c r="L42" s="15" t="s">
        <v>284</v>
      </c>
      <c r="M42" s="15"/>
    </row>
    <row r="43" spans="1:13" hidden="1">
      <c r="A43" s="14">
        <v>42</v>
      </c>
      <c r="B43" s="42">
        <v>45611</v>
      </c>
      <c r="C43" s="12" t="s">
        <v>280</v>
      </c>
      <c r="D43" s="12">
        <v>434</v>
      </c>
      <c r="E43" s="12" t="s">
        <v>281</v>
      </c>
      <c r="F43" s="13"/>
      <c r="G43" s="12" t="s">
        <v>313</v>
      </c>
      <c r="H43" s="13"/>
      <c r="I43" s="26"/>
      <c r="J43" s="15"/>
      <c r="K43" s="15">
        <v>0</v>
      </c>
      <c r="L43" s="15" t="s">
        <v>284</v>
      </c>
      <c r="M43" s="15"/>
    </row>
    <row r="44" spans="1:13" hidden="1">
      <c r="A44" s="14">
        <v>43</v>
      </c>
      <c r="B44" s="42">
        <v>45612</v>
      </c>
      <c r="C44" s="12" t="s">
        <v>280</v>
      </c>
      <c r="D44" s="12">
        <v>431</v>
      </c>
      <c r="E44" s="12" t="s">
        <v>313</v>
      </c>
      <c r="F44" s="13"/>
      <c r="G44" s="12" t="s">
        <v>281</v>
      </c>
      <c r="H44" s="13"/>
      <c r="I44" s="26"/>
      <c r="J44" s="15"/>
      <c r="K44" s="15">
        <v>0</v>
      </c>
      <c r="L44" s="15" t="s">
        <v>284</v>
      </c>
      <c r="M44" s="15"/>
    </row>
    <row r="45" spans="1:13" hidden="1">
      <c r="A45" s="14">
        <v>44</v>
      </c>
      <c r="B45" s="42">
        <v>45650</v>
      </c>
      <c r="C45" s="12" t="s">
        <v>280</v>
      </c>
      <c r="D45" s="12">
        <v>335</v>
      </c>
      <c r="E45" s="12" t="s">
        <v>281</v>
      </c>
      <c r="F45" s="13"/>
      <c r="G45" s="12" t="s">
        <v>282</v>
      </c>
      <c r="H45" s="13"/>
      <c r="I45" s="26"/>
      <c r="J45" s="15"/>
      <c r="K45" s="22">
        <v>17640</v>
      </c>
      <c r="L45" s="15" t="s">
        <v>284</v>
      </c>
      <c r="M45" s="15"/>
    </row>
    <row r="46" spans="1:13" hidden="1">
      <c r="A46" s="14">
        <v>45</v>
      </c>
      <c r="B46" s="42">
        <v>45646</v>
      </c>
      <c r="C46" s="12" t="s">
        <v>280</v>
      </c>
      <c r="D46" s="12">
        <v>431</v>
      </c>
      <c r="E46" s="12" t="s">
        <v>281</v>
      </c>
      <c r="F46" s="13"/>
      <c r="G46" s="12" t="s">
        <v>313</v>
      </c>
      <c r="H46" s="13"/>
      <c r="I46" s="26"/>
      <c r="J46" s="15"/>
      <c r="K46" s="15">
        <v>0</v>
      </c>
      <c r="L46" s="15" t="s">
        <v>284</v>
      </c>
      <c r="M46" s="15"/>
    </row>
    <row r="47" spans="1:13" hidden="1">
      <c r="A47" s="14">
        <v>46</v>
      </c>
      <c r="B47" s="42">
        <v>45647</v>
      </c>
      <c r="C47" s="12" t="s">
        <v>280</v>
      </c>
      <c r="D47" s="12">
        <v>432</v>
      </c>
      <c r="E47" s="12" t="s">
        <v>313</v>
      </c>
      <c r="F47" s="13"/>
      <c r="G47" s="12" t="s">
        <v>281</v>
      </c>
      <c r="H47" s="13"/>
      <c r="I47" s="26"/>
      <c r="J47" s="15"/>
      <c r="K47" s="15">
        <v>0</v>
      </c>
      <c r="L47" s="15" t="s">
        <v>284</v>
      </c>
      <c r="M47" s="15"/>
    </row>
    <row r="48" spans="1:13" hidden="1">
      <c r="A48" s="14">
        <v>47</v>
      </c>
      <c r="B48" s="42">
        <v>45680</v>
      </c>
      <c r="C48" s="12" t="s">
        <v>280</v>
      </c>
      <c r="D48" s="12">
        <v>307</v>
      </c>
      <c r="E48" s="12" t="s">
        <v>281</v>
      </c>
      <c r="F48" s="13"/>
      <c r="G48" s="12" t="s">
        <v>282</v>
      </c>
      <c r="H48" s="13"/>
      <c r="I48" s="26"/>
      <c r="J48" s="15"/>
      <c r="K48" s="15">
        <v>0</v>
      </c>
      <c r="L48" s="15" t="s">
        <v>284</v>
      </c>
      <c r="M48" s="15"/>
    </row>
    <row r="49" spans="1:13" hidden="1">
      <c r="A49" s="14">
        <v>48</v>
      </c>
      <c r="B49" s="42">
        <v>45682</v>
      </c>
      <c r="C49" s="12" t="s">
        <v>280</v>
      </c>
      <c r="D49" s="12">
        <v>306</v>
      </c>
      <c r="E49" s="12" t="s">
        <v>282</v>
      </c>
      <c r="F49" s="13"/>
      <c r="G49" s="12" t="s">
        <v>281</v>
      </c>
      <c r="H49" s="13"/>
      <c r="I49" s="26"/>
      <c r="J49" s="15"/>
      <c r="K49" s="15">
        <v>0</v>
      </c>
      <c r="L49" s="15" t="s">
        <v>284</v>
      </c>
      <c r="M49" s="15"/>
    </row>
    <row r="50" spans="1:13" hidden="1">
      <c r="A50" s="14">
        <v>49</v>
      </c>
      <c r="B50" s="42">
        <v>45727</v>
      </c>
      <c r="C50" s="12" t="s">
        <v>280</v>
      </c>
      <c r="D50" s="12">
        <v>330</v>
      </c>
      <c r="E50" s="12" t="s">
        <v>281</v>
      </c>
      <c r="F50" s="13"/>
      <c r="G50" s="12" t="s">
        <v>282</v>
      </c>
      <c r="H50" s="13"/>
      <c r="I50" s="26"/>
      <c r="J50" s="15"/>
      <c r="K50" s="15">
        <v>0</v>
      </c>
      <c r="L50" s="15" t="s">
        <v>284</v>
      </c>
      <c r="M50" s="15"/>
    </row>
    <row r="51" spans="1:13" hidden="1">
      <c r="A51" s="14">
        <v>50</v>
      </c>
      <c r="B51" s="42">
        <v>45727</v>
      </c>
      <c r="C51" s="12" t="s">
        <v>280</v>
      </c>
      <c r="D51" s="12">
        <v>305</v>
      </c>
      <c r="E51" s="12" t="s">
        <v>282</v>
      </c>
      <c r="F51" s="13"/>
      <c r="G51" s="12" t="s">
        <v>281</v>
      </c>
      <c r="H51" s="13"/>
      <c r="I51" s="26"/>
      <c r="J51" s="15"/>
      <c r="K51" s="15">
        <v>0</v>
      </c>
      <c r="L51" s="15" t="s">
        <v>284</v>
      </c>
      <c r="M51" s="15"/>
    </row>
    <row r="52" spans="1:13" hidden="1">
      <c r="A52" s="14">
        <v>51</v>
      </c>
      <c r="B52" s="42">
        <v>45860</v>
      </c>
      <c r="C52" s="12" t="s">
        <v>280</v>
      </c>
      <c r="D52" s="12">
        <v>307</v>
      </c>
      <c r="E52" s="12" t="s">
        <v>281</v>
      </c>
      <c r="F52" s="13"/>
      <c r="G52" s="12" t="s">
        <v>282</v>
      </c>
      <c r="H52" s="13"/>
      <c r="I52" s="26"/>
      <c r="J52" s="15"/>
      <c r="K52" s="22">
        <v>13320</v>
      </c>
      <c r="L52" s="15" t="s">
        <v>284</v>
      </c>
      <c r="M52" s="15"/>
    </row>
    <row r="53" spans="1:13" hidden="1">
      <c r="A53" s="14">
        <v>52</v>
      </c>
      <c r="B53" s="42">
        <v>45865</v>
      </c>
      <c r="C53" s="12" t="s">
        <v>280</v>
      </c>
      <c r="D53" s="12">
        <v>300</v>
      </c>
      <c r="E53" s="12" t="s">
        <v>282</v>
      </c>
      <c r="F53" s="13"/>
      <c r="G53" s="12" t="s">
        <v>281</v>
      </c>
      <c r="H53" s="13"/>
      <c r="I53" s="26"/>
      <c r="J53" s="15"/>
      <c r="K53" s="22">
        <v>13320</v>
      </c>
      <c r="L53" s="15" t="s">
        <v>284</v>
      </c>
      <c r="M53" s="15"/>
    </row>
    <row r="54" spans="1:13" hidden="1">
      <c r="A54" s="14">
        <v>53</v>
      </c>
      <c r="B54" s="42">
        <v>45871</v>
      </c>
      <c r="C54" s="12" t="s">
        <v>280</v>
      </c>
      <c r="D54" s="12">
        <v>307</v>
      </c>
      <c r="E54" s="12" t="s">
        <v>281</v>
      </c>
      <c r="F54" s="13"/>
      <c r="G54" s="12" t="s">
        <v>314</v>
      </c>
      <c r="H54" s="13"/>
      <c r="I54" s="26"/>
      <c r="J54" s="15"/>
      <c r="K54" s="22">
        <v>22845</v>
      </c>
      <c r="L54" s="15" t="s">
        <v>284</v>
      </c>
      <c r="M54" s="15"/>
    </row>
    <row r="55" spans="1:13" hidden="1">
      <c r="A55" s="14">
        <v>54</v>
      </c>
      <c r="B55" s="42">
        <v>45872</v>
      </c>
      <c r="C55" s="12" t="s">
        <v>280</v>
      </c>
      <c r="D55" s="12">
        <v>300</v>
      </c>
      <c r="E55" s="12" t="s">
        <v>314</v>
      </c>
      <c r="F55" s="13"/>
      <c r="G55" s="12" t="s">
        <v>281</v>
      </c>
      <c r="H55" s="13"/>
      <c r="I55" s="26"/>
      <c r="J55" s="15"/>
      <c r="K55" s="22">
        <v>0</v>
      </c>
      <c r="L55" s="15" t="s">
        <v>284</v>
      </c>
      <c r="M55" s="15"/>
    </row>
    <row r="56" spans="1:13" hidden="1">
      <c r="A56" s="14">
        <v>55</v>
      </c>
      <c r="B56" s="42">
        <v>45875</v>
      </c>
      <c r="C56" s="12" t="s">
        <v>280</v>
      </c>
      <c r="D56" s="12">
        <v>307</v>
      </c>
      <c r="E56" s="12" t="s">
        <v>281</v>
      </c>
      <c r="F56" s="13"/>
      <c r="G56" s="12" t="s">
        <v>315</v>
      </c>
      <c r="H56" s="13"/>
      <c r="I56" s="26"/>
      <c r="J56" s="15"/>
      <c r="K56" s="22">
        <v>0</v>
      </c>
      <c r="L56" s="15" t="s">
        <v>284</v>
      </c>
      <c r="M56" s="15"/>
    </row>
    <row r="57" spans="1:13" hidden="1">
      <c r="A57" s="14">
        <v>56</v>
      </c>
      <c r="B57" s="42">
        <v>45875</v>
      </c>
      <c r="C57" s="12" t="s">
        <v>280</v>
      </c>
      <c r="D57" s="12">
        <v>300</v>
      </c>
      <c r="E57" s="12" t="s">
        <v>316</v>
      </c>
      <c r="F57" s="13"/>
      <c r="G57" s="12" t="s">
        <v>281</v>
      </c>
      <c r="H57" s="13"/>
      <c r="I57" s="26"/>
      <c r="J57" s="15"/>
      <c r="K57" s="22">
        <v>0</v>
      </c>
      <c r="L57" s="15" t="s">
        <v>284</v>
      </c>
      <c r="M57" s="15"/>
    </row>
    <row r="58" spans="1:13" hidden="1">
      <c r="A58" s="14">
        <v>57</v>
      </c>
      <c r="B58" s="42">
        <v>45916</v>
      </c>
      <c r="C58" s="12" t="s">
        <v>280</v>
      </c>
      <c r="D58" s="12">
        <v>307</v>
      </c>
      <c r="E58" s="12" t="s">
        <v>281</v>
      </c>
      <c r="F58" s="13"/>
      <c r="G58" s="12" t="s">
        <v>282</v>
      </c>
      <c r="H58" s="13"/>
      <c r="I58" s="26"/>
      <c r="J58" s="15"/>
      <c r="K58" s="22">
        <v>0</v>
      </c>
      <c r="L58" s="15" t="s">
        <v>284</v>
      </c>
      <c r="M58" s="15"/>
    </row>
    <row r="59" spans="1:13" hidden="1">
      <c r="A59" s="14">
        <v>58</v>
      </c>
      <c r="B59" s="42">
        <v>45918</v>
      </c>
      <c r="C59" s="12" t="s">
        <v>280</v>
      </c>
      <c r="D59" s="12">
        <v>302</v>
      </c>
      <c r="E59" s="12" t="s">
        <v>282</v>
      </c>
      <c r="F59" s="13"/>
      <c r="G59" s="12" t="s">
        <v>281</v>
      </c>
      <c r="H59" s="13"/>
      <c r="I59" s="26"/>
      <c r="J59" s="15"/>
      <c r="K59" s="22">
        <v>0</v>
      </c>
      <c r="L59" s="15" t="s">
        <v>284</v>
      </c>
      <c r="M59" s="15"/>
    </row>
    <row r="60" spans="1:13" hidden="1">
      <c r="A60" s="14">
        <v>59</v>
      </c>
      <c r="B60" s="42">
        <v>45994</v>
      </c>
      <c r="C60" s="12" t="s">
        <v>280</v>
      </c>
      <c r="D60" s="12">
        <v>901</v>
      </c>
      <c r="E60" s="12" t="s">
        <v>281</v>
      </c>
      <c r="F60" s="13">
        <v>0.2638888888888889</v>
      </c>
      <c r="G60" s="12" t="s">
        <v>292</v>
      </c>
      <c r="H60" s="13">
        <v>0.38541666666666669</v>
      </c>
      <c r="I60" s="26"/>
      <c r="J60" s="15"/>
      <c r="K60" s="22">
        <v>10590</v>
      </c>
      <c r="L60" s="15" t="s">
        <v>284</v>
      </c>
      <c r="M60" s="15"/>
    </row>
    <row r="61" spans="1:13" hidden="1">
      <c r="A61" s="14">
        <v>60</v>
      </c>
      <c r="B61" s="42">
        <v>45994</v>
      </c>
      <c r="C61" s="12" t="s">
        <v>280</v>
      </c>
      <c r="D61" s="12" t="s">
        <v>317</v>
      </c>
      <c r="E61" s="12" t="s">
        <v>292</v>
      </c>
      <c r="F61" s="13">
        <v>0.41319444444444442</v>
      </c>
      <c r="G61" s="12" t="s">
        <v>318</v>
      </c>
      <c r="H61" s="13">
        <v>0.43402777777777779</v>
      </c>
      <c r="I61" s="26"/>
      <c r="J61" s="15"/>
      <c r="K61" s="47">
        <v>4640</v>
      </c>
      <c r="L61" s="15" t="s">
        <v>284</v>
      </c>
      <c r="M61" s="15"/>
    </row>
    <row r="62" spans="1:13" hidden="1">
      <c r="A62" s="14">
        <v>61</v>
      </c>
      <c r="B62" s="42">
        <v>45994</v>
      </c>
      <c r="C62" s="12" t="s">
        <v>280</v>
      </c>
      <c r="D62" s="12" t="s">
        <v>319</v>
      </c>
      <c r="E62" s="12" t="s">
        <v>318</v>
      </c>
      <c r="F62" s="13">
        <v>0.4548611111111111</v>
      </c>
      <c r="G62" s="12" t="s">
        <v>292</v>
      </c>
      <c r="H62" s="13">
        <v>0.47916666666666669</v>
      </c>
      <c r="I62" s="26"/>
      <c r="J62" s="15"/>
      <c r="K62" s="47">
        <v>6400</v>
      </c>
      <c r="L62" s="15" t="s">
        <v>284</v>
      </c>
      <c r="M62" s="15"/>
    </row>
    <row r="63" spans="1:13" hidden="1">
      <c r="A63" s="14">
        <v>62</v>
      </c>
      <c r="B63" s="42">
        <v>45994</v>
      </c>
      <c r="C63" s="12" t="s">
        <v>280</v>
      </c>
      <c r="D63" s="12" t="s">
        <v>320</v>
      </c>
      <c r="E63" s="12" t="s">
        <v>292</v>
      </c>
      <c r="F63" s="13">
        <v>0.52777777777777779</v>
      </c>
      <c r="G63" s="12" t="s">
        <v>295</v>
      </c>
      <c r="H63" s="13">
        <v>0.57291666666666663</v>
      </c>
      <c r="I63" s="26"/>
      <c r="J63" s="15"/>
      <c r="K63" s="22">
        <v>4640</v>
      </c>
      <c r="L63" s="15" t="s">
        <v>284</v>
      </c>
      <c r="M63" s="15"/>
    </row>
    <row r="64" spans="1:13" hidden="1">
      <c r="A64" s="14">
        <v>63</v>
      </c>
      <c r="B64" s="42">
        <v>45994</v>
      </c>
      <c r="C64" s="12" t="s">
        <v>280</v>
      </c>
      <c r="D64" s="12" t="s">
        <v>321</v>
      </c>
      <c r="E64" s="12" t="s">
        <v>295</v>
      </c>
      <c r="F64" s="13">
        <v>0.61805555555555558</v>
      </c>
      <c r="G64" s="12" t="s">
        <v>299</v>
      </c>
      <c r="H64" s="13">
        <v>0.63888888888888884</v>
      </c>
      <c r="I64" s="26"/>
      <c r="J64" s="15"/>
      <c r="K64" s="47">
        <v>4400</v>
      </c>
      <c r="L64" s="15" t="s">
        <v>284</v>
      </c>
      <c r="M64" s="15"/>
    </row>
    <row r="65" spans="1:13" hidden="1">
      <c r="A65" s="14">
        <v>64</v>
      </c>
      <c r="B65" s="42">
        <v>45994</v>
      </c>
      <c r="C65" s="12" t="s">
        <v>280</v>
      </c>
      <c r="D65" s="12" t="s">
        <v>322</v>
      </c>
      <c r="E65" s="12" t="s">
        <v>299</v>
      </c>
      <c r="F65" s="13">
        <v>0.65972222222222221</v>
      </c>
      <c r="G65" s="12" t="s">
        <v>300</v>
      </c>
      <c r="H65" s="13">
        <v>0.67708333333333337</v>
      </c>
      <c r="I65" s="26"/>
      <c r="J65" s="15"/>
      <c r="K65" s="22">
        <v>5500</v>
      </c>
      <c r="L65" s="15" t="s">
        <v>284</v>
      </c>
      <c r="M65" s="15"/>
    </row>
    <row r="66" spans="1:13" hidden="1">
      <c r="A66" s="14">
        <v>65</v>
      </c>
      <c r="B66" s="42">
        <v>45994</v>
      </c>
      <c r="C66" s="12" t="s">
        <v>280</v>
      </c>
      <c r="D66" s="12" t="s">
        <v>323</v>
      </c>
      <c r="E66" s="12" t="s">
        <v>300</v>
      </c>
      <c r="F66" s="13">
        <v>0.70138888888888884</v>
      </c>
      <c r="G66" s="12" t="s">
        <v>299</v>
      </c>
      <c r="H66" s="13">
        <v>0.71875</v>
      </c>
      <c r="I66" s="26"/>
      <c r="J66" s="15"/>
      <c r="K66" s="22">
        <v>5500</v>
      </c>
      <c r="L66" s="15" t="s">
        <v>284</v>
      </c>
      <c r="M66" s="15"/>
    </row>
    <row r="67" spans="1:13" hidden="1">
      <c r="A67" s="14">
        <v>66</v>
      </c>
      <c r="B67" s="42">
        <v>45994</v>
      </c>
      <c r="C67" s="12" t="s">
        <v>280</v>
      </c>
      <c r="D67" s="12" t="s">
        <v>324</v>
      </c>
      <c r="E67" s="12" t="s">
        <v>299</v>
      </c>
      <c r="F67" s="13">
        <v>0.76041666666666663</v>
      </c>
      <c r="G67" s="12" t="s">
        <v>292</v>
      </c>
      <c r="H67" s="13">
        <v>0.79513888888888884</v>
      </c>
      <c r="I67" s="26"/>
      <c r="J67" s="15"/>
      <c r="K67" s="22">
        <v>4640</v>
      </c>
      <c r="L67" s="15" t="s">
        <v>284</v>
      </c>
      <c r="M67" s="15"/>
    </row>
    <row r="68" spans="1:13" hidden="1">
      <c r="A68" s="14">
        <v>67</v>
      </c>
      <c r="B68" s="42">
        <v>45994</v>
      </c>
      <c r="C68" s="12" t="s">
        <v>280</v>
      </c>
      <c r="D68" s="12">
        <v>920</v>
      </c>
      <c r="E68" s="12" t="s">
        <v>292</v>
      </c>
      <c r="F68" s="13">
        <v>0.82986111111111116</v>
      </c>
      <c r="G68" s="12" t="s">
        <v>281</v>
      </c>
      <c r="H68" s="13">
        <v>0.92013888888888884</v>
      </c>
      <c r="I68" s="26"/>
      <c r="J68" s="15"/>
      <c r="K68" s="22">
        <v>10590</v>
      </c>
      <c r="L68" s="15" t="s">
        <v>284</v>
      </c>
      <c r="M68" s="15"/>
    </row>
    <row r="69" spans="1:13" hidden="1">
      <c r="A69" s="14">
        <v>68</v>
      </c>
      <c r="B69" s="42">
        <v>45939</v>
      </c>
      <c r="C69" s="12" t="s">
        <v>280</v>
      </c>
      <c r="D69" s="12">
        <v>325</v>
      </c>
      <c r="E69" s="12" t="s">
        <v>281</v>
      </c>
      <c r="F69" s="13"/>
      <c r="G69" s="12" t="s">
        <v>282</v>
      </c>
      <c r="H69" s="13"/>
      <c r="I69" s="26"/>
      <c r="J69" s="15"/>
      <c r="K69" s="22">
        <v>0</v>
      </c>
      <c r="L69" s="15" t="s">
        <v>284</v>
      </c>
      <c r="M69" s="15"/>
    </row>
    <row r="70" spans="1:13" hidden="1">
      <c r="A70" s="14">
        <v>69</v>
      </c>
      <c r="B70" s="42">
        <v>45941</v>
      </c>
      <c r="C70" s="12" t="s">
        <v>280</v>
      </c>
      <c r="D70" s="12">
        <v>310</v>
      </c>
      <c r="E70" s="12" t="s">
        <v>282</v>
      </c>
      <c r="F70" s="13"/>
      <c r="G70" s="12" t="s">
        <v>281</v>
      </c>
      <c r="H70" s="13"/>
      <c r="I70" s="26"/>
      <c r="J70" s="15"/>
      <c r="K70" s="22">
        <v>0</v>
      </c>
      <c r="L70" s="15" t="s">
        <v>284</v>
      </c>
      <c r="M70" s="15"/>
    </row>
    <row r="71" spans="1:13" hidden="1">
      <c r="A71" s="14">
        <v>70</v>
      </c>
      <c r="B71" s="42">
        <v>46052</v>
      </c>
      <c r="C71" s="12" t="s">
        <v>280</v>
      </c>
      <c r="D71" s="12">
        <v>325</v>
      </c>
      <c r="E71" s="12" t="s">
        <v>281</v>
      </c>
      <c r="F71" s="13">
        <v>0.2638888888888889</v>
      </c>
      <c r="G71" s="12" t="s">
        <v>292</v>
      </c>
      <c r="H71" s="13">
        <v>0.38541666666666669</v>
      </c>
      <c r="I71" s="26"/>
      <c r="J71" s="15"/>
      <c r="K71" s="22">
        <f>132568/4</f>
        <v>33142</v>
      </c>
      <c r="L71" s="15" t="s">
        <v>284</v>
      </c>
      <c r="M71" s="15"/>
    </row>
    <row r="72" spans="1:13" hidden="1">
      <c r="A72" s="14">
        <v>71</v>
      </c>
      <c r="B72" s="42">
        <v>46054</v>
      </c>
      <c r="C72" s="12" t="s">
        <v>280</v>
      </c>
      <c r="D72" s="12">
        <v>310</v>
      </c>
      <c r="E72" s="12" t="s">
        <v>292</v>
      </c>
      <c r="F72" s="13">
        <v>0.51736111111111116</v>
      </c>
      <c r="G72" s="12" t="s">
        <v>281</v>
      </c>
      <c r="H72" s="13">
        <v>0.60763888888888884</v>
      </c>
      <c r="I72" s="26"/>
      <c r="J72" s="15"/>
      <c r="K72" s="22">
        <v>0</v>
      </c>
      <c r="L72" s="15" t="s">
        <v>284</v>
      </c>
      <c r="M72" s="15"/>
    </row>
    <row r="73" spans="1:13" hidden="1">
      <c r="A73" s="14">
        <v>72</v>
      </c>
      <c r="B73" s="42">
        <v>45932</v>
      </c>
      <c r="C73" s="12" t="s">
        <v>280</v>
      </c>
      <c r="D73" s="12"/>
      <c r="E73" s="12" t="s">
        <v>281</v>
      </c>
      <c r="F73" s="13"/>
      <c r="G73" s="12" t="s">
        <v>325</v>
      </c>
      <c r="H73" s="13"/>
      <c r="I73" s="26"/>
      <c r="J73" s="15"/>
      <c r="K73" s="22">
        <v>0</v>
      </c>
      <c r="L73" s="15" t="s">
        <v>284</v>
      </c>
      <c r="M73" s="15"/>
    </row>
    <row r="74" spans="1:13" hidden="1">
      <c r="A74" s="14">
        <v>73</v>
      </c>
      <c r="B74" s="42">
        <v>45951</v>
      </c>
      <c r="C74" s="12" t="s">
        <v>280</v>
      </c>
      <c r="D74" s="12"/>
      <c r="E74" s="12" t="s">
        <v>281</v>
      </c>
      <c r="F74" s="13"/>
      <c r="G74" s="12" t="s">
        <v>326</v>
      </c>
      <c r="H74" s="13"/>
      <c r="I74" s="26"/>
      <c r="J74" s="15"/>
      <c r="K74" s="22">
        <v>0</v>
      </c>
      <c r="L74" s="15" t="s">
        <v>284</v>
      </c>
      <c r="M74" s="15"/>
    </row>
    <row r="75" spans="1:13" hidden="1">
      <c r="A75" s="14">
        <v>74</v>
      </c>
      <c r="B75" s="42">
        <v>45953</v>
      </c>
      <c r="C75" s="12" t="s">
        <v>280</v>
      </c>
      <c r="D75" s="12"/>
      <c r="E75" s="12" t="s">
        <v>313</v>
      </c>
      <c r="F75" s="13"/>
      <c r="G75" s="12" t="s">
        <v>282</v>
      </c>
      <c r="H75" s="13"/>
      <c r="I75" s="26"/>
      <c r="J75" s="15"/>
      <c r="K75" s="22">
        <v>0</v>
      </c>
      <c r="L75" s="15" t="s">
        <v>284</v>
      </c>
      <c r="M75" s="15"/>
    </row>
    <row r="76" spans="1:13" hidden="1">
      <c r="A76" s="14">
        <v>75</v>
      </c>
      <c r="B76" s="42">
        <v>45953</v>
      </c>
      <c r="C76" s="12" t="s">
        <v>280</v>
      </c>
      <c r="D76" s="12"/>
      <c r="E76" s="12" t="s">
        <v>282</v>
      </c>
      <c r="F76" s="13"/>
      <c r="G76" s="12" t="s">
        <v>281</v>
      </c>
      <c r="H76" s="13"/>
      <c r="I76" s="26"/>
      <c r="J76" s="15"/>
      <c r="K76" s="22">
        <v>0</v>
      </c>
      <c r="L76" s="15" t="s">
        <v>284</v>
      </c>
      <c r="M76" s="15"/>
    </row>
    <row r="77" spans="1:13" hidden="1">
      <c r="A77" s="14">
        <v>76</v>
      </c>
      <c r="B77" s="42">
        <v>46030</v>
      </c>
      <c r="C77" s="12" t="s">
        <v>280</v>
      </c>
      <c r="D77" s="12"/>
      <c r="E77" s="12" t="s">
        <v>281</v>
      </c>
      <c r="F77" s="13">
        <v>0.78819444444444442</v>
      </c>
      <c r="G77" s="12" t="s">
        <v>282</v>
      </c>
      <c r="H77" s="13">
        <v>0.87847222222222221</v>
      </c>
      <c r="I77" s="26"/>
      <c r="J77" s="15"/>
      <c r="K77" s="47">
        <v>8810</v>
      </c>
      <c r="L77" s="15" t="s">
        <v>284</v>
      </c>
      <c r="M77" s="15"/>
    </row>
    <row r="78" spans="1:13" hidden="1">
      <c r="A78" s="14">
        <v>77</v>
      </c>
      <c r="B78" s="42">
        <v>46031</v>
      </c>
      <c r="C78" s="12" t="s">
        <v>280</v>
      </c>
      <c r="D78" s="12"/>
      <c r="E78" s="12" t="s">
        <v>282</v>
      </c>
      <c r="F78" s="13">
        <v>0.30208333333333331</v>
      </c>
      <c r="G78" s="12" t="s">
        <v>292</v>
      </c>
      <c r="H78" s="13">
        <v>0.375</v>
      </c>
      <c r="I78" s="26"/>
      <c r="J78" s="15"/>
      <c r="K78" s="22">
        <v>10800</v>
      </c>
      <c r="L78" s="15" t="s">
        <v>284</v>
      </c>
      <c r="M78" s="15"/>
    </row>
    <row r="79" spans="1:13" hidden="1">
      <c r="A79" s="14">
        <v>78</v>
      </c>
      <c r="B79" s="42">
        <v>46031</v>
      </c>
      <c r="C79" s="12" t="s">
        <v>280</v>
      </c>
      <c r="D79" s="12"/>
      <c r="E79" s="12" t="s">
        <v>292</v>
      </c>
      <c r="F79" s="13">
        <v>0.40625</v>
      </c>
      <c r="G79" s="12" t="s">
        <v>295</v>
      </c>
      <c r="H79" s="13">
        <v>0.4513888888888889</v>
      </c>
      <c r="I79" s="26"/>
      <c r="J79" s="15"/>
      <c r="K79" s="22">
        <v>4640</v>
      </c>
      <c r="L79" s="15" t="s">
        <v>284</v>
      </c>
      <c r="M79" s="15"/>
    </row>
    <row r="80" spans="1:13" hidden="1">
      <c r="A80" s="14">
        <v>79</v>
      </c>
      <c r="B80" s="42">
        <v>46031</v>
      </c>
      <c r="C80" s="12" t="s">
        <v>280</v>
      </c>
      <c r="D80" s="12"/>
      <c r="E80" s="12" t="s">
        <v>295</v>
      </c>
      <c r="F80" s="13">
        <v>0.47916666666666669</v>
      </c>
      <c r="G80" s="12" t="s">
        <v>292</v>
      </c>
      <c r="H80" s="13">
        <v>0.52083333333333337</v>
      </c>
      <c r="I80" s="26"/>
      <c r="J80" s="15"/>
      <c r="K80" s="22">
        <v>4640</v>
      </c>
      <c r="L80" s="15" t="s">
        <v>284</v>
      </c>
      <c r="M80" s="15"/>
    </row>
    <row r="81" spans="1:13" hidden="1">
      <c r="A81" s="14">
        <v>80</v>
      </c>
      <c r="B81" s="42">
        <v>46031</v>
      </c>
      <c r="C81" s="12" t="s">
        <v>280</v>
      </c>
      <c r="D81" s="12"/>
      <c r="E81" s="12" t="s">
        <v>292</v>
      </c>
      <c r="F81" s="13">
        <v>0.58333333333333337</v>
      </c>
      <c r="G81" s="12" t="s">
        <v>318</v>
      </c>
      <c r="H81" s="13">
        <v>0.60763888888888884</v>
      </c>
      <c r="I81" s="26"/>
      <c r="J81" s="15"/>
      <c r="K81" s="22">
        <v>4640</v>
      </c>
      <c r="L81" s="15" t="s">
        <v>284</v>
      </c>
      <c r="M81" s="15"/>
    </row>
    <row r="82" spans="1:13" hidden="1">
      <c r="A82" s="14">
        <v>81</v>
      </c>
      <c r="B82" s="42">
        <v>46031</v>
      </c>
      <c r="C82" s="12" t="s">
        <v>280</v>
      </c>
      <c r="D82" s="12"/>
      <c r="E82" s="12" t="s">
        <v>318</v>
      </c>
      <c r="F82" s="13">
        <v>0.63541666666666663</v>
      </c>
      <c r="G82" s="12" t="s">
        <v>292</v>
      </c>
      <c r="H82" s="13">
        <v>0.66319444444444442</v>
      </c>
      <c r="I82" s="26"/>
      <c r="J82" s="15"/>
      <c r="K82" s="22">
        <v>4640</v>
      </c>
      <c r="L82" s="15" t="s">
        <v>284</v>
      </c>
      <c r="M82" s="15"/>
    </row>
    <row r="83" spans="1:13" hidden="1">
      <c r="A83" s="14">
        <v>82</v>
      </c>
      <c r="B83" s="42">
        <v>46031</v>
      </c>
      <c r="C83" s="12" t="s">
        <v>280</v>
      </c>
      <c r="D83" s="12"/>
      <c r="E83" s="12" t="s">
        <v>292</v>
      </c>
      <c r="F83" s="13">
        <v>0.69444444444444442</v>
      </c>
      <c r="G83" s="12" t="s">
        <v>299</v>
      </c>
      <c r="H83" s="13">
        <v>0.73263888888888884</v>
      </c>
      <c r="I83" s="26"/>
      <c r="J83" s="15"/>
      <c r="K83" s="22">
        <v>4640</v>
      </c>
      <c r="L83" s="15" t="s">
        <v>284</v>
      </c>
      <c r="M83" s="15"/>
    </row>
    <row r="84" spans="1:13" hidden="1">
      <c r="A84" s="14">
        <v>83</v>
      </c>
      <c r="B84" s="42">
        <v>46031</v>
      </c>
      <c r="C84" s="12" t="s">
        <v>280</v>
      </c>
      <c r="D84" s="12"/>
      <c r="E84" s="12" t="s">
        <v>299</v>
      </c>
      <c r="F84" s="13">
        <v>0.76041666666666663</v>
      </c>
      <c r="G84" s="12" t="s">
        <v>292</v>
      </c>
      <c r="H84" s="13">
        <v>0.79513888888888884</v>
      </c>
      <c r="I84" s="26"/>
      <c r="J84" s="15"/>
      <c r="K84" s="22">
        <v>7500</v>
      </c>
      <c r="L84" s="15" t="s">
        <v>284</v>
      </c>
      <c r="M84" s="15"/>
    </row>
    <row r="85" spans="1:13" hidden="1">
      <c r="A85" s="14">
        <v>84</v>
      </c>
      <c r="B85" s="42">
        <v>46031</v>
      </c>
      <c r="C85" s="12" t="s">
        <v>280</v>
      </c>
      <c r="D85" s="12"/>
      <c r="E85" s="12" t="s">
        <v>292</v>
      </c>
      <c r="F85" s="13">
        <v>0.82291666666666663</v>
      </c>
      <c r="G85" s="12" t="s">
        <v>282</v>
      </c>
      <c r="H85" s="13">
        <v>0.89236111111111116</v>
      </c>
      <c r="I85" s="26"/>
      <c r="J85" s="15"/>
      <c r="K85" s="22">
        <v>8050</v>
      </c>
      <c r="L85" s="15" t="s">
        <v>284</v>
      </c>
      <c r="M85" s="15"/>
    </row>
    <row r="86" spans="1:13" hidden="1">
      <c r="A86" s="14">
        <v>85</v>
      </c>
      <c r="B86" s="42">
        <v>46032</v>
      </c>
      <c r="C86" s="12" t="s">
        <v>280</v>
      </c>
      <c r="D86" s="12"/>
      <c r="E86" s="12" t="s">
        <v>282</v>
      </c>
      <c r="F86" s="13">
        <v>0.30555555555555558</v>
      </c>
      <c r="G86" s="12" t="s">
        <v>289</v>
      </c>
      <c r="H86" s="13">
        <v>0.33333333333333331</v>
      </c>
      <c r="I86" s="26"/>
      <c r="J86" s="15"/>
      <c r="K86" s="22">
        <v>6490</v>
      </c>
      <c r="L86" s="15" t="s">
        <v>284</v>
      </c>
      <c r="M86" s="15"/>
    </row>
    <row r="87" spans="1:13" hidden="1">
      <c r="A87" s="14">
        <v>86</v>
      </c>
      <c r="B87" s="42">
        <v>46032</v>
      </c>
      <c r="C87" s="12" t="s">
        <v>280</v>
      </c>
      <c r="D87" s="12"/>
      <c r="E87" s="12" t="s">
        <v>289</v>
      </c>
      <c r="F87" s="13">
        <v>0.54861111111111116</v>
      </c>
      <c r="G87" s="12" t="s">
        <v>282</v>
      </c>
      <c r="H87" s="13">
        <v>0.58333333333333337</v>
      </c>
      <c r="I87" s="26"/>
      <c r="J87" s="15"/>
      <c r="K87" s="22">
        <v>6490</v>
      </c>
      <c r="L87" s="15" t="s">
        <v>284</v>
      </c>
      <c r="M87" s="15"/>
    </row>
    <row r="88" spans="1:13" hidden="1">
      <c r="A88" s="14">
        <v>87</v>
      </c>
      <c r="B88" s="42">
        <v>46032</v>
      </c>
      <c r="C88" s="12" t="s">
        <v>280</v>
      </c>
      <c r="D88" s="12"/>
      <c r="E88" s="12" t="s">
        <v>282</v>
      </c>
      <c r="F88" s="13">
        <v>0.59722222222222221</v>
      </c>
      <c r="G88" s="12" t="s">
        <v>327</v>
      </c>
      <c r="H88" s="13">
        <v>0.63541666666666663</v>
      </c>
      <c r="I88" s="26"/>
      <c r="J88" s="15"/>
      <c r="K88" s="22">
        <v>6710</v>
      </c>
      <c r="L88" s="15" t="s">
        <v>284</v>
      </c>
      <c r="M88" s="15"/>
    </row>
    <row r="89" spans="1:13" hidden="1">
      <c r="A89" s="14">
        <v>88</v>
      </c>
      <c r="B89" s="42">
        <v>46032</v>
      </c>
      <c r="C89" s="12" t="s">
        <v>280</v>
      </c>
      <c r="D89" s="12"/>
      <c r="E89" s="12" t="s">
        <v>327</v>
      </c>
      <c r="F89" s="13">
        <v>0.66319444444444442</v>
      </c>
      <c r="G89" s="12" t="s">
        <v>282</v>
      </c>
      <c r="H89" s="13">
        <v>0.70486111111111116</v>
      </c>
      <c r="I89" s="26"/>
      <c r="J89" s="15"/>
      <c r="K89" s="22">
        <v>6710</v>
      </c>
      <c r="L89" s="15" t="s">
        <v>284</v>
      </c>
      <c r="M89" s="15"/>
    </row>
    <row r="90" spans="1:13" hidden="1">
      <c r="A90" s="14">
        <v>89</v>
      </c>
      <c r="B90" s="42">
        <v>46033</v>
      </c>
      <c r="C90" s="12" t="s">
        <v>280</v>
      </c>
      <c r="D90" s="12"/>
      <c r="E90" s="12" t="s">
        <v>282</v>
      </c>
      <c r="F90" s="13">
        <v>0.30208333333333331</v>
      </c>
      <c r="G90" s="12" t="s">
        <v>292</v>
      </c>
      <c r="H90" s="13">
        <v>0.375</v>
      </c>
      <c r="I90" s="26"/>
      <c r="J90" s="15"/>
      <c r="K90" s="22">
        <v>9150</v>
      </c>
      <c r="L90" s="15" t="s">
        <v>284</v>
      </c>
      <c r="M90" s="15"/>
    </row>
    <row r="91" spans="1:13" hidden="1">
      <c r="A91" s="14">
        <v>90</v>
      </c>
      <c r="B91" s="42">
        <v>46033</v>
      </c>
      <c r="C91" s="12" t="s">
        <v>280</v>
      </c>
      <c r="D91" s="12"/>
      <c r="E91" s="12" t="s">
        <v>292</v>
      </c>
      <c r="F91" s="13">
        <v>0.40625</v>
      </c>
      <c r="G91" s="12" t="s">
        <v>295</v>
      </c>
      <c r="H91" s="13">
        <v>0.4513888888888889</v>
      </c>
      <c r="I91" s="26"/>
      <c r="J91" s="15"/>
      <c r="K91" s="22">
        <v>5740</v>
      </c>
      <c r="L91" s="15" t="s">
        <v>284</v>
      </c>
      <c r="M91" s="15"/>
    </row>
    <row r="92" spans="1:13" hidden="1">
      <c r="A92" s="14">
        <v>91</v>
      </c>
      <c r="B92" s="42">
        <v>46033</v>
      </c>
      <c r="C92" s="12" t="s">
        <v>280</v>
      </c>
      <c r="D92" s="12"/>
      <c r="E92" s="12" t="s">
        <v>295</v>
      </c>
      <c r="F92" s="13">
        <v>0.47916666666666669</v>
      </c>
      <c r="G92" s="12" t="s">
        <v>292</v>
      </c>
      <c r="H92" s="13">
        <v>0.52083333333333337</v>
      </c>
      <c r="I92" s="26"/>
      <c r="J92" s="15"/>
      <c r="K92" s="22">
        <v>5740</v>
      </c>
      <c r="L92" s="15" t="s">
        <v>284</v>
      </c>
      <c r="M92" s="15"/>
    </row>
    <row r="93" spans="1:13" hidden="1">
      <c r="A93" s="14">
        <v>92</v>
      </c>
      <c r="B93" s="42">
        <v>46033</v>
      </c>
      <c r="C93" s="12" t="s">
        <v>280</v>
      </c>
      <c r="D93" s="12"/>
      <c r="E93" s="12" t="s">
        <v>292</v>
      </c>
      <c r="F93" s="13">
        <v>0.55208333333333337</v>
      </c>
      <c r="G93" s="12" t="s">
        <v>328</v>
      </c>
      <c r="H93" s="13">
        <v>0.57986111111111116</v>
      </c>
      <c r="I93" s="26"/>
      <c r="J93" s="15"/>
      <c r="K93" s="22">
        <v>12340</v>
      </c>
      <c r="L93" s="15" t="s">
        <v>284</v>
      </c>
      <c r="M93" s="15"/>
    </row>
    <row r="94" spans="1:13" hidden="1">
      <c r="A94" s="14">
        <v>93</v>
      </c>
      <c r="B94" s="42">
        <v>46033</v>
      </c>
      <c r="C94" s="12" t="s">
        <v>280</v>
      </c>
      <c r="D94" s="12"/>
      <c r="E94" s="12" t="s">
        <v>328</v>
      </c>
      <c r="F94" s="13">
        <v>0.60069444444444442</v>
      </c>
      <c r="G94" s="12" t="s">
        <v>292</v>
      </c>
      <c r="H94" s="13">
        <v>0.625</v>
      </c>
      <c r="I94" s="26"/>
      <c r="J94" s="15"/>
      <c r="K94" s="22">
        <v>12340</v>
      </c>
      <c r="L94" s="15" t="s">
        <v>284</v>
      </c>
      <c r="M94" s="15"/>
    </row>
    <row r="95" spans="1:13" hidden="1">
      <c r="A95" s="14">
        <v>94</v>
      </c>
      <c r="B95" s="42">
        <v>46033</v>
      </c>
      <c r="C95" s="12" t="s">
        <v>280</v>
      </c>
      <c r="D95" s="12"/>
      <c r="E95" s="12" t="s">
        <v>292</v>
      </c>
      <c r="F95" s="13">
        <v>0.65277777777777779</v>
      </c>
      <c r="G95" s="12" t="s">
        <v>318</v>
      </c>
      <c r="H95" s="13">
        <v>0.67708333333333337</v>
      </c>
      <c r="I95" s="26"/>
      <c r="J95" s="15"/>
      <c r="K95" s="22">
        <v>10910</v>
      </c>
      <c r="L95" s="15" t="s">
        <v>284</v>
      </c>
      <c r="M95" s="15"/>
    </row>
    <row r="96" spans="1:13" hidden="1">
      <c r="A96" s="14">
        <v>95</v>
      </c>
      <c r="B96" s="42">
        <v>46033</v>
      </c>
      <c r="C96" s="12" t="s">
        <v>280</v>
      </c>
      <c r="D96" s="12"/>
      <c r="E96" s="12" t="s">
        <v>318</v>
      </c>
      <c r="F96" s="13">
        <v>0.69791666666666663</v>
      </c>
      <c r="G96" s="12" t="s">
        <v>292</v>
      </c>
      <c r="H96" s="13">
        <v>0.72222222222222221</v>
      </c>
      <c r="I96" s="26"/>
      <c r="J96" s="15"/>
      <c r="K96" s="22">
        <v>4640</v>
      </c>
      <c r="L96" s="15" t="s">
        <v>284</v>
      </c>
      <c r="M96" s="15"/>
    </row>
    <row r="97" spans="1:13" hidden="1">
      <c r="A97" s="14">
        <v>96</v>
      </c>
      <c r="B97" s="42">
        <v>46033</v>
      </c>
      <c r="C97" s="12" t="s">
        <v>280</v>
      </c>
      <c r="D97" s="12"/>
      <c r="E97" s="12" t="s">
        <v>292</v>
      </c>
      <c r="F97" s="13">
        <v>0.79166666666666663</v>
      </c>
      <c r="G97" s="12" t="s">
        <v>281</v>
      </c>
      <c r="H97" s="13">
        <v>0.88194444444444442</v>
      </c>
      <c r="I97" s="26"/>
      <c r="J97" s="15"/>
      <c r="K97" s="22">
        <v>10590</v>
      </c>
      <c r="L97" s="15" t="s">
        <v>284</v>
      </c>
      <c r="M97" s="15"/>
    </row>
    <row r="98" spans="1:13" hidden="1">
      <c r="A98" s="14">
        <v>97</v>
      </c>
      <c r="B98" s="42">
        <v>46046</v>
      </c>
      <c r="C98" s="12" t="s">
        <v>280</v>
      </c>
      <c r="D98" s="12"/>
      <c r="E98" s="12" t="s">
        <v>281</v>
      </c>
      <c r="F98" s="13">
        <v>0.2638888888888889</v>
      </c>
      <c r="G98" s="12" t="s">
        <v>292</v>
      </c>
      <c r="H98" s="13">
        <v>0.38541666666666669</v>
      </c>
      <c r="I98" s="26"/>
      <c r="J98" s="15"/>
      <c r="K98" s="22">
        <v>10590</v>
      </c>
      <c r="L98" s="15" t="s">
        <v>284</v>
      </c>
      <c r="M98" s="15"/>
    </row>
    <row r="99" spans="1:13" hidden="1">
      <c r="A99" s="14">
        <v>98</v>
      </c>
      <c r="B99" s="42">
        <v>46046</v>
      </c>
      <c r="C99" s="12" t="s">
        <v>280</v>
      </c>
      <c r="D99" s="12"/>
      <c r="E99" s="12" t="s">
        <v>292</v>
      </c>
      <c r="F99" s="13">
        <v>0.4548611111111111</v>
      </c>
      <c r="G99" s="12" t="s">
        <v>299</v>
      </c>
      <c r="H99" s="13">
        <v>0.49305555555555558</v>
      </c>
      <c r="I99" s="26"/>
      <c r="J99" s="15"/>
      <c r="K99" s="22">
        <v>5740</v>
      </c>
      <c r="L99" s="15" t="s">
        <v>284</v>
      </c>
      <c r="M99" s="15"/>
    </row>
    <row r="100" spans="1:13" hidden="1">
      <c r="A100" s="14">
        <v>99</v>
      </c>
      <c r="B100" s="42">
        <v>46046</v>
      </c>
      <c r="C100" s="12" t="s">
        <v>280</v>
      </c>
      <c r="D100" s="12"/>
      <c r="E100" s="12" t="s">
        <v>299</v>
      </c>
      <c r="F100" s="13">
        <v>0.52083333333333337</v>
      </c>
      <c r="G100" s="12" t="s">
        <v>292</v>
      </c>
      <c r="H100" s="13">
        <v>0.55555555555555558</v>
      </c>
      <c r="I100" s="26"/>
      <c r="J100" s="15"/>
      <c r="K100" s="22">
        <v>5740</v>
      </c>
      <c r="L100" s="15" t="s">
        <v>284</v>
      </c>
      <c r="M100" s="15"/>
    </row>
    <row r="101" spans="1:13" hidden="1">
      <c r="A101" s="14">
        <v>100</v>
      </c>
      <c r="B101" s="42">
        <v>46046</v>
      </c>
      <c r="C101" s="12" t="s">
        <v>280</v>
      </c>
      <c r="D101" s="12"/>
      <c r="E101" s="12" t="s">
        <v>292</v>
      </c>
      <c r="F101" s="13">
        <v>0.59375</v>
      </c>
      <c r="G101" s="12" t="s">
        <v>329</v>
      </c>
      <c r="H101" s="13">
        <v>0.63541666666666663</v>
      </c>
      <c r="I101" s="26"/>
      <c r="J101" s="15"/>
      <c r="K101" s="22">
        <v>9040</v>
      </c>
      <c r="L101" s="15" t="s">
        <v>284</v>
      </c>
      <c r="M101" s="15"/>
    </row>
    <row r="102" spans="1:13" hidden="1">
      <c r="A102" s="14">
        <v>101</v>
      </c>
      <c r="B102" s="42">
        <v>46046</v>
      </c>
      <c r="C102" s="12" t="s">
        <v>280</v>
      </c>
      <c r="D102" s="12"/>
      <c r="E102" s="12" t="s">
        <v>329</v>
      </c>
      <c r="F102" s="13">
        <v>0.65625</v>
      </c>
      <c r="G102" s="12" t="s">
        <v>292</v>
      </c>
      <c r="H102" s="13">
        <v>0.70138888888888884</v>
      </c>
      <c r="I102" s="26"/>
      <c r="J102" s="15"/>
      <c r="K102" s="22">
        <v>9040</v>
      </c>
      <c r="L102" s="15" t="s">
        <v>284</v>
      </c>
      <c r="M102" s="15"/>
    </row>
    <row r="103" spans="1:13" hidden="1">
      <c r="A103" s="14">
        <v>102</v>
      </c>
      <c r="B103" s="42">
        <v>46046</v>
      </c>
      <c r="C103" s="12" t="s">
        <v>280</v>
      </c>
      <c r="D103" s="12"/>
      <c r="E103" s="12" t="s">
        <v>292</v>
      </c>
      <c r="F103" s="13">
        <v>0.87152777777777779</v>
      </c>
      <c r="G103" s="12" t="s">
        <v>281</v>
      </c>
      <c r="H103" s="13">
        <v>0.96180555555555558</v>
      </c>
      <c r="I103" s="26"/>
      <c r="J103" s="15"/>
      <c r="K103" s="22">
        <v>10590</v>
      </c>
      <c r="L103" s="15" t="s">
        <v>284</v>
      </c>
      <c r="M103" s="15"/>
    </row>
    <row r="104" spans="1:13" hidden="1">
      <c r="A104" s="14">
        <v>103</v>
      </c>
      <c r="B104" s="42">
        <v>45981</v>
      </c>
      <c r="C104" s="12" t="s">
        <v>280</v>
      </c>
      <c r="D104" s="12"/>
      <c r="E104" s="12" t="s">
        <v>281</v>
      </c>
      <c r="F104" s="13"/>
      <c r="G104" s="12" t="s">
        <v>330</v>
      </c>
      <c r="H104" s="13"/>
      <c r="I104" s="26"/>
      <c r="J104" s="15"/>
      <c r="K104" s="22">
        <v>0</v>
      </c>
      <c r="L104" s="15" t="s">
        <v>284</v>
      </c>
      <c r="M104" s="15"/>
    </row>
    <row r="105" spans="1:13" hidden="1">
      <c r="A105" s="14">
        <v>104</v>
      </c>
      <c r="B105" s="42">
        <v>45983</v>
      </c>
      <c r="C105" s="12" t="s">
        <v>280</v>
      </c>
      <c r="D105" s="12"/>
      <c r="E105" s="12" t="s">
        <v>330</v>
      </c>
      <c r="F105" s="13"/>
      <c r="G105" s="12" t="s">
        <v>281</v>
      </c>
      <c r="H105" s="13"/>
      <c r="I105" s="26"/>
      <c r="J105" s="15"/>
      <c r="K105" s="22">
        <v>0</v>
      </c>
      <c r="L105" s="15" t="s">
        <v>284</v>
      </c>
      <c r="M105" s="15"/>
    </row>
    <row r="106" spans="1:13" hidden="1">
      <c r="A106" s="14">
        <v>105</v>
      </c>
      <c r="B106" s="42">
        <v>45985</v>
      </c>
      <c r="C106" s="12" t="s">
        <v>280</v>
      </c>
      <c r="D106" s="12"/>
      <c r="E106" s="12" t="s">
        <v>281</v>
      </c>
      <c r="F106" s="13"/>
      <c r="G106" s="12" t="s">
        <v>282</v>
      </c>
      <c r="H106" s="13"/>
      <c r="I106" s="26"/>
      <c r="J106" s="15"/>
      <c r="K106" s="22">
        <v>0</v>
      </c>
      <c r="L106" s="15" t="s">
        <v>284</v>
      </c>
      <c r="M106" s="15"/>
    </row>
    <row r="107" spans="1:13" hidden="1">
      <c r="A107" s="14">
        <v>106</v>
      </c>
      <c r="B107" s="42">
        <v>45986</v>
      </c>
      <c r="C107" s="12" t="s">
        <v>280</v>
      </c>
      <c r="D107" s="12"/>
      <c r="E107" s="12" t="s">
        <v>282</v>
      </c>
      <c r="F107" s="13"/>
      <c r="G107" s="12" t="s">
        <v>281</v>
      </c>
      <c r="H107" s="13"/>
      <c r="I107" s="26"/>
      <c r="J107" s="15"/>
      <c r="K107" s="22">
        <v>0</v>
      </c>
      <c r="L107" s="15" t="s">
        <v>284</v>
      </c>
      <c r="M107" s="15"/>
    </row>
    <row r="108" spans="1:13" hidden="1">
      <c r="A108" s="14">
        <v>107</v>
      </c>
      <c r="B108" s="42">
        <v>45987</v>
      </c>
      <c r="C108" s="12" t="s">
        <v>280</v>
      </c>
      <c r="D108" s="12"/>
      <c r="E108" s="12" t="s">
        <v>281</v>
      </c>
      <c r="F108" s="13"/>
      <c r="G108" s="12" t="s">
        <v>314</v>
      </c>
      <c r="H108" s="13"/>
      <c r="I108" s="26"/>
      <c r="J108" s="15"/>
      <c r="K108" s="22">
        <v>0</v>
      </c>
      <c r="L108" s="15" t="s">
        <v>284</v>
      </c>
      <c r="M108" s="15"/>
    </row>
    <row r="109" spans="1:13" hidden="1">
      <c r="A109" s="14">
        <v>108</v>
      </c>
      <c r="B109" s="42">
        <v>45988</v>
      </c>
      <c r="C109" s="12" t="s">
        <v>280</v>
      </c>
      <c r="D109" s="12"/>
      <c r="E109" s="12" t="s">
        <v>314</v>
      </c>
      <c r="F109" s="13"/>
      <c r="G109" s="12" t="s">
        <v>281</v>
      </c>
      <c r="H109" s="13"/>
      <c r="I109" s="26"/>
      <c r="J109" s="15"/>
      <c r="K109" s="22">
        <v>0</v>
      </c>
      <c r="L109" s="15" t="s">
        <v>284</v>
      </c>
      <c r="M109" s="15"/>
    </row>
    <row r="110" spans="1:13" hidden="1">
      <c r="A110" s="14">
        <v>109</v>
      </c>
      <c r="B110" s="42">
        <v>45992</v>
      </c>
      <c r="C110" s="12" t="s">
        <v>280</v>
      </c>
      <c r="D110" s="12"/>
      <c r="E110" s="12" t="s">
        <v>281</v>
      </c>
      <c r="F110" s="13"/>
      <c r="G110" s="12" t="s">
        <v>282</v>
      </c>
      <c r="H110" s="13"/>
      <c r="I110" s="26"/>
      <c r="J110" s="15"/>
      <c r="K110" s="22">
        <v>0</v>
      </c>
      <c r="L110" s="15" t="s">
        <v>284</v>
      </c>
      <c r="M110" s="15"/>
    </row>
    <row r="111" spans="1:13" hidden="1">
      <c r="A111" s="14">
        <v>110</v>
      </c>
      <c r="B111" s="42">
        <v>45993</v>
      </c>
      <c r="C111" s="12" t="s">
        <v>280</v>
      </c>
      <c r="D111" s="12"/>
      <c r="E111" s="12" t="s">
        <v>282</v>
      </c>
      <c r="F111" s="13"/>
      <c r="G111" s="12" t="s">
        <v>281</v>
      </c>
      <c r="H111" s="13"/>
      <c r="I111" s="26"/>
      <c r="J111" s="15"/>
      <c r="K111" s="22">
        <v>0</v>
      </c>
      <c r="L111" s="15" t="s">
        <v>284</v>
      </c>
      <c r="M111" s="15"/>
    </row>
    <row r="112" spans="1:13" hidden="1">
      <c r="A112" s="14">
        <v>111</v>
      </c>
      <c r="B112" s="42">
        <v>46059</v>
      </c>
      <c r="C112" s="12" t="s">
        <v>280</v>
      </c>
      <c r="D112" s="12">
        <v>303</v>
      </c>
      <c r="E112" s="12" t="s">
        <v>281</v>
      </c>
      <c r="F112" s="13">
        <v>0.2673611111111111</v>
      </c>
      <c r="G112" s="12" t="s">
        <v>282</v>
      </c>
      <c r="H112" s="13">
        <v>0.35416666666666669</v>
      </c>
      <c r="I112" s="26"/>
      <c r="J112" s="15"/>
      <c r="K112" s="22">
        <v>9360</v>
      </c>
      <c r="L112" s="15" t="s">
        <v>284</v>
      </c>
      <c r="M112" s="15"/>
    </row>
    <row r="113" spans="1:13" hidden="1">
      <c r="A113" s="14">
        <v>112</v>
      </c>
      <c r="B113" s="42">
        <v>46059</v>
      </c>
      <c r="C113" s="12" t="s">
        <v>280</v>
      </c>
      <c r="D113" s="12">
        <v>3581</v>
      </c>
      <c r="E113" s="12" t="s">
        <v>282</v>
      </c>
      <c r="F113" s="13">
        <v>0.37847222222222221</v>
      </c>
      <c r="G113" s="12" t="s">
        <v>312</v>
      </c>
      <c r="H113" s="13">
        <v>0.41319444444444442</v>
      </c>
      <c r="I113" s="26"/>
      <c r="J113" s="15"/>
      <c r="K113" s="22">
        <v>8910</v>
      </c>
      <c r="L113" s="15" t="s">
        <v>284</v>
      </c>
      <c r="M113" s="15"/>
    </row>
    <row r="114" spans="1:13" hidden="1">
      <c r="A114" s="14">
        <v>113</v>
      </c>
      <c r="B114" s="42">
        <v>46059</v>
      </c>
      <c r="C114" s="12" t="s">
        <v>280</v>
      </c>
      <c r="D114" s="12">
        <v>3582</v>
      </c>
      <c r="E114" s="12" t="s">
        <v>312</v>
      </c>
      <c r="F114" s="13">
        <v>0.43402777777777779</v>
      </c>
      <c r="G114" s="12" t="s">
        <v>282</v>
      </c>
      <c r="H114" s="13">
        <v>0.47916666666666669</v>
      </c>
      <c r="I114" s="26"/>
      <c r="J114" s="15"/>
      <c r="K114" s="22">
        <v>8910</v>
      </c>
      <c r="L114" s="15" t="s">
        <v>284</v>
      </c>
      <c r="M114" s="15"/>
    </row>
    <row r="115" spans="1:13" hidden="1">
      <c r="A115" s="14">
        <v>114</v>
      </c>
      <c r="B115" s="42">
        <v>46059</v>
      </c>
      <c r="C115" s="12" t="s">
        <v>280</v>
      </c>
      <c r="D115" s="12"/>
      <c r="E115" s="12" t="s">
        <v>282</v>
      </c>
      <c r="F115" s="13">
        <v>0.49305555555555558</v>
      </c>
      <c r="G115" s="12" t="s">
        <v>289</v>
      </c>
      <c r="H115" s="13">
        <v>0.52777777777777779</v>
      </c>
      <c r="I115" s="26"/>
      <c r="J115" s="15"/>
      <c r="K115" s="22">
        <v>19238</v>
      </c>
      <c r="L115" s="15" t="s">
        <v>284</v>
      </c>
      <c r="M115" s="15"/>
    </row>
    <row r="116" spans="1:13" hidden="1">
      <c r="A116" s="14">
        <v>115</v>
      </c>
      <c r="B116" s="42">
        <v>46059</v>
      </c>
      <c r="C116" s="12" t="s">
        <v>280</v>
      </c>
      <c r="D116" s="12"/>
      <c r="E116" s="12" t="s">
        <v>289</v>
      </c>
      <c r="F116" s="13">
        <v>0.54861111111111116</v>
      </c>
      <c r="G116" s="12" t="s">
        <v>282</v>
      </c>
      <c r="H116" s="13">
        <v>0.58333333333333337</v>
      </c>
      <c r="I116" s="26"/>
      <c r="J116" s="15"/>
      <c r="K116" s="22">
        <v>0</v>
      </c>
      <c r="L116" s="15" t="s">
        <v>284</v>
      </c>
      <c r="M116" s="15"/>
    </row>
    <row r="117" spans="1:13" hidden="1">
      <c r="A117" s="14">
        <v>118</v>
      </c>
      <c r="B117" s="42">
        <v>46059</v>
      </c>
      <c r="C117" s="12" t="s">
        <v>291</v>
      </c>
      <c r="D117" s="12">
        <v>63</v>
      </c>
      <c r="E117" s="12" t="s">
        <v>282</v>
      </c>
      <c r="F117" s="13">
        <v>0.73263888888888884</v>
      </c>
      <c r="G117" s="12" t="s">
        <v>292</v>
      </c>
      <c r="H117" s="13">
        <v>0.80902777777777779</v>
      </c>
      <c r="I117" s="26"/>
      <c r="J117" s="15"/>
      <c r="K117" s="22">
        <v>9150</v>
      </c>
      <c r="L117" s="15" t="s">
        <v>284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292</v>
      </c>
      <c r="F118" s="13">
        <v>0.60069444444444442</v>
      </c>
      <c r="G118" s="12" t="s">
        <v>299</v>
      </c>
      <c r="H118" s="13">
        <v>0.64236111111111116</v>
      </c>
      <c r="I118" s="26"/>
      <c r="J118" s="15"/>
      <c r="K118" s="22">
        <v>5740</v>
      </c>
      <c r="L118" s="15" t="s">
        <v>284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299</v>
      </c>
      <c r="F119" s="13">
        <v>0.67013888888888884</v>
      </c>
      <c r="G119" s="12" t="s">
        <v>292</v>
      </c>
      <c r="H119" s="13">
        <v>0.70486111111111116</v>
      </c>
      <c r="I119" s="26"/>
      <c r="J119" s="15"/>
      <c r="K119" s="22">
        <v>5740</v>
      </c>
      <c r="L119" s="15" t="s">
        <v>284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292</v>
      </c>
      <c r="F120" s="13">
        <v>0.72222222222222221</v>
      </c>
      <c r="G120" s="12" t="s">
        <v>318</v>
      </c>
      <c r="H120" s="13">
        <v>0.74652777777777779</v>
      </c>
      <c r="I120" s="26"/>
      <c r="J120" s="15"/>
      <c r="K120" s="22">
        <v>4640</v>
      </c>
      <c r="L120" s="15" t="s">
        <v>284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318</v>
      </c>
      <c r="F121" s="13">
        <v>0.76736111111111116</v>
      </c>
      <c r="G121" s="12" t="s">
        <v>292</v>
      </c>
      <c r="H121" s="13">
        <v>0.79513888888888884</v>
      </c>
      <c r="I121" s="26"/>
      <c r="J121" s="15"/>
      <c r="K121" s="22">
        <v>9260</v>
      </c>
      <c r="L121" s="15" t="s">
        <v>284</v>
      </c>
      <c r="M121" s="15"/>
    </row>
    <row r="122" spans="1:13" hidden="1">
      <c r="A122" s="14">
        <v>130</v>
      </c>
      <c r="B122" s="42">
        <v>46060</v>
      </c>
      <c r="C122" s="12" t="s">
        <v>291</v>
      </c>
      <c r="D122" s="12">
        <v>62</v>
      </c>
      <c r="E122" s="12" t="s">
        <v>292</v>
      </c>
      <c r="F122" s="13">
        <v>0.82291666666666663</v>
      </c>
      <c r="G122" s="12" t="s">
        <v>282</v>
      </c>
      <c r="H122" s="13">
        <v>0.89236111111111116</v>
      </c>
      <c r="I122" s="26"/>
      <c r="J122" s="15"/>
      <c r="K122" s="22">
        <v>10250</v>
      </c>
      <c r="L122" s="15" t="s">
        <v>284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282</v>
      </c>
      <c r="F123" s="13">
        <v>0.30208333333333331</v>
      </c>
      <c r="G123" s="12" t="s">
        <v>292</v>
      </c>
      <c r="H123" s="13">
        <v>0.37847222222222221</v>
      </c>
      <c r="I123" s="26"/>
      <c r="J123" s="15"/>
      <c r="K123" s="22">
        <v>10250</v>
      </c>
      <c r="L123" s="15" t="s">
        <v>284</v>
      </c>
      <c r="M123" s="15"/>
    </row>
    <row r="124" spans="1:13" hidden="1">
      <c r="A124" s="14">
        <v>132</v>
      </c>
      <c r="B124" s="42">
        <v>46061</v>
      </c>
      <c r="C124" s="12" t="s">
        <v>296</v>
      </c>
      <c r="D124" s="12">
        <v>873</v>
      </c>
      <c r="E124" s="12" t="s">
        <v>292</v>
      </c>
      <c r="F124" s="13">
        <v>0.41319444444444442</v>
      </c>
      <c r="G124" s="12" t="s">
        <v>318</v>
      </c>
      <c r="H124" s="13">
        <v>0.43402777777777779</v>
      </c>
      <c r="I124" s="26"/>
      <c r="J124" s="15"/>
      <c r="K124" s="22">
        <v>4640</v>
      </c>
      <c r="L124" s="15" t="s">
        <v>284</v>
      </c>
      <c r="M124" s="15"/>
    </row>
    <row r="125" spans="1:13" hidden="1">
      <c r="A125" s="14">
        <v>133</v>
      </c>
      <c r="B125" s="42">
        <v>46061</v>
      </c>
      <c r="C125" s="12" t="s">
        <v>296</v>
      </c>
      <c r="D125" s="12">
        <v>874</v>
      </c>
      <c r="E125" s="12" t="s">
        <v>318</v>
      </c>
      <c r="F125" s="13">
        <v>0.4548611111111111</v>
      </c>
      <c r="G125" s="12" t="s">
        <v>292</v>
      </c>
      <c r="H125" s="13">
        <v>0.4826388888888889</v>
      </c>
      <c r="I125" s="26"/>
      <c r="J125" s="15"/>
      <c r="K125" s="22">
        <v>6620</v>
      </c>
      <c r="L125" s="15" t="s">
        <v>284</v>
      </c>
      <c r="M125" s="15"/>
    </row>
    <row r="126" spans="1:13" hidden="1">
      <c r="A126" s="14">
        <v>134</v>
      </c>
      <c r="B126" s="42">
        <v>46061</v>
      </c>
      <c r="C126" s="12" t="s">
        <v>291</v>
      </c>
      <c r="D126" s="12">
        <v>559</v>
      </c>
      <c r="E126" s="12" t="s">
        <v>292</v>
      </c>
      <c r="F126" s="13">
        <v>0.50694444444444442</v>
      </c>
      <c r="G126" s="12" t="s">
        <v>299</v>
      </c>
      <c r="H126" s="13">
        <v>0.54861111111111116</v>
      </c>
      <c r="I126" s="26"/>
      <c r="J126" s="15"/>
      <c r="K126" s="22">
        <v>5740</v>
      </c>
      <c r="L126" s="15" t="s">
        <v>284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299</v>
      </c>
      <c r="F127" s="13">
        <v>0.57291666666666663</v>
      </c>
      <c r="G127" s="12" t="s">
        <v>292</v>
      </c>
      <c r="H127" s="13">
        <v>0.60763888888888884</v>
      </c>
      <c r="I127" s="26"/>
      <c r="J127" s="15"/>
      <c r="K127" s="22">
        <v>5740</v>
      </c>
      <c r="L127" s="15" t="s">
        <v>284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292</v>
      </c>
      <c r="F128" s="13">
        <v>0.625</v>
      </c>
      <c r="G128" s="12" t="s">
        <v>295</v>
      </c>
      <c r="H128" s="13">
        <v>0.67013888888888884</v>
      </c>
      <c r="I128" s="26"/>
      <c r="J128" s="15"/>
      <c r="K128" s="22">
        <v>5740</v>
      </c>
      <c r="L128" s="15" t="s">
        <v>284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295</v>
      </c>
      <c r="F129" s="13">
        <v>0.73958333333333337</v>
      </c>
      <c r="G129" s="12" t="s">
        <v>297</v>
      </c>
      <c r="H129" s="13">
        <v>0.76388888888888884</v>
      </c>
      <c r="I129" s="26"/>
      <c r="J129" s="15"/>
      <c r="K129" s="22">
        <v>6600</v>
      </c>
      <c r="L129" s="15" t="s">
        <v>284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297</v>
      </c>
      <c r="F130" s="13">
        <v>0.78472222222222221</v>
      </c>
      <c r="G130" s="12" t="s">
        <v>292</v>
      </c>
      <c r="H130" s="13">
        <v>0.83680555555555558</v>
      </c>
      <c r="I130" s="26"/>
      <c r="J130" s="15"/>
      <c r="K130" s="22">
        <v>10140</v>
      </c>
      <c r="L130" s="15" t="s">
        <v>284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292</v>
      </c>
      <c r="F131" s="13">
        <v>0.87152777777777779</v>
      </c>
      <c r="G131" s="12" t="s">
        <v>281</v>
      </c>
      <c r="H131" s="13">
        <v>0.96180555555555558</v>
      </c>
      <c r="I131" s="26"/>
      <c r="J131" s="15"/>
      <c r="K131" s="22">
        <v>10590</v>
      </c>
      <c r="L131" s="15" t="s">
        <v>284</v>
      </c>
      <c r="M131" s="15"/>
    </row>
    <row r="132" spans="1:13" hidden="1">
      <c r="A132" s="14">
        <v>140</v>
      </c>
      <c r="B132" s="42">
        <v>46063</v>
      </c>
      <c r="C132" s="12" t="s">
        <v>280</v>
      </c>
      <c r="D132" s="12">
        <v>331</v>
      </c>
      <c r="E132" s="12" t="s">
        <v>281</v>
      </c>
      <c r="F132" s="13">
        <v>0.77777777777777779</v>
      </c>
      <c r="G132" s="12" t="s">
        <v>282</v>
      </c>
      <c r="H132" s="13">
        <v>0.86111111111111116</v>
      </c>
      <c r="I132" s="26"/>
      <c r="J132" s="15"/>
      <c r="K132" s="22">
        <v>9360</v>
      </c>
      <c r="L132" s="15" t="s">
        <v>284</v>
      </c>
      <c r="M132" s="15"/>
    </row>
    <row r="133" spans="1:13" hidden="1">
      <c r="A133" s="14">
        <v>141</v>
      </c>
      <c r="B133" s="42">
        <v>46064</v>
      </c>
      <c r="C133" s="12" t="s">
        <v>291</v>
      </c>
      <c r="D133" s="12">
        <v>51</v>
      </c>
      <c r="E133" s="12" t="s">
        <v>282</v>
      </c>
      <c r="F133" s="13">
        <v>0.30208333333333331</v>
      </c>
      <c r="G133" s="12" t="s">
        <v>292</v>
      </c>
      <c r="H133" s="13">
        <v>0.37847222222222221</v>
      </c>
      <c r="I133" s="26"/>
      <c r="J133" s="15"/>
      <c r="K133" s="22">
        <v>10800</v>
      </c>
      <c r="L133" s="15" t="s">
        <v>284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292</v>
      </c>
      <c r="F134" s="13">
        <v>0.41319444444444442</v>
      </c>
      <c r="G134" s="12" t="s">
        <v>295</v>
      </c>
      <c r="H134" s="13">
        <v>0.4548611111111111</v>
      </c>
      <c r="I134" s="26"/>
      <c r="J134" s="15"/>
      <c r="K134" s="22">
        <v>5740</v>
      </c>
      <c r="L134" s="15" t="s">
        <v>284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295</v>
      </c>
      <c r="F135" s="13">
        <v>0.4826388888888889</v>
      </c>
      <c r="G135" s="12" t="s">
        <v>292</v>
      </c>
      <c r="H135" s="13">
        <v>0.52430555555555558</v>
      </c>
      <c r="I135" s="26"/>
      <c r="J135" s="15"/>
      <c r="K135" s="22">
        <v>5740</v>
      </c>
      <c r="L135" s="15" t="s">
        <v>284</v>
      </c>
      <c r="M135" s="15"/>
    </row>
    <row r="136" spans="1:13" hidden="1">
      <c r="A136" s="14">
        <v>144</v>
      </c>
      <c r="B136" s="42">
        <v>46064</v>
      </c>
      <c r="C136" s="12" t="s">
        <v>296</v>
      </c>
      <c r="D136" s="12">
        <v>727</v>
      </c>
      <c r="E136" s="12" t="s">
        <v>292</v>
      </c>
      <c r="F136" s="13">
        <v>0.61805555555555558</v>
      </c>
      <c r="G136" s="12" t="s">
        <v>297</v>
      </c>
      <c r="H136" s="13">
        <v>0.67708333333333337</v>
      </c>
      <c r="I136" s="26"/>
      <c r="J136" s="15"/>
      <c r="K136" s="22">
        <v>10140</v>
      </c>
      <c r="L136" s="15" t="s">
        <v>284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297</v>
      </c>
      <c r="F137" s="13">
        <v>0.69791666666666663</v>
      </c>
      <c r="G137" s="12" t="s">
        <v>295</v>
      </c>
      <c r="H137" s="13">
        <v>0.71875</v>
      </c>
      <c r="I137" s="26"/>
      <c r="J137" s="15"/>
      <c r="K137" s="22">
        <v>7040</v>
      </c>
      <c r="L137" s="15" t="s">
        <v>284</v>
      </c>
      <c r="M137" s="15"/>
    </row>
    <row r="138" spans="1:13" hidden="1">
      <c r="A138" s="14">
        <v>146</v>
      </c>
      <c r="B138" s="42">
        <v>46064</v>
      </c>
      <c r="C138" s="12" t="s">
        <v>280</v>
      </c>
      <c r="D138" s="12">
        <v>974</v>
      </c>
      <c r="E138" s="12" t="s">
        <v>295</v>
      </c>
      <c r="F138" s="13">
        <v>0.80902777777777779</v>
      </c>
      <c r="G138" s="12" t="s">
        <v>281</v>
      </c>
      <c r="H138" s="13">
        <v>0.91666666666666663</v>
      </c>
      <c r="I138" s="26"/>
      <c r="J138" s="15"/>
      <c r="K138" s="22">
        <v>10900</v>
      </c>
      <c r="L138" s="15" t="s">
        <v>284</v>
      </c>
      <c r="M138" s="15"/>
    </row>
    <row r="139" spans="1:13" hidden="1">
      <c r="A139" s="14">
        <v>147</v>
      </c>
      <c r="B139" s="42">
        <v>46074</v>
      </c>
      <c r="C139" s="12" t="s">
        <v>280</v>
      </c>
      <c r="D139" s="12">
        <v>325</v>
      </c>
      <c r="E139" s="12" t="s">
        <v>281</v>
      </c>
      <c r="F139" s="13">
        <v>0.65972222222222221</v>
      </c>
      <c r="G139" s="12" t="s">
        <v>282</v>
      </c>
      <c r="H139" s="13">
        <v>0.74652777777777779</v>
      </c>
      <c r="I139" s="26"/>
      <c r="J139" s="15"/>
      <c r="K139" s="22">
        <f>10460+18600-10010</f>
        <v>19050</v>
      </c>
      <c r="L139" s="15" t="s">
        <v>284</v>
      </c>
      <c r="M139" s="15" t="s">
        <v>331</v>
      </c>
    </row>
    <row r="140" spans="1:13" hidden="1">
      <c r="A140" s="14">
        <v>148</v>
      </c>
      <c r="B140" s="42">
        <v>46074</v>
      </c>
      <c r="C140" s="12" t="s">
        <v>280</v>
      </c>
      <c r="D140" s="12">
        <v>3639</v>
      </c>
      <c r="E140" s="12" t="s">
        <v>282</v>
      </c>
      <c r="F140" s="13">
        <v>0.80208333333333337</v>
      </c>
      <c r="G140" s="12" t="s">
        <v>289</v>
      </c>
      <c r="H140" s="13">
        <v>0.83333333333333337</v>
      </c>
      <c r="I140" s="26"/>
      <c r="J140" s="15"/>
      <c r="K140" s="22">
        <v>11020</v>
      </c>
      <c r="L140" s="15" t="s">
        <v>284</v>
      </c>
      <c r="M140" s="15"/>
    </row>
    <row r="141" spans="1:13" hidden="1">
      <c r="A141" s="14">
        <v>149</v>
      </c>
      <c r="B141" s="42">
        <v>46074</v>
      </c>
      <c r="C141" s="12" t="s">
        <v>280</v>
      </c>
      <c r="D141" s="12">
        <v>3642</v>
      </c>
      <c r="E141" s="12" t="s">
        <v>289</v>
      </c>
      <c r="F141" s="13">
        <v>0.85763888888888884</v>
      </c>
      <c r="G141" s="12" t="s">
        <v>282</v>
      </c>
      <c r="H141" s="13">
        <v>0.89583333333333337</v>
      </c>
      <c r="I141" s="26"/>
      <c r="J141" s="15"/>
      <c r="K141" s="22">
        <v>0</v>
      </c>
      <c r="L141" s="15" t="s">
        <v>284</v>
      </c>
      <c r="M141" s="15"/>
    </row>
    <row r="142" spans="1:13" hidden="1">
      <c r="A142" s="14">
        <v>150</v>
      </c>
      <c r="B142" s="42">
        <v>46075</v>
      </c>
      <c r="C142" s="12" t="s">
        <v>291</v>
      </c>
      <c r="D142" s="12">
        <v>51</v>
      </c>
      <c r="E142" s="12" t="s">
        <v>282</v>
      </c>
      <c r="F142" s="13">
        <v>0.30208333333333331</v>
      </c>
      <c r="G142" s="12" t="s">
        <v>292</v>
      </c>
      <c r="H142" s="13">
        <v>0.37847222222222221</v>
      </c>
      <c r="I142" s="26"/>
      <c r="J142" s="15"/>
      <c r="K142" s="22">
        <v>12670</v>
      </c>
      <c r="L142" s="15" t="s">
        <v>284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292</v>
      </c>
      <c r="F143" s="13">
        <v>0.44791666666666669</v>
      </c>
      <c r="G143" s="12" t="s">
        <v>295</v>
      </c>
      <c r="H143" s="13">
        <v>0.49305555555555558</v>
      </c>
      <c r="I143" s="26"/>
      <c r="J143" s="15"/>
      <c r="K143" s="22">
        <v>5740</v>
      </c>
      <c r="L143" s="15" t="s">
        <v>284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295</v>
      </c>
      <c r="F144" s="13">
        <v>0.52083333333333337</v>
      </c>
      <c r="G144" s="12" t="s">
        <v>292</v>
      </c>
      <c r="H144" s="13">
        <v>0.5625</v>
      </c>
      <c r="I144" s="26"/>
      <c r="J144" s="15"/>
      <c r="K144" s="22">
        <v>5740</v>
      </c>
      <c r="L144" s="15" t="s">
        <v>284</v>
      </c>
      <c r="M144" s="15"/>
    </row>
    <row r="145" spans="1:13" hidden="1">
      <c r="A145" s="14">
        <v>153</v>
      </c>
      <c r="B145" s="42">
        <v>46075</v>
      </c>
      <c r="C145" s="12" t="s">
        <v>291</v>
      </c>
      <c r="D145" s="12">
        <v>563</v>
      </c>
      <c r="E145" s="12" t="s">
        <v>292</v>
      </c>
      <c r="F145" s="13">
        <v>0.60069444444444442</v>
      </c>
      <c r="G145" s="12" t="s">
        <v>299</v>
      </c>
      <c r="H145" s="13">
        <v>0.64236111111111116</v>
      </c>
      <c r="I145" s="26"/>
      <c r="J145" s="15"/>
      <c r="K145" s="22">
        <v>5740</v>
      </c>
      <c r="L145" s="15" t="s">
        <v>284</v>
      </c>
      <c r="M145" s="15"/>
    </row>
    <row r="146" spans="1:13" hidden="1">
      <c r="A146" s="14">
        <v>154</v>
      </c>
      <c r="B146" s="42">
        <v>46075</v>
      </c>
      <c r="C146" s="12" t="s">
        <v>296</v>
      </c>
      <c r="D146" s="12">
        <v>897</v>
      </c>
      <c r="E146" s="12" t="s">
        <v>299</v>
      </c>
      <c r="F146" s="13">
        <v>0.65972222222222221</v>
      </c>
      <c r="G146" s="12" t="s">
        <v>300</v>
      </c>
      <c r="H146" s="13">
        <v>0.67708333333333337</v>
      </c>
      <c r="I146" s="26"/>
      <c r="J146" s="15"/>
      <c r="K146" s="22">
        <v>9350</v>
      </c>
      <c r="L146" s="15" t="s">
        <v>284</v>
      </c>
      <c r="M146" s="15"/>
    </row>
    <row r="147" spans="1:13" hidden="1">
      <c r="A147" s="14">
        <v>155</v>
      </c>
      <c r="B147" s="42">
        <v>46075</v>
      </c>
      <c r="C147" s="12" t="s">
        <v>296</v>
      </c>
      <c r="D147" s="12">
        <v>898</v>
      </c>
      <c r="E147" s="12" t="s">
        <v>300</v>
      </c>
      <c r="F147" s="13">
        <v>0.70138888888888884</v>
      </c>
      <c r="G147" s="12" t="s">
        <v>299</v>
      </c>
      <c r="H147" s="13">
        <v>0.71875</v>
      </c>
      <c r="I147" s="26"/>
      <c r="J147" s="15"/>
      <c r="K147" s="22">
        <v>5500</v>
      </c>
      <c r="L147" s="15" t="s">
        <v>284</v>
      </c>
      <c r="M147" s="15"/>
    </row>
    <row r="148" spans="1:13" hidden="1">
      <c r="A148" s="14">
        <v>156</v>
      </c>
      <c r="B148" s="42">
        <v>46075</v>
      </c>
      <c r="C148" s="12" t="s">
        <v>296</v>
      </c>
      <c r="D148" s="12">
        <v>839</v>
      </c>
      <c r="E148" s="12" t="s">
        <v>299</v>
      </c>
      <c r="F148" s="13">
        <v>0.73958333333333337</v>
      </c>
      <c r="G148" s="12" t="s">
        <v>295</v>
      </c>
      <c r="H148" s="13">
        <v>0.76041666666666663</v>
      </c>
      <c r="I148" s="26"/>
      <c r="J148" s="15"/>
      <c r="K148" s="22">
        <v>14520</v>
      </c>
      <c r="L148" s="15" t="s">
        <v>284</v>
      </c>
      <c r="M148" s="15"/>
    </row>
    <row r="149" spans="1:13" hidden="1">
      <c r="A149" s="14">
        <v>157</v>
      </c>
      <c r="B149" s="42">
        <v>46075</v>
      </c>
      <c r="C149" s="12" t="s">
        <v>280</v>
      </c>
      <c r="D149" s="12">
        <v>974</v>
      </c>
      <c r="E149" s="12" t="s">
        <v>295</v>
      </c>
      <c r="F149" s="13">
        <v>0.80902777777777779</v>
      </c>
      <c r="G149" s="12" t="s">
        <v>281</v>
      </c>
      <c r="H149" s="13">
        <v>0.91666666666666663</v>
      </c>
      <c r="I149" s="26"/>
      <c r="J149" s="15"/>
      <c r="K149" s="22">
        <v>10900</v>
      </c>
      <c r="L149" s="15" t="s">
        <v>284</v>
      </c>
      <c r="M149" s="15"/>
    </row>
    <row r="150" spans="1:13" hidden="1">
      <c r="A150" s="14">
        <v>158</v>
      </c>
      <c r="B150" s="42">
        <v>46078</v>
      </c>
      <c r="C150" s="12" t="s">
        <v>280</v>
      </c>
      <c r="D150" s="12">
        <v>303</v>
      </c>
      <c r="E150" s="12" t="s">
        <v>281</v>
      </c>
      <c r="F150" s="13">
        <v>0.2673611111111111</v>
      </c>
      <c r="G150" s="12" t="s">
        <v>282</v>
      </c>
      <c r="H150" s="13">
        <v>0.35416666666666669</v>
      </c>
      <c r="I150" s="26"/>
      <c r="J150" s="15"/>
      <c r="K150" s="22">
        <v>9360</v>
      </c>
      <c r="L150" s="15" t="s">
        <v>284</v>
      </c>
      <c r="M150" s="15"/>
    </row>
    <row r="151" spans="1:13" hidden="1">
      <c r="A151" s="14">
        <v>159</v>
      </c>
      <c r="B151" s="42">
        <v>46078</v>
      </c>
      <c r="C151" s="12" t="s">
        <v>280</v>
      </c>
      <c r="D151" s="12">
        <v>3581</v>
      </c>
      <c r="E151" s="12" t="s">
        <v>282</v>
      </c>
      <c r="F151" s="13">
        <v>0.37847222222222221</v>
      </c>
      <c r="G151" s="12" t="s">
        <v>312</v>
      </c>
      <c r="H151" s="13">
        <v>0.41319444444444442</v>
      </c>
      <c r="I151" s="26"/>
      <c r="J151" s="15"/>
      <c r="K151" s="22">
        <v>8910</v>
      </c>
      <c r="L151" s="15" t="s">
        <v>284</v>
      </c>
      <c r="M151" s="15"/>
    </row>
    <row r="152" spans="1:13" hidden="1">
      <c r="A152" s="14">
        <v>160</v>
      </c>
      <c r="B152" s="42">
        <v>46078</v>
      </c>
      <c r="C152" s="12" t="s">
        <v>280</v>
      </c>
      <c r="D152" s="12">
        <v>3582</v>
      </c>
      <c r="E152" s="12" t="s">
        <v>312</v>
      </c>
      <c r="F152" s="13">
        <v>0.43402777777777779</v>
      </c>
      <c r="G152" s="12" t="s">
        <v>282</v>
      </c>
      <c r="H152" s="13">
        <v>0.47916666666666669</v>
      </c>
      <c r="I152" s="26"/>
      <c r="J152" s="15"/>
      <c r="K152" s="22">
        <v>8910</v>
      </c>
      <c r="L152" s="15" t="s">
        <v>284</v>
      </c>
      <c r="M152" s="15"/>
    </row>
    <row r="153" spans="1:13" hidden="1">
      <c r="A153" s="14">
        <v>161</v>
      </c>
      <c r="B153" s="42">
        <v>46078</v>
      </c>
      <c r="C153" s="12" t="s">
        <v>291</v>
      </c>
      <c r="D153" s="12">
        <v>57</v>
      </c>
      <c r="E153" s="12" t="s">
        <v>282</v>
      </c>
      <c r="F153" s="13">
        <v>0.54166666666666663</v>
      </c>
      <c r="G153" s="12" t="s">
        <v>292</v>
      </c>
      <c r="H153" s="13">
        <v>0.625</v>
      </c>
      <c r="I153" s="26"/>
      <c r="J153" s="15"/>
      <c r="K153" s="22">
        <v>9150</v>
      </c>
      <c r="L153" s="15" t="s">
        <v>284</v>
      </c>
      <c r="M153" s="15"/>
    </row>
    <row r="154" spans="1:13" hidden="1">
      <c r="A154" s="14">
        <v>162</v>
      </c>
      <c r="B154" s="42">
        <v>46078</v>
      </c>
      <c r="C154" s="12" t="s">
        <v>291</v>
      </c>
      <c r="D154" s="12">
        <v>565</v>
      </c>
      <c r="E154" s="12" t="s">
        <v>292</v>
      </c>
      <c r="F154" s="13">
        <v>0.65277777777777779</v>
      </c>
      <c r="G154" s="12" t="s">
        <v>299</v>
      </c>
      <c r="H154" s="13">
        <v>0.69097222222222221</v>
      </c>
      <c r="I154" s="26"/>
      <c r="J154" s="15"/>
      <c r="K154" s="22">
        <v>4640</v>
      </c>
      <c r="L154" s="15" t="s">
        <v>284</v>
      </c>
      <c r="M154" s="15"/>
    </row>
    <row r="155" spans="1:13" hidden="1">
      <c r="A155" s="14">
        <v>163</v>
      </c>
      <c r="B155" s="42">
        <v>46078</v>
      </c>
      <c r="C155" s="12" t="s">
        <v>291</v>
      </c>
      <c r="D155" s="12">
        <v>564</v>
      </c>
      <c r="E155" s="12" t="s">
        <v>299</v>
      </c>
      <c r="F155" s="13">
        <v>0.71875</v>
      </c>
      <c r="G155" s="12" t="s">
        <v>292</v>
      </c>
      <c r="H155" s="13">
        <v>0.75347222222222221</v>
      </c>
      <c r="I155" s="26"/>
      <c r="J155" s="15"/>
      <c r="K155" s="22">
        <v>4640</v>
      </c>
      <c r="L155" s="15" t="s">
        <v>284</v>
      </c>
      <c r="M155" s="15"/>
    </row>
    <row r="156" spans="1:13" hidden="1">
      <c r="A156" s="14">
        <v>164</v>
      </c>
      <c r="B156" s="42">
        <v>46078</v>
      </c>
      <c r="C156" s="12" t="s">
        <v>280</v>
      </c>
      <c r="D156" s="12">
        <v>920</v>
      </c>
      <c r="E156" s="12" t="s">
        <v>292</v>
      </c>
      <c r="F156" s="13">
        <v>0.82986111111111116</v>
      </c>
      <c r="G156" s="12" t="s">
        <v>281</v>
      </c>
      <c r="H156" s="13">
        <v>0.92013888888888884</v>
      </c>
      <c r="I156" s="26"/>
      <c r="J156" s="15"/>
      <c r="K156" s="22">
        <v>10590</v>
      </c>
      <c r="L156" s="15" t="s">
        <v>284</v>
      </c>
      <c r="M156" s="15"/>
    </row>
    <row r="157" spans="1:13" hidden="1">
      <c r="A157" s="14">
        <v>165</v>
      </c>
      <c r="B157" s="42">
        <v>46012</v>
      </c>
      <c r="C157" s="12" t="s">
        <v>280</v>
      </c>
      <c r="D157" s="12"/>
      <c r="E157" s="12" t="s">
        <v>281</v>
      </c>
      <c r="F157" s="13"/>
      <c r="G157" s="12" t="s">
        <v>282</v>
      </c>
      <c r="H157" s="13"/>
      <c r="I157" s="26"/>
      <c r="J157" s="15"/>
      <c r="K157" s="22">
        <v>0</v>
      </c>
      <c r="L157" s="15" t="s">
        <v>284</v>
      </c>
      <c r="M157" s="15"/>
    </row>
    <row r="158" spans="1:13" hidden="1">
      <c r="A158" s="14">
        <v>166</v>
      </c>
      <c r="B158" s="42">
        <v>46013</v>
      </c>
      <c r="C158" s="12" t="s">
        <v>280</v>
      </c>
      <c r="D158" s="12"/>
      <c r="E158" s="12" t="s">
        <v>282</v>
      </c>
      <c r="F158" s="13"/>
      <c r="G158" s="12" t="s">
        <v>281</v>
      </c>
      <c r="H158" s="13"/>
      <c r="I158" s="26"/>
      <c r="J158" s="15"/>
      <c r="K158" s="22">
        <v>0</v>
      </c>
      <c r="L158" s="15" t="s">
        <v>284</v>
      </c>
      <c r="M158" s="15"/>
    </row>
    <row r="159" spans="1:13" hidden="1">
      <c r="A159" s="14">
        <v>167</v>
      </c>
      <c r="B159" s="42">
        <v>46009</v>
      </c>
      <c r="C159" s="12" t="s">
        <v>280</v>
      </c>
      <c r="D159" s="12"/>
      <c r="E159" s="12" t="s">
        <v>281</v>
      </c>
      <c r="F159" s="13"/>
      <c r="G159" s="12" t="s">
        <v>292</v>
      </c>
      <c r="H159" s="13"/>
      <c r="I159" s="26"/>
      <c r="J159" s="15"/>
      <c r="K159" s="22">
        <v>0</v>
      </c>
      <c r="L159" s="15" t="s">
        <v>284</v>
      </c>
      <c r="M159" s="15"/>
    </row>
    <row r="160" spans="1:13" hidden="1">
      <c r="A160" s="14">
        <v>168</v>
      </c>
      <c r="B160" s="42">
        <v>46010</v>
      </c>
      <c r="C160" s="12" t="s">
        <v>280</v>
      </c>
      <c r="D160" s="12"/>
      <c r="E160" s="12" t="s">
        <v>292</v>
      </c>
      <c r="F160" s="13"/>
      <c r="G160" s="12" t="s">
        <v>281</v>
      </c>
      <c r="H160" s="13"/>
      <c r="I160" s="26"/>
      <c r="J160" s="15"/>
      <c r="K160" s="22">
        <v>0</v>
      </c>
      <c r="L160" s="15" t="s">
        <v>284</v>
      </c>
      <c r="M160" s="15"/>
    </row>
    <row r="161" spans="1:13" hidden="1">
      <c r="A161" s="14">
        <v>169</v>
      </c>
      <c r="B161" s="42">
        <v>46037</v>
      </c>
      <c r="C161" s="12" t="s">
        <v>280</v>
      </c>
      <c r="D161" s="12"/>
      <c r="E161" s="12" t="s">
        <v>281</v>
      </c>
      <c r="F161" s="13"/>
      <c r="G161" s="12" t="s">
        <v>314</v>
      </c>
      <c r="H161" s="13"/>
      <c r="I161" s="26"/>
      <c r="J161" s="15"/>
      <c r="K161" s="22">
        <v>0</v>
      </c>
      <c r="L161" s="15" t="s">
        <v>284</v>
      </c>
      <c r="M161" s="15"/>
    </row>
    <row r="162" spans="1:13" hidden="1">
      <c r="A162" s="14">
        <v>170</v>
      </c>
      <c r="B162" s="42">
        <v>46037</v>
      </c>
      <c r="C162" s="12" t="s">
        <v>280</v>
      </c>
      <c r="D162" s="12"/>
      <c r="E162" s="12" t="s">
        <v>332</v>
      </c>
      <c r="F162" s="13"/>
      <c r="G162" s="12" t="s">
        <v>281</v>
      </c>
      <c r="H162" s="13"/>
      <c r="I162" s="26"/>
      <c r="J162" s="15"/>
      <c r="K162" s="22">
        <v>0</v>
      </c>
      <c r="L162" s="15" t="s">
        <v>284</v>
      </c>
      <c r="M162" s="15"/>
    </row>
    <row r="163" spans="1:13" hidden="1">
      <c r="A163" s="14">
        <v>171</v>
      </c>
      <c r="B163" s="42">
        <v>46028</v>
      </c>
      <c r="C163" s="12" t="s">
        <v>280</v>
      </c>
      <c r="D163" s="12"/>
      <c r="E163" s="12" t="s">
        <v>281</v>
      </c>
      <c r="F163" s="13"/>
      <c r="G163" s="12" t="s">
        <v>333</v>
      </c>
      <c r="H163" s="13"/>
      <c r="I163" s="26"/>
      <c r="J163" s="15"/>
      <c r="K163" s="22">
        <v>0</v>
      </c>
      <c r="L163" s="15" t="s">
        <v>284</v>
      </c>
      <c r="M163" s="15"/>
    </row>
    <row r="164" spans="1:13" hidden="1">
      <c r="A164" s="14">
        <v>172</v>
      </c>
      <c r="B164" s="42">
        <v>46030</v>
      </c>
      <c r="C164" s="12" t="s">
        <v>280</v>
      </c>
      <c r="D164" s="12"/>
      <c r="E164" s="12" t="s">
        <v>333</v>
      </c>
      <c r="F164" s="13"/>
      <c r="G164" s="12" t="s">
        <v>281</v>
      </c>
      <c r="H164" s="13"/>
      <c r="I164" s="26"/>
      <c r="J164" s="15"/>
      <c r="K164" s="22">
        <v>0</v>
      </c>
      <c r="L164" s="15" t="s">
        <v>284</v>
      </c>
      <c r="M164" s="15"/>
    </row>
    <row r="165" spans="1:13" hidden="1">
      <c r="A165" s="14">
        <v>173</v>
      </c>
      <c r="B165" s="42">
        <v>46091</v>
      </c>
      <c r="C165" s="12" t="s">
        <v>280</v>
      </c>
      <c r="D165" s="12" t="s">
        <v>334</v>
      </c>
      <c r="E165" s="12" t="s">
        <v>281</v>
      </c>
      <c r="F165" s="13">
        <v>0.2638888888888889</v>
      </c>
      <c r="G165" s="12" t="s">
        <v>292</v>
      </c>
      <c r="H165" s="13">
        <v>0.38194444444444442</v>
      </c>
      <c r="I165" s="26"/>
      <c r="J165" s="15"/>
      <c r="K165" s="22">
        <v>10590</v>
      </c>
      <c r="L165" s="15" t="s">
        <v>284</v>
      </c>
      <c r="M165" s="15"/>
    </row>
    <row r="166" spans="1:13" hidden="1">
      <c r="A166" s="14">
        <v>174</v>
      </c>
      <c r="B166" s="42">
        <v>46091</v>
      </c>
      <c r="C166" s="12" t="s">
        <v>291</v>
      </c>
      <c r="D166" s="12" t="s">
        <v>335</v>
      </c>
      <c r="E166" s="12" t="s">
        <v>292</v>
      </c>
      <c r="F166" s="13">
        <v>0.40625</v>
      </c>
      <c r="G166" s="12" t="s">
        <v>295</v>
      </c>
      <c r="H166" s="13">
        <v>0.44791666666666669</v>
      </c>
      <c r="I166" s="26"/>
      <c r="J166" s="15"/>
      <c r="K166" s="22">
        <v>4640</v>
      </c>
      <c r="L166" s="15" t="s">
        <v>284</v>
      </c>
      <c r="M166" s="15"/>
    </row>
    <row r="167" spans="1:13" hidden="1">
      <c r="A167" s="14">
        <v>175</v>
      </c>
      <c r="B167" s="42">
        <v>46091</v>
      </c>
      <c r="C167" s="12" t="s">
        <v>296</v>
      </c>
      <c r="D167" s="12" t="s">
        <v>336</v>
      </c>
      <c r="E167" s="12" t="s">
        <v>295</v>
      </c>
      <c r="F167" s="13">
        <v>0.52430555555555558</v>
      </c>
      <c r="G167" s="12" t="s">
        <v>297</v>
      </c>
      <c r="H167" s="13">
        <v>0.54513888888888884</v>
      </c>
      <c r="I167" s="26"/>
      <c r="J167" s="15"/>
      <c r="K167" s="22">
        <v>7150</v>
      </c>
      <c r="L167" s="15" t="s">
        <v>284</v>
      </c>
      <c r="M167" s="15"/>
    </row>
    <row r="168" spans="1:13" hidden="1">
      <c r="A168" s="14">
        <v>176</v>
      </c>
      <c r="B168" s="42">
        <v>46091</v>
      </c>
      <c r="C168" s="12" t="s">
        <v>296</v>
      </c>
      <c r="D168" s="12" t="s">
        <v>337</v>
      </c>
      <c r="E168" s="12" t="s">
        <v>297</v>
      </c>
      <c r="F168" s="13">
        <v>0.56597222222222221</v>
      </c>
      <c r="G168" s="12" t="s">
        <v>295</v>
      </c>
      <c r="H168" s="13">
        <v>0.58680555555555558</v>
      </c>
      <c r="I168" s="26"/>
      <c r="J168" s="15"/>
      <c r="K168" s="22">
        <v>7150</v>
      </c>
      <c r="L168" s="15" t="s">
        <v>284</v>
      </c>
      <c r="M168" s="15"/>
    </row>
    <row r="169" spans="1:13" hidden="1">
      <c r="A169" s="14">
        <v>177</v>
      </c>
      <c r="B169" s="42">
        <v>46091</v>
      </c>
      <c r="C169" s="12" t="s">
        <v>296</v>
      </c>
      <c r="D169" s="12" t="s">
        <v>338</v>
      </c>
      <c r="E169" s="12" t="s">
        <v>295</v>
      </c>
      <c r="F169" s="13">
        <v>0.61111111111111116</v>
      </c>
      <c r="G169" s="12" t="s">
        <v>299</v>
      </c>
      <c r="H169" s="13">
        <v>0.63541666666666663</v>
      </c>
      <c r="I169" s="26"/>
      <c r="J169" s="15"/>
      <c r="K169" s="22">
        <v>15510</v>
      </c>
      <c r="L169" s="15" t="s">
        <v>284</v>
      </c>
      <c r="M169" s="15"/>
    </row>
    <row r="170" spans="1:13" hidden="1">
      <c r="A170" s="14">
        <v>178</v>
      </c>
      <c r="B170" s="42">
        <v>46091</v>
      </c>
      <c r="C170" s="12" t="s">
        <v>296</v>
      </c>
      <c r="D170" s="12" t="s">
        <v>339</v>
      </c>
      <c r="E170" s="12" t="s">
        <v>299</v>
      </c>
      <c r="F170" s="13">
        <v>0.65625</v>
      </c>
      <c r="G170" s="12" t="s">
        <v>300</v>
      </c>
      <c r="H170" s="13">
        <v>0.67361111111111116</v>
      </c>
      <c r="I170" s="26"/>
      <c r="J170" s="15"/>
      <c r="K170" s="22">
        <v>6600</v>
      </c>
      <c r="L170" s="15" t="s">
        <v>284</v>
      </c>
      <c r="M170" s="15"/>
    </row>
    <row r="171" spans="1:13" hidden="1">
      <c r="A171" s="14">
        <v>179</v>
      </c>
      <c r="B171" s="42">
        <v>46091</v>
      </c>
      <c r="C171" s="12" t="s">
        <v>296</v>
      </c>
      <c r="D171" s="12" t="s">
        <v>340</v>
      </c>
      <c r="E171" s="12" t="s">
        <v>300</v>
      </c>
      <c r="F171" s="13">
        <v>0.69791666666666663</v>
      </c>
      <c r="G171" s="12" t="s">
        <v>299</v>
      </c>
      <c r="H171" s="13">
        <v>0.71527777777777779</v>
      </c>
      <c r="I171" s="26"/>
      <c r="J171" s="15"/>
      <c r="K171" s="22">
        <v>6600</v>
      </c>
      <c r="L171" s="15" t="s">
        <v>284</v>
      </c>
      <c r="M171" s="15"/>
    </row>
    <row r="172" spans="1:13" hidden="1">
      <c r="A172" s="14">
        <v>180</v>
      </c>
      <c r="B172" s="42">
        <v>46091</v>
      </c>
      <c r="C172" s="12" t="s">
        <v>296</v>
      </c>
      <c r="D172" s="12" t="s">
        <v>341</v>
      </c>
      <c r="E172" s="12" t="s">
        <v>299</v>
      </c>
      <c r="F172" s="13">
        <v>0.73611111111111116</v>
      </c>
      <c r="G172" s="12" t="s">
        <v>295</v>
      </c>
      <c r="H172" s="13">
        <v>0.75694444444444442</v>
      </c>
      <c r="I172" s="26"/>
      <c r="J172" s="15"/>
      <c r="K172" s="22">
        <v>6600</v>
      </c>
      <c r="L172" s="15" t="s">
        <v>284</v>
      </c>
      <c r="M172" s="15"/>
    </row>
    <row r="173" spans="1:13" hidden="1">
      <c r="A173" s="14">
        <v>181</v>
      </c>
      <c r="B173" s="42">
        <v>46091</v>
      </c>
      <c r="C173" s="12" t="s">
        <v>291</v>
      </c>
      <c r="D173" s="12" t="s">
        <v>342</v>
      </c>
      <c r="E173" s="12" t="s">
        <v>295</v>
      </c>
      <c r="F173" s="13">
        <v>0.78472222222222221</v>
      </c>
      <c r="G173" s="12" t="s">
        <v>292</v>
      </c>
      <c r="H173" s="13">
        <v>0.82638888888888884</v>
      </c>
      <c r="I173" s="26"/>
      <c r="J173" s="15"/>
      <c r="K173" s="22">
        <v>4640</v>
      </c>
      <c r="L173" s="15" t="s">
        <v>284</v>
      </c>
      <c r="M173" s="15"/>
    </row>
    <row r="174" spans="1:13" hidden="1">
      <c r="A174" s="14">
        <v>182</v>
      </c>
      <c r="B174" s="42">
        <v>46091</v>
      </c>
      <c r="C174" s="12" t="s">
        <v>280</v>
      </c>
      <c r="D174" s="12" t="s">
        <v>343</v>
      </c>
      <c r="E174" s="12" t="s">
        <v>292</v>
      </c>
      <c r="F174" s="13">
        <v>0.86805555555555558</v>
      </c>
      <c r="G174" s="12" t="s">
        <v>281</v>
      </c>
      <c r="H174" s="13">
        <v>0.96180555555555558</v>
      </c>
      <c r="I174" s="26"/>
      <c r="J174" s="15"/>
      <c r="K174" s="22">
        <v>10590</v>
      </c>
      <c r="L174" s="15" t="s">
        <v>284</v>
      </c>
      <c r="M174" s="15"/>
    </row>
    <row r="175" spans="1:13" hidden="1">
      <c r="A175" s="14">
        <v>183</v>
      </c>
      <c r="B175" s="42">
        <v>46049</v>
      </c>
      <c r="C175" s="12" t="s">
        <v>280</v>
      </c>
      <c r="D175" s="12"/>
      <c r="E175" s="12" t="s">
        <v>281</v>
      </c>
      <c r="F175" s="13">
        <v>0.40277777777777779</v>
      </c>
      <c r="G175" s="12" t="s">
        <v>292</v>
      </c>
      <c r="H175" s="13">
        <v>0.52777777777777779</v>
      </c>
      <c r="I175" s="26"/>
      <c r="J175" s="15"/>
      <c r="K175" s="22">
        <v>0</v>
      </c>
      <c r="L175" s="15" t="s">
        <v>284</v>
      </c>
      <c r="M175" s="15"/>
    </row>
    <row r="176" spans="1:13" hidden="1">
      <c r="A176" s="14">
        <v>184</v>
      </c>
      <c r="B176" s="42">
        <v>46050</v>
      </c>
      <c r="C176" s="12" t="s">
        <v>280</v>
      </c>
      <c r="D176" s="12"/>
      <c r="E176" s="12" t="s">
        <v>292</v>
      </c>
      <c r="F176" s="13">
        <v>0.47569444444444442</v>
      </c>
      <c r="G176" s="12" t="s">
        <v>281</v>
      </c>
      <c r="H176" s="13">
        <v>0.56597222222222221</v>
      </c>
      <c r="I176" s="26"/>
      <c r="J176" s="15"/>
      <c r="K176" s="22">
        <v>0</v>
      </c>
      <c r="L176" s="15" t="s">
        <v>284</v>
      </c>
      <c r="M176" s="15"/>
    </row>
    <row r="177" spans="1:13" hidden="1">
      <c r="A177" s="14">
        <v>185</v>
      </c>
      <c r="B177" s="42">
        <v>46055</v>
      </c>
      <c r="C177" s="12" t="s">
        <v>280</v>
      </c>
      <c r="D177" s="12"/>
      <c r="E177" s="12" t="s">
        <v>281</v>
      </c>
      <c r="F177" s="13">
        <v>0.49652777777777779</v>
      </c>
      <c r="G177" s="12" t="s">
        <v>292</v>
      </c>
      <c r="H177" s="13">
        <v>0.61805555555555558</v>
      </c>
      <c r="I177" s="26"/>
      <c r="J177" s="15"/>
      <c r="K177" s="22">
        <v>0</v>
      </c>
      <c r="L177" s="15" t="s">
        <v>284</v>
      </c>
      <c r="M177" s="15"/>
    </row>
    <row r="178" spans="1:13" hidden="1">
      <c r="A178" s="14">
        <v>186</v>
      </c>
      <c r="B178" s="42">
        <v>46057</v>
      </c>
      <c r="C178" s="12" t="s">
        <v>280</v>
      </c>
      <c r="D178" s="12"/>
      <c r="E178" s="12" t="s">
        <v>292</v>
      </c>
      <c r="F178" s="13">
        <v>0.47569444444444442</v>
      </c>
      <c r="G178" s="12" t="s">
        <v>281</v>
      </c>
      <c r="H178" s="13">
        <v>0.56597222222222221</v>
      </c>
      <c r="I178" s="26"/>
      <c r="J178" s="15"/>
      <c r="K178" s="22">
        <v>0</v>
      </c>
      <c r="L178" s="15" t="s">
        <v>284</v>
      </c>
      <c r="M178" s="15"/>
    </row>
    <row r="179" spans="1:13" hidden="1">
      <c r="A179" s="14">
        <v>187</v>
      </c>
      <c r="B179" s="42">
        <v>46062</v>
      </c>
      <c r="C179" s="12" t="s">
        <v>280</v>
      </c>
      <c r="D179" s="12"/>
      <c r="E179" s="12" t="s">
        <v>281</v>
      </c>
      <c r="F179" s="13">
        <v>0.32291666666666669</v>
      </c>
      <c r="G179" s="12" t="s">
        <v>325</v>
      </c>
      <c r="H179" s="13">
        <v>0.38194444444444442</v>
      </c>
      <c r="I179" s="26"/>
      <c r="J179" s="15"/>
      <c r="K179" s="22">
        <v>0</v>
      </c>
      <c r="L179" s="15" t="s">
        <v>284</v>
      </c>
      <c r="M179" s="15"/>
    </row>
    <row r="180" spans="1:13" hidden="1">
      <c r="A180" s="14">
        <v>188</v>
      </c>
      <c r="B180" s="42">
        <v>46063</v>
      </c>
      <c r="C180" s="12" t="s">
        <v>280</v>
      </c>
      <c r="D180" s="12"/>
      <c r="E180" s="12" t="s">
        <v>325</v>
      </c>
      <c r="F180" s="13">
        <v>0.2986111111111111</v>
      </c>
      <c r="G180" s="12" t="s">
        <v>281</v>
      </c>
      <c r="H180" s="13">
        <v>0.35069444444444442</v>
      </c>
      <c r="I180" s="26"/>
      <c r="J180" s="15"/>
      <c r="K180" s="22">
        <v>0</v>
      </c>
      <c r="L180" s="15" t="s">
        <v>284</v>
      </c>
      <c r="M180" s="15"/>
    </row>
    <row r="181" spans="1:13" hidden="1">
      <c r="A181" s="14">
        <v>189</v>
      </c>
      <c r="B181" s="42">
        <v>46125</v>
      </c>
      <c r="C181" s="12" t="s">
        <v>280</v>
      </c>
      <c r="D181" s="12">
        <v>585</v>
      </c>
      <c r="E181" s="12" t="s">
        <v>281</v>
      </c>
      <c r="F181" s="13">
        <v>0.3125</v>
      </c>
      <c r="G181" s="12" t="s">
        <v>344</v>
      </c>
      <c r="H181" s="13">
        <v>0.36805555555555558</v>
      </c>
      <c r="I181" s="26">
        <v>0.12152777777777778</v>
      </c>
      <c r="J181" s="15" t="s">
        <v>345</v>
      </c>
      <c r="K181" s="22">
        <v>9800</v>
      </c>
      <c r="L181" s="15" t="s">
        <v>284</v>
      </c>
      <c r="M181" s="15"/>
    </row>
    <row r="182" spans="1:13" hidden="1">
      <c r="A182" s="14">
        <v>190</v>
      </c>
      <c r="B182" s="42">
        <v>46125</v>
      </c>
      <c r="C182" s="12" t="s">
        <v>346</v>
      </c>
      <c r="D182" s="12">
        <v>2791</v>
      </c>
      <c r="E182" s="12" t="s">
        <v>344</v>
      </c>
      <c r="F182" s="13">
        <v>0.48958333333333331</v>
      </c>
      <c r="G182" s="12" t="s">
        <v>347</v>
      </c>
      <c r="H182" s="13">
        <v>0.51041666666666663</v>
      </c>
      <c r="I182" s="26">
        <v>2.0833333333333332E-2</v>
      </c>
      <c r="J182" s="15" t="s">
        <v>345</v>
      </c>
      <c r="K182" s="22">
        <v>11912</v>
      </c>
      <c r="L182" s="15" t="s">
        <v>284</v>
      </c>
      <c r="M182" s="15"/>
    </row>
    <row r="183" spans="1:13" hidden="1">
      <c r="A183" s="14">
        <v>191</v>
      </c>
      <c r="B183" s="42">
        <v>46125</v>
      </c>
      <c r="C183" s="12" t="s">
        <v>346</v>
      </c>
      <c r="D183" s="12">
        <v>2792</v>
      </c>
      <c r="E183" s="12" t="s">
        <v>347</v>
      </c>
      <c r="F183" s="13">
        <v>0.53125</v>
      </c>
      <c r="G183" s="12" t="s">
        <v>344</v>
      </c>
      <c r="H183" s="13">
        <v>0.55208333333333337</v>
      </c>
      <c r="I183" s="26">
        <v>2.0833333333333332E-2</v>
      </c>
      <c r="J183" s="15" t="s">
        <v>345</v>
      </c>
      <c r="K183" s="22">
        <v>0</v>
      </c>
      <c r="L183" s="15" t="s">
        <v>284</v>
      </c>
      <c r="M183" s="15"/>
    </row>
    <row r="184" spans="1:13" hidden="1">
      <c r="A184" s="14">
        <v>192</v>
      </c>
      <c r="B184" s="42">
        <v>46125</v>
      </c>
      <c r="C184" s="12" t="s">
        <v>346</v>
      </c>
      <c r="D184" s="12">
        <v>2748</v>
      </c>
      <c r="E184" s="12" t="s">
        <v>344</v>
      </c>
      <c r="F184" s="13">
        <v>0.57291666666666663</v>
      </c>
      <c r="G184" s="12" t="s">
        <v>348</v>
      </c>
      <c r="H184" s="13">
        <v>0.60069444444444442</v>
      </c>
      <c r="I184" s="26">
        <v>3.125E-2</v>
      </c>
      <c r="J184" s="15" t="s">
        <v>345</v>
      </c>
      <c r="K184" s="22">
        <v>13584</v>
      </c>
      <c r="L184" s="15" t="s">
        <v>284</v>
      </c>
      <c r="M184" s="15"/>
    </row>
    <row r="185" spans="1:13" hidden="1">
      <c r="A185" s="14">
        <v>193</v>
      </c>
      <c r="B185" s="42">
        <v>46125</v>
      </c>
      <c r="C185" s="12" t="s">
        <v>346</v>
      </c>
      <c r="D185" s="12">
        <v>2737</v>
      </c>
      <c r="E185" s="12" t="s">
        <v>348</v>
      </c>
      <c r="F185" s="13">
        <v>0.63194444444444442</v>
      </c>
      <c r="G185" s="12" t="s">
        <v>349</v>
      </c>
      <c r="H185" s="13">
        <v>0.66666666666666663</v>
      </c>
      <c r="I185" s="26">
        <v>2.0833333333333332E-2</v>
      </c>
      <c r="J185" s="15" t="s">
        <v>345</v>
      </c>
      <c r="K185" s="22">
        <v>5940</v>
      </c>
      <c r="L185" s="15" t="s">
        <v>284</v>
      </c>
      <c r="M185" s="15"/>
    </row>
    <row r="186" spans="1:13" hidden="1">
      <c r="A186" s="14">
        <v>194</v>
      </c>
      <c r="B186" s="42">
        <v>46125</v>
      </c>
      <c r="C186" s="12" t="s">
        <v>346</v>
      </c>
      <c r="D186" s="12">
        <v>2738</v>
      </c>
      <c r="E186" s="12" t="s">
        <v>349</v>
      </c>
      <c r="F186" s="13">
        <v>0.6875</v>
      </c>
      <c r="G186" s="12" t="s">
        <v>348</v>
      </c>
      <c r="H186" s="13">
        <v>0.72569444444444442</v>
      </c>
      <c r="I186" s="26">
        <v>2.7777777777777776E-2</v>
      </c>
      <c r="J186" s="15" t="s">
        <v>345</v>
      </c>
      <c r="K186" s="22">
        <v>5940</v>
      </c>
      <c r="L186" s="15" t="s">
        <v>284</v>
      </c>
      <c r="M186" s="15"/>
    </row>
    <row r="187" spans="1:13" hidden="1">
      <c r="A187" s="14">
        <v>195</v>
      </c>
      <c r="B187" s="42">
        <v>46125</v>
      </c>
      <c r="C187" s="12" t="s">
        <v>346</v>
      </c>
      <c r="D187" s="12">
        <v>2755</v>
      </c>
      <c r="E187" s="12" t="s">
        <v>348</v>
      </c>
      <c r="F187" s="13">
        <v>0.75347222222222221</v>
      </c>
      <c r="G187" s="12" t="s">
        <v>344</v>
      </c>
      <c r="H187" s="13">
        <v>0.78125</v>
      </c>
      <c r="I187" s="26">
        <v>3.125E-2</v>
      </c>
      <c r="J187" s="15" t="s">
        <v>345</v>
      </c>
      <c r="K187" s="22">
        <v>0</v>
      </c>
      <c r="L187" s="15" t="s">
        <v>284</v>
      </c>
      <c r="M187" s="15"/>
    </row>
    <row r="188" spans="1:13" hidden="1">
      <c r="A188" s="14">
        <v>196</v>
      </c>
      <c r="B188" s="42">
        <v>46125</v>
      </c>
      <c r="C188" s="12" t="s">
        <v>280</v>
      </c>
      <c r="D188" s="12">
        <v>588</v>
      </c>
      <c r="E188" s="12" t="s">
        <v>344</v>
      </c>
      <c r="F188" s="13">
        <v>0.8125</v>
      </c>
      <c r="G188" s="12" t="s">
        <v>281</v>
      </c>
      <c r="H188" s="13">
        <v>0.875</v>
      </c>
      <c r="I188" s="26"/>
      <c r="J188" s="15" t="s">
        <v>345</v>
      </c>
      <c r="K188" s="22">
        <v>9800</v>
      </c>
      <c r="L188" s="15" t="s">
        <v>284</v>
      </c>
      <c r="M188" s="15"/>
    </row>
    <row r="189" spans="1:13" hidden="1">
      <c r="A189" s="14">
        <v>197</v>
      </c>
      <c r="B189" s="42">
        <v>46137</v>
      </c>
      <c r="C189" s="12" t="s">
        <v>280</v>
      </c>
      <c r="D189" s="12">
        <v>553</v>
      </c>
      <c r="E189" s="12" t="s">
        <v>281</v>
      </c>
      <c r="F189" s="13">
        <v>0.46527777777777779</v>
      </c>
      <c r="G189" s="12" t="s">
        <v>350</v>
      </c>
      <c r="H189" s="13">
        <v>0.53125</v>
      </c>
      <c r="I189" s="26">
        <v>3.4722222222222224E-2</v>
      </c>
      <c r="J189" s="15" t="s">
        <v>345</v>
      </c>
      <c r="K189" s="22">
        <v>9800</v>
      </c>
      <c r="L189" s="15" t="s">
        <v>284</v>
      </c>
      <c r="M189" s="15"/>
    </row>
    <row r="190" spans="1:13" hidden="1">
      <c r="A190" s="14">
        <v>198</v>
      </c>
      <c r="B190" s="42">
        <v>46137</v>
      </c>
      <c r="C190" s="12" t="s">
        <v>280</v>
      </c>
      <c r="D190" s="12">
        <v>554</v>
      </c>
      <c r="E190" s="12" t="s">
        <v>350</v>
      </c>
      <c r="F190" s="13">
        <v>0.56597222222222221</v>
      </c>
      <c r="G190" s="12" t="s">
        <v>281</v>
      </c>
      <c r="H190" s="13">
        <v>0.64236111111111116</v>
      </c>
      <c r="I190" s="26">
        <v>4.1666666666666664E-2</v>
      </c>
      <c r="J190" s="15" t="s">
        <v>345</v>
      </c>
      <c r="K190" s="22">
        <v>9800</v>
      </c>
      <c r="L190" s="15" t="s">
        <v>284</v>
      </c>
      <c r="M190" s="15"/>
    </row>
    <row r="191" spans="1:13" hidden="1">
      <c r="A191" s="14">
        <v>199</v>
      </c>
      <c r="B191" s="42">
        <v>46137</v>
      </c>
      <c r="C191" s="12" t="s">
        <v>280</v>
      </c>
      <c r="D191" s="12">
        <v>695</v>
      </c>
      <c r="E191" s="12" t="s">
        <v>281</v>
      </c>
      <c r="F191" s="13">
        <v>0.68402777777777779</v>
      </c>
      <c r="G191" s="12" t="s">
        <v>289</v>
      </c>
      <c r="H191" s="13">
        <v>0.75694444444444442</v>
      </c>
      <c r="I191" s="26">
        <v>9.7222222222222224E-2</v>
      </c>
      <c r="J191" s="15" t="s">
        <v>345</v>
      </c>
      <c r="K191" s="22">
        <v>10900</v>
      </c>
      <c r="L191" s="15" t="s">
        <v>284</v>
      </c>
      <c r="M191" s="15"/>
    </row>
    <row r="192" spans="1:13" hidden="1">
      <c r="A192" s="14">
        <v>200</v>
      </c>
      <c r="B192" s="42">
        <v>46137</v>
      </c>
      <c r="C192" s="12" t="s">
        <v>280</v>
      </c>
      <c r="D192" s="12">
        <v>3642</v>
      </c>
      <c r="E192" s="12" t="s">
        <v>289</v>
      </c>
      <c r="F192" s="13">
        <v>0.85416666666666663</v>
      </c>
      <c r="G192" s="12" t="s">
        <v>282</v>
      </c>
      <c r="H192" s="13">
        <v>0.89583333333333337</v>
      </c>
      <c r="I192" s="26"/>
      <c r="J192" s="15" t="s">
        <v>345</v>
      </c>
      <c r="K192" s="22">
        <v>5610</v>
      </c>
      <c r="L192" s="15" t="s">
        <v>284</v>
      </c>
      <c r="M192" s="15"/>
    </row>
    <row r="193" spans="1:13" hidden="1">
      <c r="A193" s="14">
        <v>201</v>
      </c>
      <c r="B193" s="42">
        <v>46138</v>
      </c>
      <c r="C193" s="12" t="s">
        <v>291</v>
      </c>
      <c r="D193" s="12">
        <v>51</v>
      </c>
      <c r="E193" s="12" t="s">
        <v>282</v>
      </c>
      <c r="F193" s="13">
        <v>0.30208333333333331</v>
      </c>
      <c r="G193" s="12" t="s">
        <v>292</v>
      </c>
      <c r="H193" s="13">
        <v>0.37847222222222221</v>
      </c>
      <c r="I193" s="26">
        <v>2.7777777777777776E-2</v>
      </c>
      <c r="J193" s="15" t="s">
        <v>345</v>
      </c>
      <c r="K193" s="22">
        <v>10250</v>
      </c>
      <c r="L193" s="15" t="s">
        <v>284</v>
      </c>
      <c r="M193" s="15"/>
    </row>
    <row r="194" spans="1:13" hidden="1">
      <c r="A194" s="14">
        <v>202</v>
      </c>
      <c r="B194" s="42">
        <v>46138</v>
      </c>
      <c r="C194" s="12" t="s">
        <v>291</v>
      </c>
      <c r="D194" s="12">
        <v>605</v>
      </c>
      <c r="E194" s="12" t="s">
        <v>292</v>
      </c>
      <c r="F194" s="13">
        <v>0.40625</v>
      </c>
      <c r="G194" s="12" t="s">
        <v>295</v>
      </c>
      <c r="H194" s="13">
        <v>0.44791666666666669</v>
      </c>
      <c r="I194" s="26">
        <v>7.2916666666666671E-2</v>
      </c>
      <c r="J194" s="15" t="s">
        <v>345</v>
      </c>
      <c r="K194" s="22">
        <v>4640</v>
      </c>
      <c r="L194" s="15" t="s">
        <v>284</v>
      </c>
      <c r="M194" s="15"/>
    </row>
    <row r="195" spans="1:13" hidden="1">
      <c r="A195" s="14">
        <v>203</v>
      </c>
      <c r="B195" s="42">
        <v>46138</v>
      </c>
      <c r="C195" s="12" t="s">
        <v>291</v>
      </c>
      <c r="D195" s="12">
        <v>608</v>
      </c>
      <c r="E195" s="12" t="s">
        <v>295</v>
      </c>
      <c r="F195" s="13">
        <v>0.52083333333333337</v>
      </c>
      <c r="G195" s="12" t="s">
        <v>292</v>
      </c>
      <c r="H195" s="13">
        <v>0.5625</v>
      </c>
      <c r="I195" s="26">
        <v>2.7777777777777776E-2</v>
      </c>
      <c r="J195" s="15" t="s">
        <v>345</v>
      </c>
      <c r="K195" s="22">
        <v>5740</v>
      </c>
      <c r="L195" s="15" t="s">
        <v>284</v>
      </c>
      <c r="M195" s="15"/>
    </row>
    <row r="196" spans="1:13" hidden="1">
      <c r="A196" s="14">
        <v>204</v>
      </c>
      <c r="B196" s="42">
        <v>46138</v>
      </c>
      <c r="C196" s="12" t="s">
        <v>291</v>
      </c>
      <c r="D196" s="12">
        <v>211</v>
      </c>
      <c r="E196" s="12" t="s">
        <v>292</v>
      </c>
      <c r="F196" s="13">
        <v>0.59027777777777779</v>
      </c>
      <c r="G196" s="12" t="s">
        <v>318</v>
      </c>
      <c r="H196" s="13">
        <v>0.61458333333333337</v>
      </c>
      <c r="I196" s="26">
        <v>1.0416666666666666E-2</v>
      </c>
      <c r="J196" s="15" t="s">
        <v>345</v>
      </c>
      <c r="K196" s="22">
        <v>4640</v>
      </c>
      <c r="L196" s="15" t="s">
        <v>284</v>
      </c>
      <c r="M196" s="15"/>
    </row>
    <row r="197" spans="1:13" hidden="1">
      <c r="A197" s="14">
        <v>205</v>
      </c>
      <c r="B197" s="42">
        <v>46138</v>
      </c>
      <c r="C197" s="12" t="s">
        <v>291</v>
      </c>
      <c r="D197" s="12">
        <v>212</v>
      </c>
      <c r="E197" s="12" t="s">
        <v>318</v>
      </c>
      <c r="F197" s="13">
        <v>0.625</v>
      </c>
      <c r="G197" s="12" t="s">
        <v>292</v>
      </c>
      <c r="H197" s="13">
        <v>0.65277777777777779</v>
      </c>
      <c r="I197" s="26">
        <v>2.7777777777777776E-2</v>
      </c>
      <c r="J197" s="15" t="s">
        <v>345</v>
      </c>
      <c r="K197" s="22">
        <v>5190</v>
      </c>
      <c r="L197" s="15" t="s">
        <v>284</v>
      </c>
      <c r="M197" s="15"/>
    </row>
    <row r="198" spans="1:13" hidden="1">
      <c r="A198" s="14">
        <v>206</v>
      </c>
      <c r="B198" s="42">
        <v>46138</v>
      </c>
      <c r="C198" s="12" t="s">
        <v>291</v>
      </c>
      <c r="D198" s="12">
        <v>567</v>
      </c>
      <c r="E198" s="12" t="s">
        <v>292</v>
      </c>
      <c r="F198" s="13">
        <v>0.68055555555555558</v>
      </c>
      <c r="G198" s="12" t="s">
        <v>299</v>
      </c>
      <c r="H198" s="13">
        <v>0.71875</v>
      </c>
      <c r="I198" s="26">
        <v>2.7777777777777776E-2</v>
      </c>
      <c r="J198" s="15" t="s">
        <v>345</v>
      </c>
      <c r="K198" s="22">
        <v>5190</v>
      </c>
      <c r="L198" s="15" t="s">
        <v>284</v>
      </c>
      <c r="M198" s="15"/>
    </row>
    <row r="199" spans="1:13" hidden="1">
      <c r="A199" s="14">
        <v>207</v>
      </c>
      <c r="B199" s="42">
        <v>46138</v>
      </c>
      <c r="C199" s="12" t="s">
        <v>291</v>
      </c>
      <c r="D199" s="12">
        <v>566</v>
      </c>
      <c r="E199" s="12" t="s">
        <v>299</v>
      </c>
      <c r="F199" s="13">
        <v>0.74652777777777779</v>
      </c>
      <c r="G199" s="12" t="s">
        <v>292</v>
      </c>
      <c r="H199" s="13">
        <v>0.78125</v>
      </c>
      <c r="I199" s="26">
        <v>7.9861111111111105E-2</v>
      </c>
      <c r="J199" s="15" t="s">
        <v>345</v>
      </c>
      <c r="K199" s="22">
        <v>5190</v>
      </c>
      <c r="L199" s="15" t="s">
        <v>284</v>
      </c>
      <c r="M199" s="15"/>
    </row>
    <row r="200" spans="1:13" hidden="1">
      <c r="A200" s="14">
        <v>208</v>
      </c>
      <c r="B200" s="42">
        <v>46138</v>
      </c>
      <c r="C200" s="12" t="s">
        <v>280</v>
      </c>
      <c r="D200" s="12">
        <v>922</v>
      </c>
      <c r="E200" s="12" t="s">
        <v>292</v>
      </c>
      <c r="F200" s="13">
        <v>0.86111111111111116</v>
      </c>
      <c r="G200" s="12" t="s">
        <v>281</v>
      </c>
      <c r="H200" s="13">
        <v>0.95833333333333337</v>
      </c>
      <c r="I200" s="26"/>
      <c r="J200" s="15" t="s">
        <v>345</v>
      </c>
      <c r="K200" s="22">
        <v>10590</v>
      </c>
      <c r="L200" s="15" t="s">
        <v>284</v>
      </c>
      <c r="M200" s="15"/>
    </row>
    <row r="201" spans="1:13">
      <c r="A201" s="14">
        <v>209</v>
      </c>
      <c r="B201" s="42">
        <v>46429</v>
      </c>
      <c r="C201" s="12" t="s">
        <v>280</v>
      </c>
      <c r="D201" s="23" t="s">
        <v>351</v>
      </c>
      <c r="E201" s="12" t="s">
        <v>281</v>
      </c>
      <c r="F201" s="13">
        <v>0.91319444444444442</v>
      </c>
      <c r="G201" s="12" t="s">
        <v>352</v>
      </c>
      <c r="H201" s="13">
        <v>0.40277777777777779</v>
      </c>
      <c r="I201" s="26"/>
      <c r="J201" s="15" t="s">
        <v>345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280</v>
      </c>
      <c r="D202" s="23" t="s">
        <v>353</v>
      </c>
      <c r="E202" s="12" t="s">
        <v>352</v>
      </c>
      <c r="F202" s="13">
        <v>0.4861111111111111</v>
      </c>
      <c r="G202" s="12" t="s">
        <v>281</v>
      </c>
      <c r="H202" s="13">
        <v>0.67013888888888884</v>
      </c>
      <c r="I202" s="26"/>
      <c r="J202" s="15" t="s">
        <v>345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280</v>
      </c>
      <c r="D203" s="12">
        <v>8663</v>
      </c>
      <c r="E203" s="12" t="s">
        <v>354</v>
      </c>
      <c r="F203" s="13">
        <v>0.37152777777777779</v>
      </c>
      <c r="G203" s="12" t="s">
        <v>355</v>
      </c>
      <c r="H203" s="13">
        <v>0.4826388888888889</v>
      </c>
      <c r="I203" s="26"/>
      <c r="J203" s="15" t="s">
        <v>345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280</v>
      </c>
      <c r="D204" s="12">
        <v>8664</v>
      </c>
      <c r="E204" s="12" t="s">
        <v>355</v>
      </c>
      <c r="F204" s="13">
        <v>0.53125</v>
      </c>
      <c r="G204" s="12" t="s">
        <v>354</v>
      </c>
      <c r="H204" s="13">
        <v>0.71875</v>
      </c>
      <c r="I204" s="26"/>
      <c r="J204" s="15" t="s">
        <v>345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280</v>
      </c>
      <c r="D205" s="12">
        <v>189</v>
      </c>
      <c r="E205" s="12" t="s">
        <v>281</v>
      </c>
      <c r="F205" s="13">
        <v>0.69097222222222221</v>
      </c>
      <c r="G205" s="12" t="s">
        <v>314</v>
      </c>
      <c r="H205" s="13">
        <v>0.73958333333333337</v>
      </c>
      <c r="I205" s="26"/>
      <c r="J205" s="15" t="s">
        <v>345</v>
      </c>
      <c r="K205" s="22">
        <v>11000</v>
      </c>
      <c r="L205" s="15" t="s">
        <v>284</v>
      </c>
      <c r="M205" s="15"/>
    </row>
    <row r="206" spans="1:13" hidden="1">
      <c r="A206" s="14">
        <v>214</v>
      </c>
      <c r="B206" s="42">
        <v>46081</v>
      </c>
      <c r="C206" s="12" t="s">
        <v>280</v>
      </c>
      <c r="D206" s="12">
        <v>192</v>
      </c>
      <c r="E206" s="12" t="s">
        <v>314</v>
      </c>
      <c r="F206" s="13">
        <v>0.76736111111111116</v>
      </c>
      <c r="G206" s="12" t="s">
        <v>281</v>
      </c>
      <c r="H206" s="13">
        <v>0.81597222222222221</v>
      </c>
      <c r="I206" s="26"/>
      <c r="J206" s="15" t="s">
        <v>345</v>
      </c>
      <c r="K206" s="22">
        <v>11000</v>
      </c>
      <c r="L206" s="15" t="s">
        <v>284</v>
      </c>
      <c r="M206" s="15"/>
    </row>
    <row r="207" spans="1:13" hidden="1">
      <c r="A207" s="14">
        <v>215</v>
      </c>
      <c r="B207" s="42">
        <v>46110</v>
      </c>
      <c r="C207" s="12" t="s">
        <v>280</v>
      </c>
      <c r="D207" s="12" t="s">
        <v>356</v>
      </c>
      <c r="E207" s="12" t="s">
        <v>281</v>
      </c>
      <c r="F207" s="13">
        <v>0.63541666666666663</v>
      </c>
      <c r="G207" s="12" t="s">
        <v>282</v>
      </c>
      <c r="H207" s="13">
        <v>0.71527777777777779</v>
      </c>
      <c r="I207" s="26"/>
      <c r="J207" s="15"/>
      <c r="K207" s="22">
        <v>0</v>
      </c>
      <c r="L207" s="15" t="s">
        <v>284</v>
      </c>
      <c r="M207" s="15"/>
    </row>
    <row r="208" spans="1:13" hidden="1">
      <c r="A208" s="14">
        <v>216</v>
      </c>
      <c r="B208" s="42">
        <v>46111</v>
      </c>
      <c r="C208" s="12" t="s">
        <v>280</v>
      </c>
      <c r="D208" s="12" t="s">
        <v>357</v>
      </c>
      <c r="E208" s="12" t="s">
        <v>282</v>
      </c>
      <c r="F208" s="13">
        <v>0.76388888888888884</v>
      </c>
      <c r="G208" s="12" t="s">
        <v>281</v>
      </c>
      <c r="H208" s="13">
        <v>0.83680555555555558</v>
      </c>
      <c r="I208" s="26"/>
      <c r="J208" s="15"/>
      <c r="K208" s="22">
        <v>0</v>
      </c>
      <c r="L208" s="15" t="s">
        <v>284</v>
      </c>
      <c r="M208" s="15"/>
    </row>
    <row r="209" spans="1:13" hidden="1">
      <c r="A209" s="14">
        <v>217</v>
      </c>
      <c r="B209" s="42">
        <v>46119</v>
      </c>
      <c r="C209" s="12" t="s">
        <v>280</v>
      </c>
      <c r="D209" s="12" t="s">
        <v>356</v>
      </c>
      <c r="E209" s="12" t="s">
        <v>281</v>
      </c>
      <c r="F209" s="13">
        <v>0.35416666666666669</v>
      </c>
      <c r="G209" s="12" t="s">
        <v>358</v>
      </c>
      <c r="H209" s="13">
        <v>0.39930555555555558</v>
      </c>
      <c r="I209" s="26"/>
      <c r="J209" s="15"/>
      <c r="K209" s="22">
        <v>0</v>
      </c>
      <c r="L209" s="15" t="s">
        <v>284</v>
      </c>
      <c r="M209" s="15"/>
    </row>
    <row r="210" spans="1:13" hidden="1">
      <c r="A210" s="14">
        <v>218</v>
      </c>
      <c r="B210" s="42">
        <v>46121</v>
      </c>
      <c r="C210" s="12" t="s">
        <v>280</v>
      </c>
      <c r="D210" s="12" t="s">
        <v>357</v>
      </c>
      <c r="E210" s="12" t="s">
        <v>358</v>
      </c>
      <c r="F210" s="13">
        <v>0.76736111111111116</v>
      </c>
      <c r="G210" s="12" t="s">
        <v>281</v>
      </c>
      <c r="H210" s="13">
        <v>0.81944444444444442</v>
      </c>
      <c r="I210" s="26"/>
      <c r="J210" s="15"/>
      <c r="K210" s="22">
        <v>0</v>
      </c>
      <c r="L210" s="15" t="s">
        <v>284</v>
      </c>
      <c r="M210" s="15"/>
    </row>
    <row r="211" spans="1:13" hidden="1">
      <c r="A211" s="14">
        <v>219</v>
      </c>
      <c r="B211" s="42">
        <v>46042</v>
      </c>
      <c r="C211" s="12" t="s">
        <v>280</v>
      </c>
      <c r="D211" s="73"/>
      <c r="E211" s="12" t="s">
        <v>281</v>
      </c>
      <c r="F211" s="13"/>
      <c r="G211" s="12" t="s">
        <v>282</v>
      </c>
      <c r="H211" s="13"/>
      <c r="I211" s="26"/>
      <c r="J211" s="15"/>
      <c r="K211" s="22">
        <v>0</v>
      </c>
      <c r="L211" s="15" t="s">
        <v>284</v>
      </c>
      <c r="M211" s="15"/>
    </row>
    <row r="212" spans="1:13" hidden="1">
      <c r="A212" s="14">
        <v>220</v>
      </c>
      <c r="B212" s="42">
        <v>46042</v>
      </c>
      <c r="C212" s="12" t="s">
        <v>280</v>
      </c>
      <c r="D212" s="73"/>
      <c r="E212" s="12" t="s">
        <v>282</v>
      </c>
      <c r="F212" s="13"/>
      <c r="G212" s="12" t="s">
        <v>281</v>
      </c>
      <c r="H212" s="13"/>
      <c r="I212" s="26"/>
      <c r="J212" s="15"/>
      <c r="K212" s="22">
        <v>0</v>
      </c>
      <c r="L212" s="15" t="s">
        <v>284</v>
      </c>
      <c r="M212" s="15"/>
    </row>
    <row r="213" spans="1:13" ht="15.75" hidden="1">
      <c r="A213" s="14">
        <v>221</v>
      </c>
      <c r="B213" s="42">
        <v>46104</v>
      </c>
      <c r="C213" s="12" t="s">
        <v>280</v>
      </c>
      <c r="D213" s="12" t="s">
        <v>359</v>
      </c>
      <c r="E213" s="12" t="s">
        <v>281</v>
      </c>
      <c r="F213" s="13">
        <v>0.60763888888888884</v>
      </c>
      <c r="G213" s="71" t="s">
        <v>316</v>
      </c>
      <c r="H213" s="13">
        <v>0.65625</v>
      </c>
      <c r="I213" s="26"/>
      <c r="J213" s="15"/>
      <c r="K213" s="22">
        <v>0</v>
      </c>
      <c r="L213" s="15" t="s">
        <v>284</v>
      </c>
      <c r="M213" s="15"/>
    </row>
    <row r="214" spans="1:13" ht="15.75" hidden="1">
      <c r="A214" s="14">
        <v>222</v>
      </c>
      <c r="B214" s="42">
        <v>46105</v>
      </c>
      <c r="C214" s="12" t="s">
        <v>280</v>
      </c>
      <c r="D214" s="12" t="s">
        <v>360</v>
      </c>
      <c r="E214" s="72" t="s">
        <v>316</v>
      </c>
      <c r="F214" s="13">
        <v>0.69791666666666663</v>
      </c>
      <c r="G214" s="12" t="s">
        <v>281</v>
      </c>
      <c r="H214" s="13">
        <v>0.75</v>
      </c>
      <c r="I214" s="26"/>
      <c r="J214" s="15"/>
      <c r="K214" s="22">
        <v>0</v>
      </c>
      <c r="L214" s="15" t="s">
        <v>284</v>
      </c>
      <c r="M214" s="15"/>
    </row>
    <row r="215" spans="1:13" hidden="1">
      <c r="A215" s="14">
        <v>223</v>
      </c>
      <c r="B215" s="42">
        <v>46127</v>
      </c>
      <c r="C215" s="12" t="s">
        <v>280</v>
      </c>
      <c r="D215" s="12" t="s">
        <v>361</v>
      </c>
      <c r="E215" s="12" t="s">
        <v>281</v>
      </c>
      <c r="F215" s="13">
        <v>0.33333333333333331</v>
      </c>
      <c r="G215" s="12" t="s">
        <v>362</v>
      </c>
      <c r="H215" s="13">
        <v>0.40625</v>
      </c>
      <c r="I215" s="26"/>
      <c r="J215" s="15"/>
      <c r="K215" s="22">
        <v>0</v>
      </c>
      <c r="L215" s="15" t="s">
        <v>284</v>
      </c>
      <c r="M215" s="15"/>
    </row>
    <row r="216" spans="1:13" hidden="1">
      <c r="A216" s="14">
        <v>224</v>
      </c>
      <c r="B216" s="42">
        <v>46128</v>
      </c>
      <c r="C216" s="12" t="s">
        <v>280</v>
      </c>
      <c r="D216" s="12" t="s">
        <v>363</v>
      </c>
      <c r="E216" s="12" t="s">
        <v>325</v>
      </c>
      <c r="F216" s="13">
        <v>0.72222222222222221</v>
      </c>
      <c r="G216" s="12" t="s">
        <v>281</v>
      </c>
      <c r="H216" s="13">
        <v>0.78125</v>
      </c>
      <c r="I216" s="26"/>
      <c r="J216" s="15"/>
      <c r="K216" s="22">
        <v>0</v>
      </c>
      <c r="L216" s="15" t="s">
        <v>284</v>
      </c>
      <c r="M216" s="15"/>
    </row>
    <row r="217" spans="1:13">
      <c r="A217" s="14">
        <v>225</v>
      </c>
      <c r="B217" s="42">
        <v>46177</v>
      </c>
      <c r="C217" s="12" t="s">
        <v>280</v>
      </c>
      <c r="D217" s="12" t="s">
        <v>364</v>
      </c>
      <c r="E217" s="12" t="s">
        <v>281</v>
      </c>
      <c r="F217" s="13">
        <v>0.34375</v>
      </c>
      <c r="G217" s="12" t="s">
        <v>365</v>
      </c>
      <c r="H217" s="13">
        <v>0.39583333333333331</v>
      </c>
      <c r="I217" s="26"/>
      <c r="J217" s="15" t="s">
        <v>345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280</v>
      </c>
      <c r="D218" s="12" t="s">
        <v>364</v>
      </c>
      <c r="E218" s="12" t="s">
        <v>365</v>
      </c>
      <c r="F218" s="13">
        <v>0.79861111111111116</v>
      </c>
      <c r="G218" s="12" t="s">
        <v>281</v>
      </c>
      <c r="H218" s="13">
        <v>0.85763888888888884</v>
      </c>
      <c r="I218" s="26"/>
      <c r="J218" s="15" t="s">
        <v>345</v>
      </c>
      <c r="K218" s="22"/>
      <c r="L218" s="15"/>
      <c r="M218" s="15"/>
    </row>
    <row r="219" spans="1:13" hidden="1">
      <c r="A219" s="14">
        <v>227</v>
      </c>
      <c r="B219" s="42">
        <v>46153</v>
      </c>
      <c r="C219" s="12" t="s">
        <v>280</v>
      </c>
      <c r="D219" s="12" t="s">
        <v>366</v>
      </c>
      <c r="E219" s="12" t="s">
        <v>281</v>
      </c>
      <c r="F219" s="13">
        <v>0.44791666666666669</v>
      </c>
      <c r="G219" s="12" t="s">
        <v>358</v>
      </c>
      <c r="H219" s="13">
        <v>0.49305555555555558</v>
      </c>
      <c r="I219" s="26"/>
      <c r="J219" s="15" t="s">
        <v>345</v>
      </c>
      <c r="K219" s="22">
        <v>0</v>
      </c>
      <c r="L219" s="15" t="s">
        <v>284</v>
      </c>
      <c r="M219" s="15"/>
    </row>
    <row r="220" spans="1:13">
      <c r="A220" s="14">
        <v>228</v>
      </c>
      <c r="B220" s="42">
        <v>46223</v>
      </c>
      <c r="C220" s="12" t="s">
        <v>280</v>
      </c>
      <c r="D220" s="12" t="s">
        <v>367</v>
      </c>
      <c r="E220" s="12" t="s">
        <v>281</v>
      </c>
      <c r="F220" s="13">
        <v>0.2951388888888889</v>
      </c>
      <c r="G220" s="12" t="s">
        <v>282</v>
      </c>
      <c r="H220" s="13">
        <v>0.36458333333333331</v>
      </c>
      <c r="I220" s="26"/>
      <c r="J220" s="15" t="s">
        <v>345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280</v>
      </c>
      <c r="D221" s="12" t="s">
        <v>368</v>
      </c>
      <c r="E221" s="12" t="s">
        <v>282</v>
      </c>
      <c r="F221" s="13">
        <v>0.41666666666666669</v>
      </c>
      <c r="G221" s="12" t="s">
        <v>281</v>
      </c>
      <c r="H221" s="13">
        <v>0.48958333333333331</v>
      </c>
      <c r="I221" s="26"/>
      <c r="J221" s="15" t="s">
        <v>345</v>
      </c>
      <c r="K221" s="22">
        <v>0</v>
      </c>
      <c r="L221" s="15"/>
      <c r="M221" s="15"/>
    </row>
    <row r="222" spans="1:13">
      <c r="A222" s="14">
        <v>230</v>
      </c>
      <c r="B222" s="42">
        <v>46178</v>
      </c>
      <c r="C222" s="12" t="s">
        <v>280</v>
      </c>
      <c r="D222" s="12" t="s">
        <v>369</v>
      </c>
      <c r="E222" s="12" t="s">
        <v>281</v>
      </c>
      <c r="F222" s="13">
        <v>0.41666666666666669</v>
      </c>
      <c r="G222" s="12" t="s">
        <v>282</v>
      </c>
      <c r="H222" s="13">
        <v>0.49652777777777779</v>
      </c>
      <c r="I222" s="26"/>
      <c r="J222" s="15"/>
      <c r="K222" s="22">
        <v>0</v>
      </c>
      <c r="L222" s="15"/>
      <c r="M222" s="15"/>
    </row>
    <row r="223" spans="1:13">
      <c r="A223" s="14">
        <v>231</v>
      </c>
      <c r="B223" s="42">
        <v>46178</v>
      </c>
      <c r="C223" s="12" t="s">
        <v>280</v>
      </c>
      <c r="D223" s="12" t="s">
        <v>370</v>
      </c>
      <c r="E223" s="12" t="s">
        <v>282</v>
      </c>
      <c r="F223" s="13">
        <v>0.71527777777777779</v>
      </c>
      <c r="G223" s="12" t="s">
        <v>281</v>
      </c>
      <c r="H223" s="13">
        <v>0.78819444444444442</v>
      </c>
      <c r="I223" s="26"/>
      <c r="J223" s="15"/>
      <c r="K223" s="22">
        <v>0</v>
      </c>
      <c r="L223" s="15"/>
      <c r="M223" s="15"/>
    </row>
    <row r="224" spans="1:13">
      <c r="A224" s="14">
        <v>232</v>
      </c>
      <c r="B224" s="42">
        <v>46170</v>
      </c>
      <c r="C224" s="12" t="s">
        <v>280</v>
      </c>
      <c r="D224" s="12" t="s">
        <v>371</v>
      </c>
      <c r="E224" s="12" t="s">
        <v>281</v>
      </c>
      <c r="F224" s="13">
        <v>0.46527777777777779</v>
      </c>
      <c r="G224" s="12" t="s">
        <v>325</v>
      </c>
      <c r="H224" s="13">
        <v>0.52083333333333337</v>
      </c>
      <c r="I224" s="26"/>
      <c r="J224" s="15"/>
      <c r="K224" s="22">
        <v>0</v>
      </c>
      <c r="L224" s="15"/>
      <c r="M224" s="15"/>
    </row>
    <row r="225" spans="1:13">
      <c r="A225" s="14">
        <v>233</v>
      </c>
      <c r="B225" s="42">
        <v>46171</v>
      </c>
      <c r="C225" s="12" t="s">
        <v>280</v>
      </c>
      <c r="D225" s="12" t="s">
        <v>372</v>
      </c>
      <c r="E225" s="12" t="s">
        <v>325</v>
      </c>
      <c r="F225" s="13">
        <v>0.63541666666666663</v>
      </c>
      <c r="G225" s="12" t="s">
        <v>281</v>
      </c>
      <c r="H225" s="13">
        <v>0.69444444444444442</v>
      </c>
      <c r="I225" s="26"/>
      <c r="J225" s="15"/>
      <c r="K225" s="22">
        <v>0</v>
      </c>
      <c r="L225" s="15"/>
      <c r="M225" s="15"/>
    </row>
    <row r="226" spans="1:13">
      <c r="A226" s="14">
        <v>234</v>
      </c>
      <c r="B226" s="42">
        <v>46175</v>
      </c>
      <c r="C226" s="12" t="s">
        <v>280</v>
      </c>
      <c r="D226" s="12" t="s">
        <v>373</v>
      </c>
      <c r="E226" s="12" t="s">
        <v>281</v>
      </c>
      <c r="F226" s="13">
        <v>0.47569444444444442</v>
      </c>
      <c r="G226" s="12" t="s">
        <v>362</v>
      </c>
      <c r="H226" s="13">
        <v>0.55208333333333337</v>
      </c>
      <c r="I226" s="26"/>
      <c r="J226" s="15"/>
      <c r="K226" s="22">
        <v>0</v>
      </c>
      <c r="L226" s="15"/>
      <c r="M226" s="15"/>
    </row>
    <row r="227" spans="1:13">
      <c r="A227" s="14">
        <v>235</v>
      </c>
      <c r="B227" s="42">
        <v>46175</v>
      </c>
      <c r="C227" s="12" t="s">
        <v>280</v>
      </c>
      <c r="D227" s="12" t="s">
        <v>374</v>
      </c>
      <c r="E227" s="12" t="s">
        <v>362</v>
      </c>
      <c r="F227" s="13">
        <v>0.57986111111111116</v>
      </c>
      <c r="G227" s="12" t="s">
        <v>281</v>
      </c>
      <c r="H227" s="13">
        <v>0.71527777777777779</v>
      </c>
      <c r="I227" s="26"/>
      <c r="J227" s="15"/>
      <c r="K227" s="22">
        <v>0</v>
      </c>
      <c r="L227" s="15"/>
      <c r="M227" s="15"/>
    </row>
    <row r="228" spans="1:13" ht="14.25">
      <c r="A228" s="14">
        <v>236</v>
      </c>
      <c r="B228" s="42">
        <v>46181</v>
      </c>
      <c r="C228" s="12" t="s">
        <v>280</v>
      </c>
      <c r="D228" s="12" t="s">
        <v>361</v>
      </c>
      <c r="E228" s="12" t="s">
        <v>281</v>
      </c>
      <c r="F228" s="13">
        <v>0.33333333333333331</v>
      </c>
      <c r="G228" s="12" t="s">
        <v>362</v>
      </c>
      <c r="H228" s="13">
        <v>0.40625</v>
      </c>
      <c r="I228" s="61"/>
      <c r="J228" s="15"/>
      <c r="K228" s="22">
        <v>0</v>
      </c>
      <c r="L228" s="15"/>
      <c r="M228" s="15"/>
    </row>
    <row r="229" spans="1:13" ht="14.25">
      <c r="A229" s="14">
        <v>237</v>
      </c>
      <c r="B229" s="42">
        <v>46181</v>
      </c>
      <c r="C229" s="12" t="s">
        <v>280</v>
      </c>
      <c r="D229" s="12" t="s">
        <v>374</v>
      </c>
      <c r="E229" s="12" t="s">
        <v>362</v>
      </c>
      <c r="F229" s="13">
        <v>0.72222222222222221</v>
      </c>
      <c r="G229" s="12" t="s">
        <v>281</v>
      </c>
      <c r="H229" s="13">
        <v>0.79513888888888884</v>
      </c>
      <c r="I229" s="61"/>
      <c r="J229" s="15"/>
      <c r="K229" s="22">
        <v>0</v>
      </c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375</v>
      </c>
      <c r="K281" s="11">
        <f>SUM(テーブル4[料金])</f>
        <v>1363524</v>
      </c>
    </row>
    <row r="282" spans="10:11">
      <c r="J282" t="s">
        <v>376</v>
      </c>
      <c r="K282">
        <f>COUNTA(テーブル4[料金])*5</f>
        <v>1110</v>
      </c>
    </row>
    <row r="283" spans="10:11">
      <c r="J283" t="s">
        <v>5</v>
      </c>
      <c r="K283">
        <f>COUNTA(テーブル4[料金])</f>
        <v>222</v>
      </c>
    </row>
    <row r="284" spans="10:11">
      <c r="J284" t="s">
        <v>377</v>
      </c>
      <c r="K284" s="41">
        <f>K281/K282</f>
        <v>1228.4000000000001</v>
      </c>
    </row>
    <row r="296" spans="1:8">
      <c r="A296" s="24" t="s">
        <v>268</v>
      </c>
      <c r="B296" s="24" t="s">
        <v>269</v>
      </c>
      <c r="C296" s="24" t="s">
        <v>270</v>
      </c>
      <c r="D296" s="24" t="s">
        <v>271</v>
      </c>
      <c r="E296" s="24" t="s">
        <v>272</v>
      </c>
      <c r="F296" s="24" t="s">
        <v>273</v>
      </c>
      <c r="G296" s="24" t="s">
        <v>274</v>
      </c>
      <c r="H296" s="24" t="s">
        <v>275</v>
      </c>
    </row>
    <row r="297" spans="1:8">
      <c r="A297">
        <v>1</v>
      </c>
      <c r="B297" t="s">
        <v>291</v>
      </c>
      <c r="C297">
        <v>51</v>
      </c>
      <c r="D297" t="s">
        <v>282</v>
      </c>
      <c r="E297" s="25">
        <v>0.2986111111111111</v>
      </c>
      <c r="F297" t="s">
        <v>292</v>
      </c>
      <c r="G297" s="25">
        <v>0.36805555555555558</v>
      </c>
      <c r="H297" t="s">
        <v>283</v>
      </c>
    </row>
    <row r="298" spans="1:8">
      <c r="A298">
        <v>2</v>
      </c>
      <c r="B298" t="s">
        <v>296</v>
      </c>
      <c r="C298">
        <v>873</v>
      </c>
      <c r="D298" t="s">
        <v>292</v>
      </c>
      <c r="E298" s="25">
        <v>0.41319444444444442</v>
      </c>
      <c r="F298" t="s">
        <v>318</v>
      </c>
      <c r="G298" s="25">
        <v>0.43402777777777779</v>
      </c>
      <c r="H298" t="s">
        <v>378</v>
      </c>
    </row>
    <row r="299" spans="1:8">
      <c r="A299">
        <v>3</v>
      </c>
      <c r="B299" t="s">
        <v>296</v>
      </c>
      <c r="C299">
        <v>874</v>
      </c>
      <c r="D299" t="s">
        <v>318</v>
      </c>
      <c r="E299" s="25">
        <v>0.45833333333333331</v>
      </c>
      <c r="F299" t="s">
        <v>292</v>
      </c>
      <c r="G299" s="25">
        <v>0.4826388888888889</v>
      </c>
      <c r="H299" t="s">
        <v>288</v>
      </c>
    </row>
    <row r="300" spans="1:8">
      <c r="A300">
        <v>4</v>
      </c>
      <c r="B300" t="s">
        <v>291</v>
      </c>
      <c r="C300">
        <v>609</v>
      </c>
      <c r="D300" t="s">
        <v>292</v>
      </c>
      <c r="E300" s="25">
        <v>0.53472222222222221</v>
      </c>
      <c r="F300" t="s">
        <v>295</v>
      </c>
      <c r="G300" s="25">
        <v>0.57291666666666663</v>
      </c>
      <c r="H300" t="s">
        <v>379</v>
      </c>
    </row>
    <row r="301" spans="1:8">
      <c r="A301">
        <v>5</v>
      </c>
      <c r="B301" t="s">
        <v>291</v>
      </c>
      <c r="C301">
        <v>614</v>
      </c>
      <c r="D301" t="s">
        <v>295</v>
      </c>
      <c r="E301" s="25">
        <v>0.60069444444444442</v>
      </c>
      <c r="F301" t="s">
        <v>292</v>
      </c>
      <c r="G301" s="25">
        <v>0.64583333333333337</v>
      </c>
      <c r="H301" t="s">
        <v>293</v>
      </c>
    </row>
    <row r="302" spans="1:8">
      <c r="A302">
        <v>6</v>
      </c>
      <c r="B302" t="s">
        <v>291</v>
      </c>
      <c r="C302">
        <v>567</v>
      </c>
      <c r="D302" t="s">
        <v>292</v>
      </c>
      <c r="E302" s="25">
        <v>0.67361111111111116</v>
      </c>
      <c r="F302" t="s">
        <v>299</v>
      </c>
      <c r="G302" s="25">
        <v>0.70833333333333337</v>
      </c>
      <c r="H302" t="s">
        <v>293</v>
      </c>
    </row>
    <row r="303" spans="1:8">
      <c r="A303">
        <v>7</v>
      </c>
      <c r="B303" t="s">
        <v>291</v>
      </c>
      <c r="C303">
        <v>566</v>
      </c>
      <c r="D303" t="s">
        <v>299</v>
      </c>
      <c r="E303" s="25">
        <v>0.73611111111111116</v>
      </c>
      <c r="F303" t="s">
        <v>292</v>
      </c>
      <c r="G303" s="25">
        <v>0.77430555555555558</v>
      </c>
      <c r="H303" t="s">
        <v>293</v>
      </c>
    </row>
    <row r="304" spans="1:8">
      <c r="A304">
        <v>8</v>
      </c>
      <c r="B304" t="s">
        <v>280</v>
      </c>
      <c r="C304">
        <v>920</v>
      </c>
      <c r="D304" t="s">
        <v>292</v>
      </c>
      <c r="E304" s="25">
        <v>0.80902777777777779</v>
      </c>
      <c r="F304" t="s">
        <v>281</v>
      </c>
      <c r="G304" s="25">
        <v>0.91666666666666663</v>
      </c>
      <c r="H304" t="s">
        <v>380</v>
      </c>
    </row>
    <row r="307" spans="1:9">
      <c r="A307" s="24" t="s">
        <v>268</v>
      </c>
      <c r="B307" s="24" t="s">
        <v>269</v>
      </c>
      <c r="C307" s="24" t="s">
        <v>270</v>
      </c>
      <c r="D307" s="24" t="s">
        <v>271</v>
      </c>
      <c r="E307" s="24" t="s">
        <v>272</v>
      </c>
      <c r="F307" s="24" t="s">
        <v>273</v>
      </c>
      <c r="G307" s="24" t="s">
        <v>274</v>
      </c>
      <c r="H307" s="24" t="s">
        <v>275</v>
      </c>
    </row>
    <row r="308" spans="1:9">
      <c r="A308">
        <v>1</v>
      </c>
      <c r="B308" t="s">
        <v>291</v>
      </c>
      <c r="C308">
        <v>51</v>
      </c>
      <c r="D308" t="s">
        <v>282</v>
      </c>
      <c r="E308" s="25">
        <v>0.2986111111111111</v>
      </c>
      <c r="F308" t="s">
        <v>292</v>
      </c>
      <c r="G308" s="25">
        <v>0.36805555555555558</v>
      </c>
      <c r="H308" t="s">
        <v>283</v>
      </c>
    </row>
    <row r="309" spans="1:9">
      <c r="A309">
        <v>2</v>
      </c>
      <c r="B309" t="s">
        <v>291</v>
      </c>
      <c r="C309">
        <v>605</v>
      </c>
      <c r="D309" t="s">
        <v>292</v>
      </c>
      <c r="E309" s="25">
        <v>0.39583333333333331</v>
      </c>
      <c r="F309" t="s">
        <v>295</v>
      </c>
      <c r="G309" s="25">
        <v>0.43402777777777779</v>
      </c>
      <c r="H309" t="s">
        <v>293</v>
      </c>
    </row>
    <row r="310" spans="1:9">
      <c r="A310">
        <v>3</v>
      </c>
      <c r="B310" t="s">
        <v>296</v>
      </c>
      <c r="C310">
        <v>743</v>
      </c>
      <c r="D310" t="s">
        <v>295</v>
      </c>
      <c r="E310" s="25">
        <v>0.52430555555555558</v>
      </c>
      <c r="F310" t="s">
        <v>297</v>
      </c>
      <c r="G310" s="25">
        <v>0.54513888888888884</v>
      </c>
      <c r="H310" t="s">
        <v>298</v>
      </c>
    </row>
    <row r="311" spans="1:9">
      <c r="A311">
        <v>4</v>
      </c>
      <c r="B311" t="s">
        <v>296</v>
      </c>
      <c r="C311">
        <v>744</v>
      </c>
      <c r="D311" t="s">
        <v>297</v>
      </c>
      <c r="E311" s="25">
        <v>0.56597222222222221</v>
      </c>
      <c r="F311" t="s">
        <v>295</v>
      </c>
      <c r="G311" s="25">
        <v>0.58680555555555558</v>
      </c>
      <c r="H311" t="s">
        <v>290</v>
      </c>
    </row>
    <row r="312" spans="1:9">
      <c r="A312">
        <v>5</v>
      </c>
      <c r="B312" t="s">
        <v>296</v>
      </c>
      <c r="C312">
        <v>834</v>
      </c>
      <c r="D312" t="s">
        <v>295</v>
      </c>
      <c r="E312" s="25">
        <v>0.61111111111111116</v>
      </c>
      <c r="F312" t="s">
        <v>299</v>
      </c>
      <c r="G312" s="25">
        <v>0.63194444444444442</v>
      </c>
      <c r="H312" t="s">
        <v>288</v>
      </c>
    </row>
    <row r="313" spans="1:9">
      <c r="A313">
        <v>6</v>
      </c>
      <c r="B313" t="s">
        <v>291</v>
      </c>
      <c r="C313">
        <v>564</v>
      </c>
      <c r="D313" t="s">
        <v>299</v>
      </c>
      <c r="E313" s="25">
        <v>0.69791666666666663</v>
      </c>
      <c r="F313" t="s">
        <v>292</v>
      </c>
      <c r="G313" s="25">
        <v>0.73611111111111116</v>
      </c>
      <c r="H313" t="s">
        <v>310</v>
      </c>
    </row>
    <row r="314" spans="1:9">
      <c r="A314">
        <v>7</v>
      </c>
      <c r="B314" t="s">
        <v>280</v>
      </c>
      <c r="C314">
        <v>920</v>
      </c>
      <c r="D314" t="s">
        <v>292</v>
      </c>
      <c r="E314" s="25">
        <v>0.80902777777777779</v>
      </c>
      <c r="F314" t="s">
        <v>281</v>
      </c>
      <c r="G314" s="25">
        <v>0.91666666666666663</v>
      </c>
      <c r="H314" t="s">
        <v>311</v>
      </c>
    </row>
    <row r="316" spans="1:9" ht="14.25">
      <c r="A316" s="48">
        <v>1</v>
      </c>
      <c r="B316" s="49" t="s">
        <v>280</v>
      </c>
      <c r="C316" s="49">
        <v>901</v>
      </c>
      <c r="D316" s="49" t="s">
        <v>281</v>
      </c>
      <c r="E316" s="50">
        <v>0.27083333333333331</v>
      </c>
      <c r="F316" s="49" t="s">
        <v>292</v>
      </c>
      <c r="G316" s="50">
        <v>0.375</v>
      </c>
      <c r="H316" s="51" t="s">
        <v>381</v>
      </c>
      <c r="I316" s="52"/>
    </row>
    <row r="317" spans="1:9" ht="14.25">
      <c r="A317" s="53">
        <v>2</v>
      </c>
      <c r="B317" s="54" t="s">
        <v>291</v>
      </c>
      <c r="C317" s="54">
        <v>605</v>
      </c>
      <c r="D317" s="54" t="s">
        <v>292</v>
      </c>
      <c r="E317" s="55">
        <v>0.39930555555555558</v>
      </c>
      <c r="F317" s="54" t="s">
        <v>295</v>
      </c>
      <c r="G317" s="55">
        <v>0.44097222222222221</v>
      </c>
      <c r="H317" s="54" t="s">
        <v>288</v>
      </c>
      <c r="I317" s="56"/>
    </row>
    <row r="318" spans="1:9" ht="14.25">
      <c r="A318" s="48">
        <v>3</v>
      </c>
      <c r="B318" s="49" t="s">
        <v>296</v>
      </c>
      <c r="C318" s="49">
        <v>743</v>
      </c>
      <c r="D318" s="49" t="s">
        <v>295</v>
      </c>
      <c r="E318" s="50">
        <v>0.52430555555555558</v>
      </c>
      <c r="F318" s="49" t="s">
        <v>297</v>
      </c>
      <c r="G318" s="50">
        <v>0.54513888888888884</v>
      </c>
      <c r="H318" s="49" t="s">
        <v>382</v>
      </c>
      <c r="I318" s="52"/>
    </row>
    <row r="319" spans="1:9" ht="14.25">
      <c r="A319" s="53">
        <v>4</v>
      </c>
      <c r="B319" s="54" t="s">
        <v>296</v>
      </c>
      <c r="C319" s="54">
        <v>744</v>
      </c>
      <c r="D319" s="54" t="s">
        <v>297</v>
      </c>
      <c r="E319" s="55">
        <v>0.56597222222222221</v>
      </c>
      <c r="F319" s="54" t="s">
        <v>295</v>
      </c>
      <c r="G319" s="55">
        <v>0.58680555555555558</v>
      </c>
      <c r="H319" s="54" t="s">
        <v>290</v>
      </c>
      <c r="I319" s="56"/>
    </row>
    <row r="320" spans="1:9" ht="14.25">
      <c r="A320" s="48">
        <v>5</v>
      </c>
      <c r="B320" s="49" t="s">
        <v>296</v>
      </c>
      <c r="C320" s="49">
        <v>834</v>
      </c>
      <c r="D320" s="49" t="s">
        <v>295</v>
      </c>
      <c r="E320" s="50">
        <v>0.61111111111111116</v>
      </c>
      <c r="F320" s="49" t="s">
        <v>299</v>
      </c>
      <c r="G320" s="50">
        <v>0.63194444444444442</v>
      </c>
      <c r="H320" s="49" t="s">
        <v>288</v>
      </c>
      <c r="I320" s="52"/>
    </row>
    <row r="321" spans="1:9" ht="14.25">
      <c r="A321" s="53">
        <v>6</v>
      </c>
      <c r="B321" s="54" t="s">
        <v>296</v>
      </c>
      <c r="C321" s="54">
        <v>897</v>
      </c>
      <c r="D321" s="54" t="s">
        <v>299</v>
      </c>
      <c r="E321" s="55">
        <v>0.65277777777777779</v>
      </c>
      <c r="F321" s="54" t="s">
        <v>300</v>
      </c>
      <c r="G321" s="55">
        <v>0.67013888888888884</v>
      </c>
      <c r="H321" s="54" t="s">
        <v>290</v>
      </c>
      <c r="I321" s="56"/>
    </row>
    <row r="322" spans="1:9" ht="14.25">
      <c r="A322" s="48">
        <v>7</v>
      </c>
      <c r="B322" s="49" t="s">
        <v>296</v>
      </c>
      <c r="C322" s="49">
        <v>898</v>
      </c>
      <c r="D322" s="49" t="s">
        <v>300</v>
      </c>
      <c r="E322" s="50">
        <v>0.69444444444444442</v>
      </c>
      <c r="F322" s="49" t="s">
        <v>299</v>
      </c>
      <c r="G322" s="50">
        <v>0.71180555555555558</v>
      </c>
      <c r="H322" s="49" t="s">
        <v>288</v>
      </c>
      <c r="I322" s="52"/>
    </row>
    <row r="323" spans="1:9" ht="14.25">
      <c r="A323" s="53">
        <v>8</v>
      </c>
      <c r="B323" s="54" t="s">
        <v>291</v>
      </c>
      <c r="C323" s="54">
        <v>572</v>
      </c>
      <c r="D323" s="54" t="s">
        <v>299</v>
      </c>
      <c r="E323" s="55">
        <v>0.74652777777777779</v>
      </c>
      <c r="F323" s="54" t="s">
        <v>292</v>
      </c>
      <c r="G323" s="55">
        <v>0.78472222222222221</v>
      </c>
      <c r="H323" s="54" t="s">
        <v>380</v>
      </c>
      <c r="I323" s="56"/>
    </row>
    <row r="324" spans="1:9" ht="14.25">
      <c r="A324" s="57">
        <v>9</v>
      </c>
      <c r="B324" s="58" t="s">
        <v>280</v>
      </c>
      <c r="C324" s="58">
        <v>920</v>
      </c>
      <c r="D324" s="58" t="s">
        <v>292</v>
      </c>
      <c r="E324" s="59">
        <v>0.8125</v>
      </c>
      <c r="F324" s="58" t="s">
        <v>281</v>
      </c>
      <c r="G324" s="59">
        <v>0.91666666666666663</v>
      </c>
      <c r="H324" s="58" t="s">
        <v>293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2026-05-22T08:34:05Z</dcterms:modified>
  <cp:category/>
  <cp:contentStatus/>
</cp:coreProperties>
</file>