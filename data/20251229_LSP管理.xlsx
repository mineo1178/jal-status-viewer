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17C0E637-E35C-47D9-BDFF-69930936088B}" xr6:coauthVersionLast="47" xr6:coauthVersionMax="47" xr10:uidLastSave="{00000000-0000-0000-0000-000000000000}"/>
  <bookViews>
    <workbookView xWindow="0" yWindow="500" windowWidth="33600" windowHeight="20500" firstSheet="1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LSP管理!$B$2:$G$165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1" i="6" l="1"/>
  <c r="K282" i="6"/>
  <c r="K283" i="6"/>
  <c r="G55" i="8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  <c r="L473" i="5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L496" i="5"/>
  <c r="M496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85" i="8"/>
  <c r="G163" i="8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G150" i="8" s="1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O21" i="5"/>
  <c r="K284" i="6" l="1"/>
  <c r="G122" i="8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l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<sst xmlns="http://schemas.openxmlformats.org/spreadsheetml/2006/main" count="2340" uniqueCount="329">
  <si>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</si>
  <si>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</si>
  <si>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</si>
  <si>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</si>
  <si>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</si>
  <si>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</si>
  <si>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</si>
  <si>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</si>
  <si>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</si>
  <si>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</si>
  <si>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</si>
  <si>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</si>
  <si>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</si>
  <si>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</si>
  <si>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</si>
  <si>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</si>
  <si>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</si>
  <si>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</si>
  <si>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</si>
  <si>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</si>
  <si>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</si>
  <si>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</si>
  <si>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</si>
  <si>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</si>
  <si>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</si>
  <si>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</si>
  <si>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</si>
  <si>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</si>
  <si>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</si>
  <si>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</si>
  <si>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</si>
  <si>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</si>
  <si>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</si>
  <si>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</si>
  <si>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</si>
  <si>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</si>
  <si>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</si>
  <si>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</si>
  <si>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</si>
  <si>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</si>
  <si>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</si>
  <si>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</si>
  <si>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</si>
  <si>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</si>
  <si>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</si>
  <si>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</si>
  <si>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</si>
  <si>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</si>
  <si>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</si>
  <si>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</si>
  <si>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</si>
  <si>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</si>
  <si>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</si>
  <si>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</si>
  <si>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</si>
  <si>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</si>
  <si>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</si>
  <si>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</si>
  <si>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</si>
  <si>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</si>
  <si>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</si>
  <si>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</si>
  <si>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</si>
  <si>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</si>
  <si>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</si>
  <si>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</si>
  <si>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</si>
  <si>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</si>
  <si>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</si>
  <si>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</si>
  <si>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</si>
  <si>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</si>
  <si>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</si>
  <si>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</si>
  <si>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</si>
  <si>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</si>
  <si>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</si>
  <si>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</si>
  <si>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</si>
  <si>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</si>
  <si>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</si>
  <si>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</si>
  <si>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</si>
  <si>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</si>
  <si>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</si>
  <si>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</si>
  <si>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</si>
  <si>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</si>
  <si>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</si>
  <si>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</si>
  <si>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</si>
  <si>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</si>
  <si>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</si>
  <si>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</si>
  <si>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</si>
  <si>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</si>
  <si>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</si>
  <si>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</si>
  <si>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</si>
  <si>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</si>
  <si>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</si>
  <si>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</si>
  <si>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</si>
  <si>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</si>
  <si>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</si>
  <si>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</si>
  <si>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</si>
  <si>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</si>
  <si>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</si>
  <si>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</si>
  <si>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</si>
  <si>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</si>
  <si>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</si>
  <si>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</si>
  <si>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</si>
  <si>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</si>
  <si>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</si>
  <si>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</si>
  <si>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</si>
  <si>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</si>
  <si>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</si>
  <si>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</si>
  <si>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</si>
  <si>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</si>
  <si>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</si>
  <si>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</si>
  <si>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</si>
  <si>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</si>
  <si>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</si>
  <si>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</si>
  <si>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</si>
  <si>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</si>
  <si>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</si>
  <si>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</si>
  <si>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</si>
  <si>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</si>
  <si>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</si>
  <si>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</si>
  <si>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</si>
  <si>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</si>
  <si>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</si>
  <si>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</si>
  <si>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</si>
  <si>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</si>
  <si>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</si>
  <si>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</si>
  <si>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</si>
  <si>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</si>
  <si>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</si>
  <si>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</si>
  <si>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</si>
  <si>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</si>
  <si>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</si>
  <si>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</si>
  <si>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</si>
  <si>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</si>
  <si>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</si>
  <si>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</si>
  <si>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</si>
  <si>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</si>
  <si>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</si>
  <si>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</si>
  <si>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</si>
  <si>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</si>
  <si>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</si>
  <si>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</si>
  <si>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</si>
  <si>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</si>
  <si>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</si>
  <si>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</si>
  <si>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</si>
  <si>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</si>
  <si>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</si>
  <si>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</si>
  <si>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</si>
  <si>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</si>
  <si>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</si>
  <si>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</si>
  <si>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</si>
  <si>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</si>
  <si>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</si>
  <si>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</si>
  <si>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</si>
  <si>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</si>
  <si>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</si>
  <si>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</si>
  <si>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</si>
  <si>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</si>
  <si>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</si>
  <si>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</si>
  <si>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</si>
  <si>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</si>
  <si>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</si>
  <si>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</si>
  <si>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</si>
  <si>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</si>
  <si>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</si>
  <si>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</si>
  <si>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</si>
  <si>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</si>
  <si>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</si>
  <si>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</si>
  <si>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</si>
  <si>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</si>
  <si>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</si>
  <si>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</si>
  <si>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</si>
  <si>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</si>
  <si>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</si>
  <si>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</si>
  <si>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</si>
  <si>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</si>
  <si>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</si>
  <si>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</si>
  <si>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</si>
  <si>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</si>
  <si>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</si>
  <si>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</si>
  <si>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</si>
  <si>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</si>
  <si>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</si>
  <si>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</si>
  <si>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</si>
  <si>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</si>
  <si>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</si>
  <si>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JALマイレージパーク利用</t>
  </si>
  <si>
    <t>JAL Wellness &amp; Travel利用</t>
  </si>
  <si>
    <t>JALカード利用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</si>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</sst>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0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9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</c:strRef>
          </c:cat>
          <c:val>
            <c:numRef>
              <c:f>マイル管理!$O$12:$O$17</c:f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</c:strRef>
          </c:cat>
          <c:val>
            <c:numRef>
              <c:f>マイル管理!$I$2:$I$302</c:f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マイル管理!$A$21:$A$302</c:f>
            </c:strRef>
          </c:cat>
          <c:val>
            <c:numRef>
              <c:f>マイル管理!$L$21:$L$302</c:f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7014407"/>
        <c:axId val="287016967"/>
      </c:lineChart>
      <c:cat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Algn val="ctr"/>
        <c:lblOffset val="100"/>
        <c:noMultiLvlLbl val="1"/>
      </c:cat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マイル管理!$A$21:$A$302</c:f>
            </c:strRef>
          </c:cat>
          <c:val>
            <c:numRef>
              <c:f>マイル管理!$M$21:$M$302</c:f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120647"/>
        <c:axId val="1931122695"/>
      </c:lineChart>
      <c:cat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Algn val="ctr"/>
        <c:lblOffset val="100"/>
        <c:noMultiLvlLbl val="1"/>
      </c:cat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LSP管理!$B$3:$B$165</c:f>
              <c:numCache>
                <c:formatCode>m/d/yyyy</c:formatCode>
                <c:ptCount val="163"/>
                <c:pt idx="53">
                  <c:v>46080</c:v>
                </c:pt>
                <c:pt idx="54">
                  <c:v>46077</c:v>
                </c:pt>
                <c:pt idx="55">
                  <c:v>46076</c:v>
                </c:pt>
                <c:pt idx="56">
                  <c:v>46074</c:v>
                </c:pt>
                <c:pt idx="57">
                  <c:v>46071</c:v>
                </c:pt>
                <c:pt idx="58">
                  <c:v>46068</c:v>
                </c:pt>
                <c:pt idx="59">
                  <c:v>46066</c:v>
                </c:pt>
                <c:pt idx="60">
                  <c:v>46065</c:v>
                </c:pt>
                <c:pt idx="61">
                  <c:v>46064</c:v>
                </c:pt>
                <c:pt idx="62">
                  <c:v>46064</c:v>
                </c:pt>
                <c:pt idx="63">
                  <c:v>46063</c:v>
                </c:pt>
                <c:pt idx="64">
                  <c:v>46062</c:v>
                </c:pt>
                <c:pt idx="65">
                  <c:v>46061</c:v>
                </c:pt>
                <c:pt idx="66">
                  <c:v>46059</c:v>
                </c:pt>
                <c:pt idx="67">
                  <c:v>46057</c:v>
                </c:pt>
                <c:pt idx="68">
                  <c:v>46056</c:v>
                </c:pt>
                <c:pt idx="69">
                  <c:v>46055</c:v>
                </c:pt>
                <c:pt idx="70">
                  <c:v>46054</c:v>
                </c:pt>
                <c:pt idx="71">
                  <c:v>46052</c:v>
                </c:pt>
                <c:pt idx="72">
                  <c:v>46051</c:v>
                </c:pt>
                <c:pt idx="73">
                  <c:v>46048</c:v>
                </c:pt>
                <c:pt idx="74">
                  <c:v>46047</c:v>
                </c:pt>
                <c:pt idx="75">
                  <c:v>46044</c:v>
                </c:pt>
                <c:pt idx="76">
                  <c:v>46041</c:v>
                </c:pt>
                <c:pt idx="77">
                  <c:v>46040</c:v>
                </c:pt>
                <c:pt idx="78">
                  <c:v>46039</c:v>
                </c:pt>
                <c:pt idx="79">
                  <c:v>46037</c:v>
                </c:pt>
                <c:pt idx="80">
                  <c:v>46035</c:v>
                </c:pt>
                <c:pt idx="81">
                  <c:v>46034</c:v>
                </c:pt>
                <c:pt idx="82">
                  <c:v>46033</c:v>
                </c:pt>
                <c:pt idx="83">
                  <c:v>46033</c:v>
                </c:pt>
                <c:pt idx="84">
                  <c:v>46032</c:v>
                </c:pt>
                <c:pt idx="85">
                  <c:v>46030</c:v>
                </c:pt>
                <c:pt idx="86">
                  <c:v>46016</c:v>
                </c:pt>
                <c:pt idx="87">
                  <c:v>46014</c:v>
                </c:pt>
                <c:pt idx="88">
                  <c:v>46012</c:v>
                </c:pt>
                <c:pt idx="89">
                  <c:v>46012</c:v>
                </c:pt>
                <c:pt idx="90">
                  <c:v>46011</c:v>
                </c:pt>
                <c:pt idx="91">
                  <c:v>46008</c:v>
                </c:pt>
                <c:pt idx="92">
                  <c:v>46006</c:v>
                </c:pt>
                <c:pt idx="93">
                  <c:v>46002</c:v>
                </c:pt>
                <c:pt idx="94">
                  <c:v>45996</c:v>
                </c:pt>
                <c:pt idx="95">
                  <c:v>45995</c:v>
                </c:pt>
                <c:pt idx="96">
                  <c:v>45994</c:v>
                </c:pt>
                <c:pt idx="97">
                  <c:v>45990</c:v>
                </c:pt>
                <c:pt idx="98">
                  <c:v>45989</c:v>
                </c:pt>
                <c:pt idx="99">
                  <c:v>45988</c:v>
                </c:pt>
                <c:pt idx="100">
                  <c:v>45988</c:v>
                </c:pt>
                <c:pt idx="101">
                  <c:v>45987</c:v>
                </c:pt>
                <c:pt idx="102">
                  <c:v>45985</c:v>
                </c:pt>
                <c:pt idx="103">
                  <c:v>45983</c:v>
                </c:pt>
                <c:pt idx="104">
                  <c:v>45982</c:v>
                </c:pt>
                <c:pt idx="105">
                  <c:v>45978</c:v>
                </c:pt>
                <c:pt idx="106">
                  <c:v>45976</c:v>
                </c:pt>
                <c:pt idx="107">
                  <c:v>45972</c:v>
                </c:pt>
                <c:pt idx="108">
                  <c:v>45960</c:v>
                </c:pt>
                <c:pt idx="109">
                  <c:v>45956</c:v>
                </c:pt>
                <c:pt idx="110">
                  <c:v>45955</c:v>
                </c:pt>
                <c:pt idx="111">
                  <c:v>45953</c:v>
                </c:pt>
                <c:pt idx="112">
                  <c:v>45952</c:v>
                </c:pt>
                <c:pt idx="113">
                  <c:v>45951</c:v>
                </c:pt>
                <c:pt idx="114">
                  <c:v>45947</c:v>
                </c:pt>
                <c:pt idx="115">
                  <c:v>45945</c:v>
                </c:pt>
                <c:pt idx="116">
                  <c:v>45943</c:v>
                </c:pt>
                <c:pt idx="117">
                  <c:v>45941</c:v>
                </c:pt>
                <c:pt idx="118">
                  <c:v>45941</c:v>
                </c:pt>
                <c:pt idx="119">
                  <c:v>45937</c:v>
                </c:pt>
                <c:pt idx="120">
                  <c:v>45936</c:v>
                </c:pt>
                <c:pt idx="121">
                  <c:v>45934</c:v>
                </c:pt>
                <c:pt idx="122">
                  <c:v>45930</c:v>
                </c:pt>
                <c:pt idx="123">
                  <c:v>45929</c:v>
                </c:pt>
                <c:pt idx="124">
                  <c:v>45928</c:v>
                </c:pt>
                <c:pt idx="125">
                  <c:v>45919</c:v>
                </c:pt>
                <c:pt idx="126">
                  <c:v>45917</c:v>
                </c:pt>
                <c:pt idx="127">
                  <c:v>45916</c:v>
                </c:pt>
                <c:pt idx="128">
                  <c:v>45915</c:v>
                </c:pt>
                <c:pt idx="129">
                  <c:v>45911</c:v>
                </c:pt>
                <c:pt idx="130">
                  <c:v>45905</c:v>
                </c:pt>
                <c:pt idx="131">
                  <c:v>45903</c:v>
                </c:pt>
                <c:pt idx="132">
                  <c:v>45893</c:v>
                </c:pt>
                <c:pt idx="133">
                  <c:v>45892</c:v>
                </c:pt>
                <c:pt idx="134">
                  <c:v>45888</c:v>
                </c:pt>
                <c:pt idx="135">
                  <c:v>45884</c:v>
                </c:pt>
                <c:pt idx="136">
                  <c:v>45877</c:v>
                </c:pt>
                <c:pt idx="137">
                  <c:v>45874</c:v>
                </c:pt>
                <c:pt idx="138">
                  <c:v>45873</c:v>
                </c:pt>
                <c:pt idx="139">
                  <c:v>45867</c:v>
                </c:pt>
                <c:pt idx="140">
                  <c:v>45862</c:v>
                </c:pt>
                <c:pt idx="141">
                  <c:v>45838</c:v>
                </c:pt>
                <c:pt idx="142">
                  <c:v>45836</c:v>
                </c:pt>
                <c:pt idx="143">
                  <c:v>45789</c:v>
                </c:pt>
                <c:pt idx="144">
                  <c:v>45786</c:v>
                </c:pt>
                <c:pt idx="145">
                  <c:v>45729</c:v>
                </c:pt>
                <c:pt idx="146">
                  <c:v>45684</c:v>
                </c:pt>
                <c:pt idx="147">
                  <c:v>45682</c:v>
                </c:pt>
                <c:pt idx="148">
                  <c:v>45652</c:v>
                </c:pt>
                <c:pt idx="149">
                  <c:v>45649</c:v>
                </c:pt>
                <c:pt idx="150">
                  <c:v>45648</c:v>
                </c:pt>
                <c:pt idx="151">
                  <c:v>45614</c:v>
                </c:pt>
                <c:pt idx="152">
                  <c:v>45613</c:v>
                </c:pt>
                <c:pt idx="153">
                  <c:v>45592</c:v>
                </c:pt>
                <c:pt idx="154">
                  <c:v>45591</c:v>
                </c:pt>
                <c:pt idx="155">
                  <c:v>45514</c:v>
                </c:pt>
                <c:pt idx="156">
                  <c:v>45513</c:v>
                </c:pt>
                <c:pt idx="157">
                  <c:v>45335</c:v>
                </c:pt>
                <c:pt idx="158">
                  <c:v>45334</c:v>
                </c:pt>
                <c:pt idx="159">
                  <c:v>45291</c:v>
                </c:pt>
                <c:pt idx="160">
                  <c:v>45291</c:v>
                </c:pt>
              </c:numCache>
            </c:numRef>
          </c:cat>
          <c:val>
            <c:numRef>
              <c:f>LSP管理!$G$3:$G$165</c:f>
              <c:numCache>
                <c:formatCode>General</c:formatCode>
                <c:ptCount val="163"/>
                <c:pt idx="0">
                  <c:v>1113</c:v>
                </c:pt>
                <c:pt idx="1">
                  <c:v>1113</c:v>
                </c:pt>
                <c:pt idx="2">
                  <c:v>1113</c:v>
                </c:pt>
                <c:pt idx="3">
                  <c:v>1113</c:v>
                </c:pt>
                <c:pt idx="4">
                  <c:v>1113</c:v>
                </c:pt>
                <c:pt idx="5">
                  <c:v>1113</c:v>
                </c:pt>
                <c:pt idx="6">
                  <c:v>1113</c:v>
                </c:pt>
                <c:pt idx="7">
                  <c:v>1113</c:v>
                </c:pt>
                <c:pt idx="8">
                  <c:v>1113</c:v>
                </c:pt>
                <c:pt idx="9">
                  <c:v>1113</c:v>
                </c:pt>
                <c:pt idx="10">
                  <c:v>1113</c:v>
                </c:pt>
                <c:pt idx="11">
                  <c:v>1113</c:v>
                </c:pt>
                <c:pt idx="12">
                  <c:v>1113</c:v>
                </c:pt>
                <c:pt idx="13">
                  <c:v>1113</c:v>
                </c:pt>
                <c:pt idx="14">
                  <c:v>1113</c:v>
                </c:pt>
                <c:pt idx="15">
                  <c:v>1113</c:v>
                </c:pt>
                <c:pt idx="16">
                  <c:v>1113</c:v>
                </c:pt>
                <c:pt idx="17">
                  <c:v>1113</c:v>
                </c:pt>
                <c:pt idx="18">
                  <c:v>1113</c:v>
                </c:pt>
                <c:pt idx="19">
                  <c:v>1113</c:v>
                </c:pt>
                <c:pt idx="20">
                  <c:v>1113</c:v>
                </c:pt>
                <c:pt idx="21">
                  <c:v>1113</c:v>
                </c:pt>
                <c:pt idx="22">
                  <c:v>1113</c:v>
                </c:pt>
                <c:pt idx="23">
                  <c:v>1113</c:v>
                </c:pt>
                <c:pt idx="24">
                  <c:v>1113</c:v>
                </c:pt>
                <c:pt idx="25">
                  <c:v>1113</c:v>
                </c:pt>
                <c:pt idx="26">
                  <c:v>1113</c:v>
                </c:pt>
                <c:pt idx="27">
                  <c:v>1113</c:v>
                </c:pt>
                <c:pt idx="28">
                  <c:v>1113</c:v>
                </c:pt>
                <c:pt idx="29">
                  <c:v>1113</c:v>
                </c:pt>
                <c:pt idx="30">
                  <c:v>1113</c:v>
                </c:pt>
                <c:pt idx="31">
                  <c:v>1113</c:v>
                </c:pt>
                <c:pt idx="32">
                  <c:v>1113</c:v>
                </c:pt>
                <c:pt idx="33">
                  <c:v>1113</c:v>
                </c:pt>
                <c:pt idx="34">
                  <c:v>1113</c:v>
                </c:pt>
                <c:pt idx="35">
                  <c:v>1113</c:v>
                </c:pt>
                <c:pt idx="36">
                  <c:v>1113</c:v>
                </c:pt>
                <c:pt idx="37">
                  <c:v>1113</c:v>
                </c:pt>
                <c:pt idx="38">
                  <c:v>1113</c:v>
                </c:pt>
                <c:pt idx="39">
                  <c:v>1113</c:v>
                </c:pt>
                <c:pt idx="40">
                  <c:v>1113</c:v>
                </c:pt>
                <c:pt idx="41">
                  <c:v>1113</c:v>
                </c:pt>
                <c:pt idx="42">
                  <c:v>1113</c:v>
                </c:pt>
                <c:pt idx="43">
                  <c:v>1113</c:v>
                </c:pt>
                <c:pt idx="44">
                  <c:v>1113</c:v>
                </c:pt>
                <c:pt idx="45">
                  <c:v>1113</c:v>
                </c:pt>
                <c:pt idx="46">
                  <c:v>1113</c:v>
                </c:pt>
                <c:pt idx="47">
                  <c:v>1113</c:v>
                </c:pt>
                <c:pt idx="48">
                  <c:v>1113</c:v>
                </c:pt>
                <c:pt idx="49">
                  <c:v>1113</c:v>
                </c:pt>
                <c:pt idx="50">
                  <c:v>1113</c:v>
                </c:pt>
                <c:pt idx="51">
                  <c:v>1113</c:v>
                </c:pt>
                <c:pt idx="52">
                  <c:v>1113</c:v>
                </c:pt>
                <c:pt idx="53">
                  <c:v>1113</c:v>
                </c:pt>
                <c:pt idx="54">
                  <c:v>1078</c:v>
                </c:pt>
                <c:pt idx="55">
                  <c:v>1038</c:v>
                </c:pt>
                <c:pt idx="56">
                  <c:v>1023</c:v>
                </c:pt>
                <c:pt idx="57">
                  <c:v>1022</c:v>
                </c:pt>
                <c:pt idx="58">
                  <c:v>1021</c:v>
                </c:pt>
                <c:pt idx="59">
                  <c:v>1020</c:v>
                </c:pt>
                <c:pt idx="60">
                  <c:v>990</c:v>
                </c:pt>
                <c:pt idx="61">
                  <c:v>980</c:v>
                </c:pt>
                <c:pt idx="62">
                  <c:v>970</c:v>
                </c:pt>
                <c:pt idx="63">
                  <c:v>965</c:v>
                </c:pt>
                <c:pt idx="64">
                  <c:v>920</c:v>
                </c:pt>
                <c:pt idx="65">
                  <c:v>895</c:v>
                </c:pt>
                <c:pt idx="66">
                  <c:v>865</c:v>
                </c:pt>
                <c:pt idx="67">
                  <c:v>860</c:v>
                </c:pt>
                <c:pt idx="68">
                  <c:v>855</c:v>
                </c:pt>
                <c:pt idx="69">
                  <c:v>850</c:v>
                </c:pt>
                <c:pt idx="70">
                  <c:v>840</c:v>
                </c:pt>
                <c:pt idx="71">
                  <c:v>835</c:v>
                </c:pt>
                <c:pt idx="72">
                  <c:v>830</c:v>
                </c:pt>
                <c:pt idx="73">
                  <c:v>825</c:v>
                </c:pt>
                <c:pt idx="74">
                  <c:v>795</c:v>
                </c:pt>
                <c:pt idx="75">
                  <c:v>793</c:v>
                </c:pt>
                <c:pt idx="76">
                  <c:v>783</c:v>
                </c:pt>
                <c:pt idx="77">
                  <c:v>782</c:v>
                </c:pt>
                <c:pt idx="78">
                  <c:v>777</c:v>
                </c:pt>
                <c:pt idx="79">
                  <c:v>772</c:v>
                </c:pt>
                <c:pt idx="80">
                  <c:v>771</c:v>
                </c:pt>
                <c:pt idx="81">
                  <c:v>731</c:v>
                </c:pt>
                <c:pt idx="82">
                  <c:v>711</c:v>
                </c:pt>
                <c:pt idx="83">
                  <c:v>681</c:v>
                </c:pt>
                <c:pt idx="84">
                  <c:v>641</c:v>
                </c:pt>
                <c:pt idx="85">
                  <c:v>631</c:v>
                </c:pt>
                <c:pt idx="86">
                  <c:v>626</c:v>
                </c:pt>
                <c:pt idx="87">
                  <c:v>621</c:v>
                </c:pt>
                <c:pt idx="88">
                  <c:v>616</c:v>
                </c:pt>
                <c:pt idx="89">
                  <c:v>615</c:v>
                </c:pt>
                <c:pt idx="90">
                  <c:v>610</c:v>
                </c:pt>
                <c:pt idx="91">
                  <c:v>605</c:v>
                </c:pt>
                <c:pt idx="92">
                  <c:v>604</c:v>
                </c:pt>
                <c:pt idx="93">
                  <c:v>603</c:v>
                </c:pt>
                <c:pt idx="94">
                  <c:v>593</c:v>
                </c:pt>
                <c:pt idx="95">
                  <c:v>548</c:v>
                </c:pt>
                <c:pt idx="96">
                  <c:v>543</c:v>
                </c:pt>
                <c:pt idx="97">
                  <c:v>538</c:v>
                </c:pt>
                <c:pt idx="98">
                  <c:v>533</c:v>
                </c:pt>
                <c:pt idx="99">
                  <c:v>528</c:v>
                </c:pt>
                <c:pt idx="100">
                  <c:v>510</c:v>
                </c:pt>
                <c:pt idx="101">
                  <c:v>505</c:v>
                </c:pt>
                <c:pt idx="102">
                  <c:v>500</c:v>
                </c:pt>
                <c:pt idx="103">
                  <c:v>495</c:v>
                </c:pt>
                <c:pt idx="104">
                  <c:v>490</c:v>
                </c:pt>
                <c:pt idx="105">
                  <c:v>489</c:v>
                </c:pt>
                <c:pt idx="106">
                  <c:v>488</c:v>
                </c:pt>
                <c:pt idx="107">
                  <c:v>487</c:v>
                </c:pt>
                <c:pt idx="108">
                  <c:v>467</c:v>
                </c:pt>
                <c:pt idx="109">
                  <c:v>457</c:v>
                </c:pt>
                <c:pt idx="110">
                  <c:v>452</c:v>
                </c:pt>
                <c:pt idx="111">
                  <c:v>447</c:v>
                </c:pt>
                <c:pt idx="112">
                  <c:v>442</c:v>
                </c:pt>
                <c:pt idx="113">
                  <c:v>441</c:v>
                </c:pt>
                <c:pt idx="114">
                  <c:v>431</c:v>
                </c:pt>
                <c:pt idx="115">
                  <c:v>430</c:v>
                </c:pt>
                <c:pt idx="116">
                  <c:v>429</c:v>
                </c:pt>
                <c:pt idx="117">
                  <c:v>424</c:v>
                </c:pt>
                <c:pt idx="118">
                  <c:v>409</c:v>
                </c:pt>
                <c:pt idx="119">
                  <c:v>404</c:v>
                </c:pt>
                <c:pt idx="120">
                  <c:v>369</c:v>
                </c:pt>
                <c:pt idx="121">
                  <c:v>364</c:v>
                </c:pt>
                <c:pt idx="122">
                  <c:v>359</c:v>
                </c:pt>
                <c:pt idx="123">
                  <c:v>314</c:v>
                </c:pt>
                <c:pt idx="124">
                  <c:v>269</c:v>
                </c:pt>
                <c:pt idx="125">
                  <c:v>234</c:v>
                </c:pt>
                <c:pt idx="126">
                  <c:v>229</c:v>
                </c:pt>
                <c:pt idx="127">
                  <c:v>224</c:v>
                </c:pt>
                <c:pt idx="128">
                  <c:v>223</c:v>
                </c:pt>
                <c:pt idx="129">
                  <c:v>222</c:v>
                </c:pt>
                <c:pt idx="130">
                  <c:v>217</c:v>
                </c:pt>
                <c:pt idx="131">
                  <c:v>212</c:v>
                </c:pt>
                <c:pt idx="132">
                  <c:v>207</c:v>
                </c:pt>
                <c:pt idx="133">
                  <c:v>202</c:v>
                </c:pt>
                <c:pt idx="134">
                  <c:v>197</c:v>
                </c:pt>
                <c:pt idx="135">
                  <c:v>196</c:v>
                </c:pt>
                <c:pt idx="136">
                  <c:v>195</c:v>
                </c:pt>
                <c:pt idx="137">
                  <c:v>185</c:v>
                </c:pt>
                <c:pt idx="138">
                  <c:v>180</c:v>
                </c:pt>
                <c:pt idx="139">
                  <c:v>175</c:v>
                </c:pt>
                <c:pt idx="140">
                  <c:v>170</c:v>
                </c:pt>
                <c:pt idx="141">
                  <c:v>165</c:v>
                </c:pt>
                <c:pt idx="142">
                  <c:v>160</c:v>
                </c:pt>
                <c:pt idx="143">
                  <c:v>155</c:v>
                </c:pt>
                <c:pt idx="144">
                  <c:v>150</c:v>
                </c:pt>
                <c:pt idx="145">
                  <c:v>145</c:v>
                </c:pt>
                <c:pt idx="146">
                  <c:v>135</c:v>
                </c:pt>
                <c:pt idx="147">
                  <c:v>130</c:v>
                </c:pt>
                <c:pt idx="148">
                  <c:v>125</c:v>
                </c:pt>
                <c:pt idx="149">
                  <c:v>120</c:v>
                </c:pt>
                <c:pt idx="150">
                  <c:v>115</c:v>
                </c:pt>
                <c:pt idx="151">
                  <c:v>110</c:v>
                </c:pt>
                <c:pt idx="152">
                  <c:v>105</c:v>
                </c:pt>
                <c:pt idx="153">
                  <c:v>100</c:v>
                </c:pt>
                <c:pt idx="154">
                  <c:v>95</c:v>
                </c:pt>
                <c:pt idx="155">
                  <c:v>90</c:v>
                </c:pt>
                <c:pt idx="156">
                  <c:v>85</c:v>
                </c:pt>
                <c:pt idx="157">
                  <c:v>80</c:v>
                </c:pt>
                <c:pt idx="158">
                  <c:v>60</c:v>
                </c:pt>
                <c:pt idx="159">
                  <c:v>40</c:v>
                </c:pt>
                <c:pt idx="160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895</c:v>
                </c:pt>
                <c:pt idx="1">
                  <c:v>70</c:v>
                </c:pt>
                <c:pt idx="2">
                  <c:v>90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104</xdr:row>
      <xdr:rowOff>114300</xdr:rowOff>
    </xdr:from>
    <xdr:to>
      <xdr:col>39</xdr:col>
      <xdr:colOff>323850</xdr:colOff>
      <xdr:row>138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104</xdr:row>
      <xdr:rowOff>85725</xdr:rowOff>
    </xdr:from>
    <xdr:to>
      <xdr:col>20</xdr:col>
      <xdr:colOff>238125</xdr:colOff>
      <xdr:row>139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77</xdr:row>
      <xdr:rowOff>133350</xdr:rowOff>
    </xdr:from>
    <xdr:to>
      <xdr:col>14</xdr:col>
      <xdr:colOff>209550</xdr:colOff>
      <xdr:row>93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/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drawing" Target="../drawings/drawing1.xm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sheetPr filterMode="1"/>
  <dimension ref="A1:O496"/>
  <sheetViews>
    <sheetView workbookViewId="0">
      <pane xSplit="1" ySplit="3" topLeftCell="B436" activePane="bottomRight" state="frozen"/>
      <selection pane="bottomRight" activeCell="E428" sqref="E428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 hidden="1">
      <c r="A2" s="8">
        <v>42113</v>
      </c>
      <c r="B2" s="9" t="s">
        <v>6</v>
      </c>
      <c r="C2" s="3" t="s">
        <v>7</v>
      </c>
      <c r="D2" s="3"/>
      <c r="E2" s="3"/>
      <c r="F2" s="7"/>
      <c r="G2" s="71"/>
      <c r="H2" s="4">
        <v>2297</v>
      </c>
      <c r="I2" s="4"/>
      <c r="J2" s="36"/>
      <c r="K2" s="37"/>
      <c r="L2" s="71">
        <f>J2</f>
        <v>0</v>
      </c>
      <c r="M2" s="71">
        <f>K2</f>
        <v>0</v>
      </c>
    </row>
    <row r="3" spans="1:15" hidden="1">
      <c r="A3" s="8">
        <v>42116</v>
      </c>
      <c r="B3" s="9" t="s">
        <v>8</v>
      </c>
      <c r="C3" s="3" t="s">
        <v>9</v>
      </c>
      <c r="D3" s="3"/>
      <c r="E3" s="3"/>
      <c r="F3" s="7"/>
      <c r="G3" s="71"/>
      <c r="H3" s="4">
        <v>2297</v>
      </c>
      <c r="I3" s="4"/>
      <c r="J3" s="36"/>
      <c r="K3" s="37"/>
      <c r="L3" s="71">
        <f>J3+L2</f>
        <v>0</v>
      </c>
      <c r="M3" s="71">
        <f>K3+M2</f>
        <v>0</v>
      </c>
    </row>
    <row r="4" spans="1:15" hidden="1">
      <c r="A4" s="8">
        <v>45128</v>
      </c>
      <c r="B4" s="9" t="s">
        <v>10</v>
      </c>
      <c r="C4" s="3" t="s">
        <v>11</v>
      </c>
      <c r="D4" s="3"/>
      <c r="E4" s="3"/>
      <c r="F4" s="7"/>
      <c r="G4" s="71"/>
      <c r="H4" s="71">
        <v>984</v>
      </c>
      <c r="I4" s="4"/>
      <c r="J4" s="36"/>
      <c r="K4" s="37"/>
      <c r="L4" s="71">
        <f t="shared" ref="L4:L68" si="0">J4+L3</f>
        <v>0</v>
      </c>
      <c r="M4" s="71">
        <f t="shared" ref="M4:M68" si="1">K4+M3</f>
        <v>0</v>
      </c>
    </row>
    <row r="5" spans="1:15" hidden="1">
      <c r="A5" s="8">
        <v>45131</v>
      </c>
      <c r="B5" s="9" t="s">
        <v>12</v>
      </c>
      <c r="C5" s="3" t="s">
        <v>13</v>
      </c>
      <c r="D5" s="3"/>
      <c r="E5" s="3"/>
      <c r="F5" s="7"/>
      <c r="G5" s="71"/>
      <c r="H5" s="71">
        <v>567</v>
      </c>
      <c r="I5" s="4"/>
      <c r="J5" s="36"/>
      <c r="K5" s="37"/>
      <c r="L5" s="71">
        <f t="shared" si="0"/>
        <v>0</v>
      </c>
      <c r="M5" s="71">
        <f t="shared" si="1"/>
        <v>0</v>
      </c>
    </row>
    <row r="6" spans="1:15" ht="22.5" hidden="1">
      <c r="A6" s="8">
        <v>45165</v>
      </c>
      <c r="B6" s="9" t="s">
        <v>14</v>
      </c>
      <c r="C6" s="10" t="s">
        <v>15</v>
      </c>
      <c r="D6" s="3"/>
      <c r="E6" s="3"/>
      <c r="F6" s="7"/>
      <c r="G6" s="71"/>
      <c r="H6" s="4">
        <v>1111</v>
      </c>
      <c r="I6" s="4"/>
      <c r="J6" s="36"/>
      <c r="K6" s="37"/>
      <c r="L6" s="71">
        <f t="shared" si="0"/>
        <v>0</v>
      </c>
      <c r="M6" s="71">
        <f t="shared" si="1"/>
        <v>0</v>
      </c>
    </row>
    <row r="7" spans="1:15" ht="22.5" hidden="1">
      <c r="A7" s="8">
        <v>45175</v>
      </c>
      <c r="B7" s="9" t="s">
        <v>14</v>
      </c>
      <c r="C7" s="10" t="s">
        <v>15</v>
      </c>
      <c r="D7" s="3"/>
      <c r="E7" s="3"/>
      <c r="F7" s="7"/>
      <c r="G7" s="71"/>
      <c r="H7" s="4">
        <v>1111</v>
      </c>
      <c r="I7" s="4"/>
      <c r="J7" s="36"/>
      <c r="K7" s="37"/>
      <c r="L7" s="71">
        <f t="shared" si="0"/>
        <v>0</v>
      </c>
      <c r="M7" s="71">
        <f t="shared" si="1"/>
        <v>0</v>
      </c>
    </row>
    <row r="8" spans="1:15" ht="22.5" hidden="1">
      <c r="A8" s="8">
        <v>45331</v>
      </c>
      <c r="B8" s="9" t="s">
        <v>16</v>
      </c>
      <c r="C8" s="10" t="s">
        <v>17</v>
      </c>
      <c r="D8" s="3"/>
      <c r="E8" s="3"/>
      <c r="F8" s="7"/>
      <c r="G8" s="71"/>
      <c r="H8" s="4">
        <v>3831</v>
      </c>
      <c r="I8" s="4"/>
      <c r="J8" s="36"/>
      <c r="K8" s="37"/>
      <c r="L8" s="71">
        <f t="shared" si="0"/>
        <v>0</v>
      </c>
      <c r="M8" s="71">
        <f t="shared" si="1"/>
        <v>0</v>
      </c>
    </row>
    <row r="9" spans="1:15" ht="22.5" hidden="1">
      <c r="A9" s="8">
        <v>45333</v>
      </c>
      <c r="B9" s="9" t="s">
        <v>18</v>
      </c>
      <c r="C9" s="10" t="s">
        <v>19</v>
      </c>
      <c r="D9" s="3"/>
      <c r="E9" s="3"/>
      <c r="F9" s="7"/>
      <c r="G9" s="71"/>
      <c r="H9" s="4">
        <v>3831</v>
      </c>
      <c r="I9" s="4"/>
      <c r="J9" s="36"/>
      <c r="K9" s="37"/>
      <c r="L9" s="71">
        <f t="shared" si="0"/>
        <v>0</v>
      </c>
      <c r="M9" s="71">
        <v>0</v>
      </c>
    </row>
    <row r="10" spans="1:15" hidden="1">
      <c r="A10" s="5" t="s">
        <v>20</v>
      </c>
      <c r="B10" s="77" t="s">
        <v>21</v>
      </c>
      <c r="C10" s="78"/>
      <c r="D10" s="78"/>
      <c r="E10" s="78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1">
        <f t="shared" si="0"/>
        <v>0</v>
      </c>
      <c r="M10" s="71">
        <f t="shared" si="1"/>
        <v>0</v>
      </c>
    </row>
    <row r="11" spans="1:15" hidden="1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1">
        <v>567</v>
      </c>
      <c r="G11" s="71">
        <v>0</v>
      </c>
      <c r="H11" s="71">
        <v>567</v>
      </c>
      <c r="I11" s="4">
        <v>6832</v>
      </c>
      <c r="J11" s="36">
        <v>0</v>
      </c>
      <c r="K11" s="36">
        <v>0</v>
      </c>
      <c r="L11" s="71">
        <f t="shared" si="0"/>
        <v>0</v>
      </c>
      <c r="M11" s="71">
        <f t="shared" si="1"/>
        <v>0</v>
      </c>
    </row>
    <row r="12" spans="1:15" hidden="1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1">
        <v>567</v>
      </c>
      <c r="G12" s="71">
        <v>0</v>
      </c>
      <c r="H12" s="71">
        <v>567</v>
      </c>
      <c r="I12" s="4">
        <v>7399</v>
      </c>
      <c r="J12" s="36">
        <v>0</v>
      </c>
      <c r="K12" s="36">
        <v>0</v>
      </c>
      <c r="L12" s="71">
        <f t="shared" si="0"/>
        <v>0</v>
      </c>
      <c r="M12" s="71">
        <f t="shared" si="1"/>
        <v>0</v>
      </c>
      <c r="N12" t="s">
        <v>25</v>
      </c>
      <c r="O12" s="11">
        <f>SUMIFS(H2:H29999, B2:B29999, "*JL*")+SUMIFS(H11:H29999, B11:B29999, "*NU*")</f>
        <v>103441</v>
      </c>
    </row>
    <row r="13" spans="1:15" hidden="1">
      <c r="A13" s="27"/>
      <c r="B13" s="1"/>
      <c r="C13" s="3"/>
      <c r="D13" s="3"/>
      <c r="E13" s="1"/>
      <c r="F13" s="71"/>
      <c r="G13" s="71"/>
      <c r="H13" s="71"/>
      <c r="I13" s="4"/>
      <c r="J13" s="36"/>
      <c r="K13" s="36"/>
      <c r="L13" s="71"/>
      <c r="M13" s="71"/>
      <c r="N13" s="31" t="s">
        <v>26</v>
      </c>
      <c r="O13">
        <f>SUMIFS(H11:H29999, B11:B29999, "*ＣｌｕｂＱ*")</f>
        <v>36789</v>
      </c>
    </row>
    <row r="14" spans="1:15" ht="12.75" hidden="1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1">
        <v>567</v>
      </c>
      <c r="G14" s="71">
        <v>0</v>
      </c>
      <c r="H14" s="71">
        <v>567</v>
      </c>
      <c r="I14" s="4">
        <v>7966</v>
      </c>
      <c r="J14" s="36">
        <v>0</v>
      </c>
      <c r="K14" s="36">
        <v>0</v>
      </c>
      <c r="L14" s="71">
        <f>J14+L12</f>
        <v>0</v>
      </c>
      <c r="M14" s="71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 hidden="1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1">
        <v>567</v>
      </c>
      <c r="G15" s="71">
        <v>0</v>
      </c>
      <c r="H15" s="71">
        <v>567</v>
      </c>
      <c r="I15" s="4">
        <v>8533</v>
      </c>
      <c r="J15" s="36">
        <v>0</v>
      </c>
      <c r="K15" s="36">
        <v>0</v>
      </c>
      <c r="L15" s="71">
        <f t="shared" si="0"/>
        <v>0</v>
      </c>
      <c r="M15" s="71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 hidden="1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1">
        <v>482</v>
      </c>
      <c r="G16" s="71">
        <v>0</v>
      </c>
      <c r="H16" s="71">
        <v>482</v>
      </c>
      <c r="I16" s="4">
        <v>9015</v>
      </c>
      <c r="J16" s="36">
        <v>0</v>
      </c>
      <c r="K16" s="36">
        <v>0</v>
      </c>
      <c r="L16" s="71">
        <f t="shared" si="0"/>
        <v>0</v>
      </c>
      <c r="M16" s="71">
        <f t="shared" si="1"/>
        <v>0</v>
      </c>
      <c r="N16" s="31" t="s">
        <v>33</v>
      </c>
      <c r="O16">
        <f>SUMIFS(H11:H29999, B11:B29999, "*ＷＥＬＬＮＥＳＳ*")</f>
        <v>4989</v>
      </c>
    </row>
    <row r="17" spans="1:15" hidden="1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1">
        <v>482</v>
      </c>
      <c r="G17" s="71">
        <v>0</v>
      </c>
      <c r="H17" s="71">
        <v>482</v>
      </c>
      <c r="I17" s="4">
        <v>9497</v>
      </c>
      <c r="J17" s="36">
        <v>0</v>
      </c>
      <c r="K17" s="36">
        <v>0</v>
      </c>
      <c r="L17" s="71">
        <f t="shared" si="0"/>
        <v>0</v>
      </c>
      <c r="M17" s="71">
        <f t="shared" si="1"/>
        <v>0</v>
      </c>
      <c r="N17" s="31" t="s">
        <v>36</v>
      </c>
      <c r="O17">
        <f>SUMIFS(H11:H29999, B11:B29999, "*ＪＭＢアプリ*")</f>
        <v>71</v>
      </c>
    </row>
    <row r="18" spans="1:15" ht="14.25" hidden="1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1">
        <v>438</v>
      </c>
      <c r="G18" s="71">
        <v>0</v>
      </c>
      <c r="H18" s="71">
        <v>438</v>
      </c>
      <c r="I18" s="4">
        <v>9935</v>
      </c>
      <c r="J18" s="36">
        <v>0</v>
      </c>
      <c r="K18" s="36">
        <v>0</v>
      </c>
      <c r="L18" s="71">
        <f t="shared" si="0"/>
        <v>0</v>
      </c>
      <c r="M18" s="71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 hidden="1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1">
        <v>482</v>
      </c>
      <c r="G19" s="71">
        <v>0</v>
      </c>
      <c r="H19" s="71">
        <v>482</v>
      </c>
      <c r="I19" s="4">
        <v>10417</v>
      </c>
      <c r="J19" s="36">
        <v>0</v>
      </c>
      <c r="K19" s="36">
        <v>0</v>
      </c>
      <c r="L19" s="71">
        <f t="shared" si="0"/>
        <v>0</v>
      </c>
      <c r="M19" s="71">
        <f t="shared" si="1"/>
        <v>0</v>
      </c>
      <c r="N19" s="31" t="s">
        <v>39</v>
      </c>
      <c r="O19">
        <f>SUMIFS(H11:H29999, B11:B29999, "*特典交換*")</f>
        <v>-1500</v>
      </c>
    </row>
    <row r="20" spans="1:15" hidden="1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1">
        <v>425</v>
      </c>
      <c r="G20" s="71">
        <v>0</v>
      </c>
      <c r="H20" s="71">
        <v>425</v>
      </c>
      <c r="I20" s="4">
        <v>10842</v>
      </c>
      <c r="J20" s="36">
        <v>0</v>
      </c>
      <c r="K20" s="36">
        <v>0</v>
      </c>
      <c r="L20" s="71">
        <f t="shared" si="0"/>
        <v>0</v>
      </c>
      <c r="M20" s="71">
        <f t="shared" si="1"/>
        <v>0</v>
      </c>
      <c r="N20" s="31"/>
    </row>
    <row r="21" spans="1:15" hidden="1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1">
        <v>624</v>
      </c>
      <c r="G21" s="71">
        <v>0</v>
      </c>
      <c r="H21" s="71">
        <v>624</v>
      </c>
      <c r="I21" s="4">
        <v>11466</v>
      </c>
      <c r="J21" s="36">
        <v>1648</v>
      </c>
      <c r="K21" s="36">
        <v>1</v>
      </c>
      <c r="L21" s="71">
        <f t="shared" si="0"/>
        <v>1648</v>
      </c>
      <c r="M21" s="71">
        <f t="shared" si="1"/>
        <v>1</v>
      </c>
      <c r="N21" s="31"/>
      <c r="O21">
        <f>SUM(O12:O18)</f>
        <v>124290</v>
      </c>
    </row>
    <row r="22" spans="1:15" hidden="1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1">
        <v>624</v>
      </c>
      <c r="G22" s="71">
        <v>0</v>
      </c>
      <c r="H22" s="71">
        <v>624</v>
      </c>
      <c r="I22" s="4">
        <v>12090</v>
      </c>
      <c r="J22" s="36">
        <v>1648</v>
      </c>
      <c r="K22" s="36">
        <v>1</v>
      </c>
      <c r="L22" s="71">
        <f t="shared" si="0"/>
        <v>3296</v>
      </c>
      <c r="M22" s="71">
        <f t="shared" si="1"/>
        <v>2</v>
      </c>
    </row>
    <row r="23" spans="1:15" hidden="1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1">
        <v>624</v>
      </c>
      <c r="G23" s="71">
        <v>0</v>
      </c>
      <c r="H23" s="71">
        <v>624</v>
      </c>
      <c r="I23" s="4">
        <v>12714</v>
      </c>
      <c r="J23" s="36">
        <v>1648</v>
      </c>
      <c r="K23" s="36">
        <v>1</v>
      </c>
      <c r="L23" s="71">
        <f t="shared" si="0"/>
        <v>4944</v>
      </c>
      <c r="M23" s="71">
        <f t="shared" si="1"/>
        <v>3</v>
      </c>
    </row>
    <row r="24" spans="1:15" hidden="1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1">
        <v>624</v>
      </c>
      <c r="G24" s="71">
        <v>0</v>
      </c>
      <c r="H24" s="71">
        <v>624</v>
      </c>
      <c r="I24" s="4">
        <v>13338</v>
      </c>
      <c r="J24" s="36">
        <v>1648</v>
      </c>
      <c r="K24" s="36">
        <v>1</v>
      </c>
      <c r="L24" s="71">
        <f t="shared" si="0"/>
        <v>6592</v>
      </c>
      <c r="M24" s="71">
        <f t="shared" si="1"/>
        <v>4</v>
      </c>
    </row>
    <row r="25" spans="1:15" hidden="1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1">
        <v>624</v>
      </c>
      <c r="G25" s="71">
        <v>0</v>
      </c>
      <c r="H25" s="71">
        <v>624</v>
      </c>
      <c r="I25" s="4">
        <v>13962</v>
      </c>
      <c r="J25" s="36">
        <v>1648</v>
      </c>
      <c r="K25" s="36">
        <v>1</v>
      </c>
      <c r="L25" s="71">
        <f t="shared" si="0"/>
        <v>8240</v>
      </c>
      <c r="M25" s="71">
        <f t="shared" si="1"/>
        <v>5</v>
      </c>
    </row>
    <row r="26" spans="1:15" hidden="1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1">
        <v>624</v>
      </c>
      <c r="G26" s="71">
        <v>0</v>
      </c>
      <c r="H26" s="71">
        <v>624</v>
      </c>
      <c r="I26" s="4">
        <v>14586</v>
      </c>
      <c r="J26" s="36">
        <v>1648</v>
      </c>
      <c r="K26" s="36">
        <v>1</v>
      </c>
      <c r="L26" s="71">
        <f t="shared" si="0"/>
        <v>9888</v>
      </c>
      <c r="M26" s="71">
        <f t="shared" si="1"/>
        <v>6</v>
      </c>
    </row>
    <row r="27" spans="1:15" hidden="1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1">
        <v>624</v>
      </c>
      <c r="G27" s="71">
        <v>0</v>
      </c>
      <c r="H27" s="71">
        <v>624</v>
      </c>
      <c r="I27" s="4">
        <v>15210</v>
      </c>
      <c r="J27" s="36">
        <v>1648</v>
      </c>
      <c r="K27" s="36">
        <v>1</v>
      </c>
      <c r="L27" s="71">
        <f t="shared" si="0"/>
        <v>11536</v>
      </c>
      <c r="M27" s="71">
        <f t="shared" si="1"/>
        <v>7</v>
      </c>
    </row>
    <row r="28" spans="1:15" hidden="1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1">
        <v>624</v>
      </c>
      <c r="G28" s="71">
        <v>0</v>
      </c>
      <c r="H28" s="71">
        <v>624</v>
      </c>
      <c r="I28" s="4">
        <v>15834</v>
      </c>
      <c r="J28" s="36">
        <v>1648</v>
      </c>
      <c r="K28" s="36">
        <v>1</v>
      </c>
      <c r="L28" s="71">
        <f t="shared" si="0"/>
        <v>13184</v>
      </c>
      <c r="M28" s="71">
        <f t="shared" si="1"/>
        <v>8</v>
      </c>
    </row>
    <row r="29" spans="1:15" hidden="1">
      <c r="A29" s="27">
        <v>45840</v>
      </c>
      <c r="B29" s="73" t="s">
        <v>33</v>
      </c>
      <c r="C29" s="73"/>
      <c r="D29" s="73"/>
      <c r="E29" s="74"/>
      <c r="F29" s="71">
        <v>0</v>
      </c>
      <c r="G29" s="71">
        <v>17</v>
      </c>
      <c r="H29" s="71">
        <v>17</v>
      </c>
      <c r="I29" s="4">
        <v>15851</v>
      </c>
      <c r="J29" s="36">
        <v>0</v>
      </c>
      <c r="K29" s="36">
        <v>0</v>
      </c>
      <c r="L29" s="71">
        <f t="shared" si="0"/>
        <v>13184</v>
      </c>
      <c r="M29" s="71">
        <f t="shared" si="1"/>
        <v>8</v>
      </c>
    </row>
    <row r="30" spans="1:15" hidden="1">
      <c r="A30" s="27">
        <v>45841</v>
      </c>
      <c r="B30" s="73" t="s">
        <v>49</v>
      </c>
      <c r="C30" s="73"/>
      <c r="D30" s="73"/>
      <c r="E30" s="74"/>
      <c r="F30" s="71">
        <v>0</v>
      </c>
      <c r="G30" s="71">
        <v>1</v>
      </c>
      <c r="H30" s="71">
        <v>1</v>
      </c>
      <c r="I30" s="4">
        <v>15852</v>
      </c>
      <c r="J30" s="36">
        <v>0</v>
      </c>
      <c r="K30" s="36">
        <v>0</v>
      </c>
      <c r="L30" s="71">
        <f t="shared" si="0"/>
        <v>13184</v>
      </c>
      <c r="M30" s="71">
        <f t="shared" si="1"/>
        <v>8</v>
      </c>
    </row>
    <row r="31" spans="1:15" hidden="1">
      <c r="A31" s="27">
        <v>45841</v>
      </c>
      <c r="B31" s="73" t="s">
        <v>33</v>
      </c>
      <c r="C31" s="73"/>
      <c r="D31" s="73"/>
      <c r="E31" s="74"/>
      <c r="F31" s="71">
        <v>0</v>
      </c>
      <c r="G31" s="71">
        <v>17</v>
      </c>
      <c r="H31" s="71">
        <v>17</v>
      </c>
      <c r="I31" s="4">
        <v>15869</v>
      </c>
      <c r="J31" s="36">
        <v>0</v>
      </c>
      <c r="K31" s="36">
        <v>0</v>
      </c>
      <c r="L31" s="71">
        <f t="shared" si="0"/>
        <v>13184</v>
      </c>
      <c r="M31" s="71">
        <f t="shared" si="1"/>
        <v>8</v>
      </c>
    </row>
    <row r="32" spans="1:15" hidden="1">
      <c r="A32" s="27">
        <v>45842</v>
      </c>
      <c r="B32" s="73" t="s">
        <v>33</v>
      </c>
      <c r="C32" s="73"/>
      <c r="D32" s="73"/>
      <c r="E32" s="74"/>
      <c r="F32" s="71">
        <v>0</v>
      </c>
      <c r="G32" s="71">
        <v>9</v>
      </c>
      <c r="H32" s="71">
        <v>9</v>
      </c>
      <c r="I32" s="4">
        <v>15878</v>
      </c>
      <c r="J32" s="36">
        <v>0</v>
      </c>
      <c r="K32" s="36">
        <v>0</v>
      </c>
      <c r="L32" s="71">
        <f t="shared" si="0"/>
        <v>13184</v>
      </c>
      <c r="M32" s="71">
        <f t="shared" si="1"/>
        <v>8</v>
      </c>
    </row>
    <row r="33" spans="1:13" hidden="1">
      <c r="A33" s="27">
        <v>45843</v>
      </c>
      <c r="B33" s="73" t="s">
        <v>33</v>
      </c>
      <c r="C33" s="73"/>
      <c r="D33" s="73"/>
      <c r="E33" s="74"/>
      <c r="F33" s="71">
        <v>0</v>
      </c>
      <c r="G33" s="71">
        <v>9</v>
      </c>
      <c r="H33" s="71">
        <v>9</v>
      </c>
      <c r="I33" s="4">
        <v>15887</v>
      </c>
      <c r="J33" s="36">
        <v>0</v>
      </c>
      <c r="K33" s="36">
        <v>0</v>
      </c>
      <c r="L33" s="71">
        <f t="shared" si="0"/>
        <v>13184</v>
      </c>
      <c r="M33" s="71">
        <f t="shared" si="1"/>
        <v>8</v>
      </c>
    </row>
    <row r="34" spans="1:13" hidden="1">
      <c r="A34" s="27">
        <v>45844</v>
      </c>
      <c r="B34" s="73" t="s">
        <v>33</v>
      </c>
      <c r="C34" s="73"/>
      <c r="D34" s="73"/>
      <c r="E34" s="74"/>
      <c r="F34" s="71">
        <v>0</v>
      </c>
      <c r="G34" s="71">
        <v>40</v>
      </c>
      <c r="H34" s="71">
        <v>40</v>
      </c>
      <c r="I34" s="4">
        <v>15927</v>
      </c>
      <c r="J34" s="36">
        <v>0</v>
      </c>
      <c r="K34" s="36">
        <v>0</v>
      </c>
      <c r="L34" s="71">
        <f t="shared" si="0"/>
        <v>13184</v>
      </c>
      <c r="M34" s="71">
        <f t="shared" si="1"/>
        <v>8</v>
      </c>
    </row>
    <row r="35" spans="1:13" hidden="1">
      <c r="A35" s="27">
        <v>45845</v>
      </c>
      <c r="B35" s="73" t="s">
        <v>33</v>
      </c>
      <c r="C35" s="73"/>
      <c r="D35" s="73"/>
      <c r="E35" s="74"/>
      <c r="F35" s="71">
        <v>0</v>
      </c>
      <c r="G35" s="71">
        <v>8</v>
      </c>
      <c r="H35" s="71">
        <v>8</v>
      </c>
      <c r="I35" s="4">
        <v>15935</v>
      </c>
      <c r="J35" s="36">
        <v>0</v>
      </c>
      <c r="K35" s="36">
        <v>0</v>
      </c>
      <c r="L35" s="71">
        <f t="shared" si="0"/>
        <v>13184</v>
      </c>
      <c r="M35" s="71">
        <f t="shared" si="1"/>
        <v>8</v>
      </c>
    </row>
    <row r="36" spans="1:13" hidden="1">
      <c r="A36" s="27">
        <v>45846</v>
      </c>
      <c r="B36" s="73" t="s">
        <v>49</v>
      </c>
      <c r="C36" s="73"/>
      <c r="D36" s="73"/>
      <c r="E36" s="74"/>
      <c r="F36" s="71">
        <v>0</v>
      </c>
      <c r="G36" s="71">
        <v>1</v>
      </c>
      <c r="H36" s="71">
        <v>1</v>
      </c>
      <c r="I36" s="4">
        <v>15936</v>
      </c>
      <c r="J36" s="36">
        <v>0</v>
      </c>
      <c r="K36" s="36">
        <v>0</v>
      </c>
      <c r="L36" s="71">
        <f t="shared" si="0"/>
        <v>13184</v>
      </c>
      <c r="M36" s="71">
        <f t="shared" si="1"/>
        <v>8</v>
      </c>
    </row>
    <row r="37" spans="1:13" hidden="1">
      <c r="A37" s="27">
        <v>45846</v>
      </c>
      <c r="B37" s="73" t="s">
        <v>33</v>
      </c>
      <c r="C37" s="73"/>
      <c r="D37" s="73"/>
      <c r="E37" s="74"/>
      <c r="F37" s="71">
        <v>0</v>
      </c>
      <c r="G37" s="71">
        <v>8</v>
      </c>
      <c r="H37" s="71">
        <v>8</v>
      </c>
      <c r="I37" s="4">
        <v>15944</v>
      </c>
      <c r="J37" s="36">
        <v>0</v>
      </c>
      <c r="K37" s="36">
        <v>0</v>
      </c>
      <c r="L37" s="71">
        <f t="shared" si="0"/>
        <v>13184</v>
      </c>
      <c r="M37" s="71">
        <f t="shared" si="1"/>
        <v>8</v>
      </c>
    </row>
    <row r="38" spans="1:13" hidden="1">
      <c r="A38" s="27">
        <v>45847</v>
      </c>
      <c r="B38" s="73" t="s">
        <v>33</v>
      </c>
      <c r="C38" s="73"/>
      <c r="D38" s="73"/>
      <c r="E38" s="74"/>
      <c r="F38" s="71">
        <v>0</v>
      </c>
      <c r="G38" s="71">
        <v>8</v>
      </c>
      <c r="H38" s="71">
        <v>8</v>
      </c>
      <c r="I38" s="4">
        <v>15952</v>
      </c>
      <c r="J38" s="36">
        <v>0</v>
      </c>
      <c r="K38" s="36">
        <v>0</v>
      </c>
      <c r="L38" s="71">
        <f t="shared" si="0"/>
        <v>13184</v>
      </c>
      <c r="M38" s="71">
        <f t="shared" si="1"/>
        <v>8</v>
      </c>
    </row>
    <row r="39" spans="1:13" hidden="1">
      <c r="A39" s="27">
        <v>45848</v>
      </c>
      <c r="B39" s="73" t="s">
        <v>49</v>
      </c>
      <c r="C39" s="73"/>
      <c r="D39" s="73"/>
      <c r="E39" s="74"/>
      <c r="F39" s="71">
        <v>0</v>
      </c>
      <c r="G39" s="71">
        <v>1</v>
      </c>
      <c r="H39" s="71">
        <v>1</v>
      </c>
      <c r="I39" s="4">
        <v>15953</v>
      </c>
      <c r="J39" s="36">
        <v>0</v>
      </c>
      <c r="K39" s="36">
        <v>0</v>
      </c>
      <c r="L39" s="71">
        <f t="shared" si="0"/>
        <v>13184</v>
      </c>
      <c r="M39" s="71">
        <f t="shared" si="1"/>
        <v>8</v>
      </c>
    </row>
    <row r="40" spans="1:13" hidden="1">
      <c r="A40" s="27">
        <v>45848</v>
      </c>
      <c r="B40" s="73" t="s">
        <v>33</v>
      </c>
      <c r="C40" s="73"/>
      <c r="D40" s="73"/>
      <c r="E40" s="74"/>
      <c r="F40" s="71">
        <v>0</v>
      </c>
      <c r="G40" s="71">
        <v>7</v>
      </c>
      <c r="H40" s="71">
        <v>7</v>
      </c>
      <c r="I40" s="4">
        <v>15960</v>
      </c>
      <c r="J40" s="36">
        <v>0</v>
      </c>
      <c r="K40" s="36">
        <v>0</v>
      </c>
      <c r="L40" s="71">
        <f t="shared" si="0"/>
        <v>13184</v>
      </c>
      <c r="M40" s="71">
        <f t="shared" si="1"/>
        <v>8</v>
      </c>
    </row>
    <row r="41" spans="1:13" hidden="1">
      <c r="A41" s="27">
        <v>45849</v>
      </c>
      <c r="B41" s="73" t="s">
        <v>49</v>
      </c>
      <c r="C41" s="73"/>
      <c r="D41" s="73"/>
      <c r="E41" s="74"/>
      <c r="F41" s="71">
        <v>0</v>
      </c>
      <c r="G41" s="71">
        <v>1</v>
      </c>
      <c r="H41" s="71">
        <v>1</v>
      </c>
      <c r="I41" s="4">
        <v>15961</v>
      </c>
      <c r="J41" s="36">
        <v>0</v>
      </c>
      <c r="K41" s="36">
        <v>0</v>
      </c>
      <c r="L41" s="71">
        <f t="shared" si="0"/>
        <v>13184</v>
      </c>
      <c r="M41" s="71">
        <f t="shared" si="1"/>
        <v>8</v>
      </c>
    </row>
    <row r="42" spans="1:13" hidden="1">
      <c r="A42" s="27">
        <v>45849</v>
      </c>
      <c r="B42" s="73" t="s">
        <v>33</v>
      </c>
      <c r="C42" s="73"/>
      <c r="D42" s="73"/>
      <c r="E42" s="74"/>
      <c r="F42" s="71">
        <v>0</v>
      </c>
      <c r="G42" s="71">
        <v>9</v>
      </c>
      <c r="H42" s="71">
        <v>9</v>
      </c>
      <c r="I42" s="4">
        <v>15970</v>
      </c>
      <c r="J42" s="36">
        <v>0</v>
      </c>
      <c r="K42" s="36">
        <v>0</v>
      </c>
      <c r="L42" s="71">
        <f t="shared" si="0"/>
        <v>13184</v>
      </c>
      <c r="M42" s="71">
        <f t="shared" si="1"/>
        <v>8</v>
      </c>
    </row>
    <row r="43" spans="1:13" hidden="1">
      <c r="A43" s="27">
        <v>45850</v>
      </c>
      <c r="B43" s="73" t="s">
        <v>49</v>
      </c>
      <c r="C43" s="73"/>
      <c r="D43" s="73"/>
      <c r="E43" s="74"/>
      <c r="F43" s="71">
        <v>0</v>
      </c>
      <c r="G43" s="71">
        <v>1</v>
      </c>
      <c r="H43" s="71">
        <v>1</v>
      </c>
      <c r="I43" s="4">
        <v>15971</v>
      </c>
      <c r="J43" s="36">
        <v>0</v>
      </c>
      <c r="K43" s="36">
        <v>0</v>
      </c>
      <c r="L43" s="71">
        <f t="shared" si="0"/>
        <v>13184</v>
      </c>
      <c r="M43" s="71">
        <f t="shared" si="1"/>
        <v>8</v>
      </c>
    </row>
    <row r="44" spans="1:13" hidden="1">
      <c r="A44" s="27">
        <v>45850</v>
      </c>
      <c r="B44" s="73" t="s">
        <v>33</v>
      </c>
      <c r="C44" s="73"/>
      <c r="D44" s="73"/>
      <c r="E44" s="74"/>
      <c r="F44" s="71">
        <v>0</v>
      </c>
      <c r="G44" s="71">
        <v>8</v>
      </c>
      <c r="H44" s="71">
        <v>8</v>
      </c>
      <c r="I44" s="4">
        <v>15979</v>
      </c>
      <c r="J44" s="36">
        <v>0</v>
      </c>
      <c r="K44" s="36">
        <v>0</v>
      </c>
      <c r="L44" s="71">
        <f t="shared" si="0"/>
        <v>13184</v>
      </c>
      <c r="M44" s="71">
        <f t="shared" si="1"/>
        <v>8</v>
      </c>
    </row>
    <row r="45" spans="1:13" hidden="1">
      <c r="A45" s="27">
        <v>45851</v>
      </c>
      <c r="B45" s="73" t="s">
        <v>30</v>
      </c>
      <c r="C45" s="73"/>
      <c r="D45" s="73"/>
      <c r="E45" s="74"/>
      <c r="F45" s="71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1">
        <f t="shared" si="0"/>
        <v>13184</v>
      </c>
      <c r="M45" s="71">
        <f t="shared" si="1"/>
        <v>8</v>
      </c>
    </row>
    <row r="46" spans="1:13" hidden="1">
      <c r="A46" s="27">
        <v>45851</v>
      </c>
      <c r="B46" s="73" t="s">
        <v>33</v>
      </c>
      <c r="C46" s="73"/>
      <c r="D46" s="73"/>
      <c r="E46" s="74"/>
      <c r="F46" s="71">
        <v>0</v>
      </c>
      <c r="G46" s="71">
        <v>37</v>
      </c>
      <c r="H46" s="71">
        <v>37</v>
      </c>
      <c r="I46" s="4">
        <v>18016</v>
      </c>
      <c r="J46" s="36">
        <v>0</v>
      </c>
      <c r="K46" s="36">
        <v>0</v>
      </c>
      <c r="L46" s="71">
        <f t="shared" si="0"/>
        <v>13184</v>
      </c>
      <c r="M46" s="71">
        <f t="shared" si="1"/>
        <v>8</v>
      </c>
    </row>
    <row r="47" spans="1:13" hidden="1">
      <c r="A47" s="27">
        <v>45852</v>
      </c>
      <c r="B47" s="73" t="s">
        <v>33</v>
      </c>
      <c r="C47" s="73"/>
      <c r="D47" s="73"/>
      <c r="E47" s="74"/>
      <c r="F47" s="71">
        <v>0</v>
      </c>
      <c r="G47" s="71">
        <v>8</v>
      </c>
      <c r="H47" s="71">
        <v>8</v>
      </c>
      <c r="I47" s="4">
        <v>18024</v>
      </c>
      <c r="J47" s="36">
        <v>0</v>
      </c>
      <c r="K47" s="36">
        <v>0</v>
      </c>
      <c r="L47" s="71">
        <f t="shared" si="0"/>
        <v>13184</v>
      </c>
      <c r="M47" s="71">
        <f t="shared" si="1"/>
        <v>8</v>
      </c>
    </row>
    <row r="48" spans="1:13" hidden="1">
      <c r="A48" s="27">
        <v>45853</v>
      </c>
      <c r="B48" s="73" t="s">
        <v>49</v>
      </c>
      <c r="C48" s="73"/>
      <c r="D48" s="73"/>
      <c r="E48" s="74"/>
      <c r="F48" s="71">
        <v>0</v>
      </c>
      <c r="G48" s="71">
        <v>1</v>
      </c>
      <c r="H48" s="71">
        <v>1</v>
      </c>
      <c r="I48" s="4">
        <v>18025</v>
      </c>
      <c r="J48" s="36">
        <v>0</v>
      </c>
      <c r="K48" s="36">
        <v>0</v>
      </c>
      <c r="L48" s="71">
        <f t="shared" si="0"/>
        <v>13184</v>
      </c>
      <c r="M48" s="71">
        <f t="shared" si="1"/>
        <v>8</v>
      </c>
    </row>
    <row r="49" spans="1:13" hidden="1">
      <c r="A49" s="27">
        <v>45853</v>
      </c>
      <c r="B49" s="73" t="s">
        <v>33</v>
      </c>
      <c r="C49" s="73"/>
      <c r="D49" s="73"/>
      <c r="E49" s="74"/>
      <c r="F49" s="71">
        <v>0</v>
      </c>
      <c r="G49" s="71">
        <v>8</v>
      </c>
      <c r="H49" s="71">
        <v>8</v>
      </c>
      <c r="I49" s="4">
        <v>18033</v>
      </c>
      <c r="J49" s="36">
        <v>0</v>
      </c>
      <c r="K49" s="36">
        <v>0</v>
      </c>
      <c r="L49" s="71">
        <f t="shared" si="0"/>
        <v>13184</v>
      </c>
      <c r="M49" s="71">
        <f t="shared" si="1"/>
        <v>8</v>
      </c>
    </row>
    <row r="50" spans="1:13" hidden="1">
      <c r="A50" s="27">
        <v>45854</v>
      </c>
      <c r="B50" s="73" t="s">
        <v>33</v>
      </c>
      <c r="C50" s="73"/>
      <c r="D50" s="73"/>
      <c r="E50" s="74"/>
      <c r="F50" s="71">
        <v>0</v>
      </c>
      <c r="G50" s="71">
        <v>6</v>
      </c>
      <c r="H50" s="71">
        <v>6</v>
      </c>
      <c r="I50" s="4">
        <v>18039</v>
      </c>
      <c r="J50" s="36">
        <v>0</v>
      </c>
      <c r="K50" s="36">
        <v>0</v>
      </c>
      <c r="L50" s="71">
        <f t="shared" si="0"/>
        <v>13184</v>
      </c>
      <c r="M50" s="71">
        <f t="shared" si="1"/>
        <v>8</v>
      </c>
    </row>
    <row r="51" spans="1:13" hidden="1">
      <c r="A51" s="27">
        <v>45855</v>
      </c>
      <c r="B51" s="73" t="s">
        <v>33</v>
      </c>
      <c r="C51" s="73"/>
      <c r="D51" s="73"/>
      <c r="E51" s="74"/>
      <c r="F51" s="71">
        <v>0</v>
      </c>
      <c r="G51" s="71">
        <v>7</v>
      </c>
      <c r="H51" s="71">
        <v>7</v>
      </c>
      <c r="I51" s="4">
        <v>18046</v>
      </c>
      <c r="J51" s="36">
        <v>0</v>
      </c>
      <c r="K51" s="36">
        <v>0</v>
      </c>
      <c r="L51" s="71">
        <f t="shared" si="0"/>
        <v>13184</v>
      </c>
      <c r="M51" s="71">
        <f t="shared" si="1"/>
        <v>8</v>
      </c>
    </row>
    <row r="52" spans="1:13" hidden="1">
      <c r="A52" s="27">
        <v>45856</v>
      </c>
      <c r="B52" s="73" t="s">
        <v>33</v>
      </c>
      <c r="C52" s="73"/>
      <c r="D52" s="73"/>
      <c r="E52" s="74"/>
      <c r="F52" s="71">
        <v>0</v>
      </c>
      <c r="G52" s="71">
        <v>10</v>
      </c>
      <c r="H52" s="71">
        <v>10</v>
      </c>
      <c r="I52" s="4">
        <v>18056</v>
      </c>
      <c r="J52" s="36">
        <v>0</v>
      </c>
      <c r="K52" s="36">
        <v>0</v>
      </c>
      <c r="L52" s="71">
        <f t="shared" si="0"/>
        <v>13184</v>
      </c>
      <c r="M52" s="71">
        <f t="shared" si="1"/>
        <v>8</v>
      </c>
    </row>
    <row r="53" spans="1:13" hidden="1">
      <c r="A53" s="27">
        <v>45857</v>
      </c>
      <c r="B53" s="73" t="s">
        <v>33</v>
      </c>
      <c r="C53" s="73"/>
      <c r="D53" s="73"/>
      <c r="E53" s="74"/>
      <c r="F53" s="71">
        <v>0</v>
      </c>
      <c r="G53" s="71">
        <v>7</v>
      </c>
      <c r="H53" s="71">
        <v>7</v>
      </c>
      <c r="I53" s="4">
        <v>18063</v>
      </c>
      <c r="J53" s="36">
        <v>0</v>
      </c>
      <c r="K53" s="36">
        <v>0</v>
      </c>
      <c r="L53" s="71">
        <f t="shared" si="0"/>
        <v>13184</v>
      </c>
      <c r="M53" s="71">
        <f t="shared" si="1"/>
        <v>8</v>
      </c>
    </row>
    <row r="54" spans="1:13" hidden="1">
      <c r="A54" s="27">
        <v>45858</v>
      </c>
      <c r="B54" s="73" t="s">
        <v>33</v>
      </c>
      <c r="C54" s="73"/>
      <c r="D54" s="73"/>
      <c r="E54" s="74"/>
      <c r="F54" s="71">
        <v>0</v>
      </c>
      <c r="G54" s="71">
        <v>28</v>
      </c>
      <c r="H54" s="71">
        <v>28</v>
      </c>
      <c r="I54" s="4">
        <v>18091</v>
      </c>
      <c r="J54" s="36">
        <v>0</v>
      </c>
      <c r="K54" s="36">
        <v>0</v>
      </c>
      <c r="L54" s="71">
        <f t="shared" si="0"/>
        <v>13184</v>
      </c>
      <c r="M54" s="71">
        <f t="shared" si="1"/>
        <v>8</v>
      </c>
    </row>
    <row r="55" spans="1:13" hidden="1">
      <c r="A55" s="27">
        <v>45859</v>
      </c>
      <c r="B55" s="73" t="s">
        <v>33</v>
      </c>
      <c r="C55" s="73"/>
      <c r="D55" s="73"/>
      <c r="E55" s="74"/>
      <c r="F55" s="71">
        <v>0</v>
      </c>
      <c r="G55" s="71">
        <v>12</v>
      </c>
      <c r="H55" s="71">
        <v>12</v>
      </c>
      <c r="I55" s="4">
        <v>18103</v>
      </c>
      <c r="J55" s="36">
        <v>0</v>
      </c>
      <c r="K55" s="36">
        <v>0</v>
      </c>
      <c r="L55" s="71">
        <f t="shared" si="0"/>
        <v>13184</v>
      </c>
      <c r="M55" s="71">
        <f t="shared" si="1"/>
        <v>8</v>
      </c>
    </row>
    <row r="56" spans="1:13" hidden="1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1">
        <v>425</v>
      </c>
      <c r="G56" s="28">
        <v>106</v>
      </c>
      <c r="H56" s="71">
        <v>531</v>
      </c>
      <c r="I56" s="4">
        <v>18634</v>
      </c>
      <c r="J56" s="36">
        <v>1050</v>
      </c>
      <c r="K56" s="36">
        <v>1</v>
      </c>
      <c r="L56" s="71">
        <f t="shared" si="0"/>
        <v>14234</v>
      </c>
      <c r="M56" s="71">
        <f t="shared" si="1"/>
        <v>9</v>
      </c>
    </row>
    <row r="57" spans="1:13" hidden="1">
      <c r="A57" s="27">
        <v>45860</v>
      </c>
      <c r="B57" s="73" t="s">
        <v>33</v>
      </c>
      <c r="C57" s="73"/>
      <c r="D57" s="73"/>
      <c r="E57" s="74"/>
      <c r="F57" s="71">
        <v>0</v>
      </c>
      <c r="G57" s="71">
        <v>56</v>
      </c>
      <c r="H57" s="71">
        <v>56</v>
      </c>
      <c r="I57" s="4">
        <v>18690</v>
      </c>
      <c r="J57" s="36">
        <v>0</v>
      </c>
      <c r="K57" s="36">
        <v>0</v>
      </c>
      <c r="L57" s="71">
        <f t="shared" si="0"/>
        <v>14234</v>
      </c>
      <c r="M57" s="71">
        <f t="shared" si="1"/>
        <v>9</v>
      </c>
    </row>
    <row r="58" spans="1:13" hidden="1">
      <c r="A58" s="27">
        <v>45860</v>
      </c>
      <c r="B58" s="73" t="s">
        <v>28</v>
      </c>
      <c r="C58" s="73"/>
      <c r="D58" s="73"/>
      <c r="E58" s="74"/>
      <c r="F58" s="71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1">
        <f t="shared" si="0"/>
        <v>14234</v>
      </c>
      <c r="M58" s="71">
        <f t="shared" si="1"/>
        <v>9</v>
      </c>
    </row>
    <row r="59" spans="1:13" hidden="1">
      <c r="A59" s="27">
        <v>45861</v>
      </c>
      <c r="B59" s="73" t="s">
        <v>33</v>
      </c>
      <c r="C59" s="73"/>
      <c r="D59" s="73"/>
      <c r="E59" s="74"/>
      <c r="F59" s="71">
        <v>0</v>
      </c>
      <c r="G59" s="71">
        <v>113</v>
      </c>
      <c r="H59" s="71">
        <v>113</v>
      </c>
      <c r="I59" s="4">
        <v>23803</v>
      </c>
      <c r="J59" s="36">
        <v>0</v>
      </c>
      <c r="K59" s="36">
        <v>0</v>
      </c>
      <c r="L59" s="71">
        <f t="shared" si="0"/>
        <v>14234</v>
      </c>
      <c r="M59" s="71">
        <f t="shared" si="1"/>
        <v>9</v>
      </c>
    </row>
    <row r="60" spans="1:13" hidden="1">
      <c r="A60" s="27">
        <v>45862</v>
      </c>
      <c r="B60" s="73" t="s">
        <v>33</v>
      </c>
      <c r="C60" s="73"/>
      <c r="D60" s="73"/>
      <c r="E60" s="74"/>
      <c r="F60" s="71">
        <v>0</v>
      </c>
      <c r="G60" s="71">
        <v>9</v>
      </c>
      <c r="H60" s="71">
        <v>9</v>
      </c>
      <c r="I60" s="4">
        <v>23812</v>
      </c>
      <c r="J60" s="36">
        <v>0</v>
      </c>
      <c r="K60" s="36">
        <v>0</v>
      </c>
      <c r="L60" s="71">
        <f t="shared" si="0"/>
        <v>14234</v>
      </c>
      <c r="M60" s="71">
        <f t="shared" si="1"/>
        <v>9</v>
      </c>
    </row>
    <row r="61" spans="1:13" hidden="1">
      <c r="A61" s="27">
        <v>45863</v>
      </c>
      <c r="B61" s="73" t="s">
        <v>33</v>
      </c>
      <c r="C61" s="73"/>
      <c r="D61" s="73"/>
      <c r="E61" s="74"/>
      <c r="F61" s="71">
        <v>0</v>
      </c>
      <c r="G61" s="71">
        <v>9</v>
      </c>
      <c r="H61" s="71">
        <v>9</v>
      </c>
      <c r="I61" s="4">
        <v>23821</v>
      </c>
      <c r="J61" s="36">
        <v>0</v>
      </c>
      <c r="K61" s="36">
        <v>0</v>
      </c>
      <c r="L61" s="71">
        <f t="shared" si="0"/>
        <v>14234</v>
      </c>
      <c r="M61" s="71">
        <f t="shared" si="1"/>
        <v>9</v>
      </c>
    </row>
    <row r="62" spans="1:13" hidden="1">
      <c r="A62" s="27">
        <v>45864</v>
      </c>
      <c r="B62" s="73" t="s">
        <v>49</v>
      </c>
      <c r="C62" s="73"/>
      <c r="D62" s="73"/>
      <c r="E62" s="74"/>
      <c r="F62" s="71">
        <v>0</v>
      </c>
      <c r="G62" s="71">
        <v>1</v>
      </c>
      <c r="H62" s="71">
        <v>1</v>
      </c>
      <c r="I62" s="4">
        <v>23822</v>
      </c>
      <c r="J62" s="36">
        <v>0</v>
      </c>
      <c r="K62" s="36">
        <v>0</v>
      </c>
      <c r="L62" s="71">
        <f t="shared" si="0"/>
        <v>14234</v>
      </c>
      <c r="M62" s="71">
        <f t="shared" si="1"/>
        <v>9</v>
      </c>
    </row>
    <row r="63" spans="1:13" hidden="1">
      <c r="A63" s="27">
        <v>45864</v>
      </c>
      <c r="B63" s="73" t="s">
        <v>33</v>
      </c>
      <c r="C63" s="73"/>
      <c r="D63" s="73"/>
      <c r="E63" s="74"/>
      <c r="F63" s="71">
        <v>0</v>
      </c>
      <c r="G63" s="71">
        <v>5</v>
      </c>
      <c r="H63" s="71">
        <v>5</v>
      </c>
      <c r="I63" s="4">
        <v>23827</v>
      </c>
      <c r="J63" s="36">
        <v>0</v>
      </c>
      <c r="K63" s="36">
        <v>0</v>
      </c>
      <c r="L63" s="71">
        <f t="shared" si="0"/>
        <v>14234</v>
      </c>
      <c r="M63" s="71">
        <f t="shared" si="1"/>
        <v>9</v>
      </c>
    </row>
    <row r="64" spans="1:13" hidden="1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1">
        <v>425</v>
      </c>
      <c r="G64" s="28">
        <v>106</v>
      </c>
      <c r="H64" s="71">
        <v>531</v>
      </c>
      <c r="I64" s="4">
        <v>24358</v>
      </c>
      <c r="J64" s="36">
        <v>1050</v>
      </c>
      <c r="K64" s="36">
        <v>1</v>
      </c>
      <c r="L64" s="71">
        <f t="shared" si="0"/>
        <v>15284</v>
      </c>
      <c r="M64" s="71">
        <f t="shared" si="1"/>
        <v>10</v>
      </c>
    </row>
    <row r="65" spans="1:13" hidden="1">
      <c r="A65" s="27">
        <v>45865</v>
      </c>
      <c r="B65" s="73" t="s">
        <v>33</v>
      </c>
      <c r="C65" s="73"/>
      <c r="D65" s="73"/>
      <c r="E65" s="74"/>
      <c r="F65" s="71">
        <v>0</v>
      </c>
      <c r="G65" s="71">
        <v>29</v>
      </c>
      <c r="H65" s="71">
        <v>29</v>
      </c>
      <c r="I65" s="4">
        <v>24387</v>
      </c>
      <c r="J65" s="36">
        <v>0</v>
      </c>
      <c r="K65" s="36">
        <v>0</v>
      </c>
      <c r="L65" s="71">
        <f t="shared" si="0"/>
        <v>15284</v>
      </c>
      <c r="M65" s="71">
        <f t="shared" si="1"/>
        <v>10</v>
      </c>
    </row>
    <row r="66" spans="1:13" hidden="1">
      <c r="A66" s="27">
        <v>45866</v>
      </c>
      <c r="B66" s="73" t="s">
        <v>33</v>
      </c>
      <c r="C66" s="73"/>
      <c r="D66" s="73"/>
      <c r="E66" s="74"/>
      <c r="F66" s="71">
        <v>0</v>
      </c>
      <c r="G66" s="71">
        <v>9</v>
      </c>
      <c r="H66" s="71">
        <v>9</v>
      </c>
      <c r="I66" s="4">
        <v>24396</v>
      </c>
      <c r="J66" s="36">
        <v>0</v>
      </c>
      <c r="K66" s="36">
        <v>0</v>
      </c>
      <c r="L66" s="71">
        <f t="shared" si="0"/>
        <v>15284</v>
      </c>
      <c r="M66" s="71">
        <f t="shared" si="1"/>
        <v>10</v>
      </c>
    </row>
    <row r="67" spans="1:13" hidden="1">
      <c r="A67" s="27">
        <v>45867</v>
      </c>
      <c r="B67" s="73" t="s">
        <v>49</v>
      </c>
      <c r="C67" s="73"/>
      <c r="D67" s="73"/>
      <c r="E67" s="74"/>
      <c r="F67" s="71">
        <v>0</v>
      </c>
      <c r="G67" s="71">
        <v>1</v>
      </c>
      <c r="H67" s="71">
        <v>1</v>
      </c>
      <c r="I67" s="4">
        <v>24397</v>
      </c>
      <c r="J67" s="36">
        <v>0</v>
      </c>
      <c r="K67" s="36">
        <v>0</v>
      </c>
      <c r="L67" s="71">
        <f t="shared" si="0"/>
        <v>15284</v>
      </c>
      <c r="M67" s="71">
        <f t="shared" si="1"/>
        <v>10</v>
      </c>
    </row>
    <row r="68" spans="1:13" hidden="1">
      <c r="A68" s="27">
        <v>45867</v>
      </c>
      <c r="B68" s="73" t="s">
        <v>33</v>
      </c>
      <c r="C68" s="73"/>
      <c r="D68" s="73"/>
      <c r="E68" s="74"/>
      <c r="F68" s="71">
        <v>0</v>
      </c>
      <c r="G68" s="71">
        <v>10</v>
      </c>
      <c r="H68" s="71">
        <v>10</v>
      </c>
      <c r="I68" s="4">
        <v>24407</v>
      </c>
      <c r="J68" s="36">
        <v>0</v>
      </c>
      <c r="K68" s="36">
        <v>0</v>
      </c>
      <c r="L68" s="71">
        <f t="shared" si="0"/>
        <v>15284</v>
      </c>
      <c r="M68" s="71">
        <f t="shared" si="1"/>
        <v>10</v>
      </c>
    </row>
    <row r="69" spans="1:13" hidden="1">
      <c r="A69" s="27">
        <v>45868</v>
      </c>
      <c r="B69" s="73" t="s">
        <v>49</v>
      </c>
      <c r="C69" s="73"/>
      <c r="D69" s="73"/>
      <c r="E69" s="74"/>
      <c r="F69" s="71">
        <v>0</v>
      </c>
      <c r="G69" s="71">
        <v>1</v>
      </c>
      <c r="H69" s="71">
        <v>1</v>
      </c>
      <c r="I69" s="4">
        <v>24408</v>
      </c>
      <c r="J69" s="36">
        <v>0</v>
      </c>
      <c r="K69" s="36">
        <v>0</v>
      </c>
      <c r="L69" s="71">
        <f t="shared" ref="L69:L123" si="2">J69+L68</f>
        <v>15284</v>
      </c>
      <c r="M69" s="71">
        <f t="shared" ref="M69:M123" si="3">K69+M68</f>
        <v>10</v>
      </c>
    </row>
    <row r="70" spans="1:13" hidden="1">
      <c r="A70" s="27">
        <v>45868</v>
      </c>
      <c r="B70" s="73" t="s">
        <v>33</v>
      </c>
      <c r="C70" s="73"/>
      <c r="D70" s="73"/>
      <c r="E70" s="74"/>
      <c r="F70" s="71">
        <v>0</v>
      </c>
      <c r="G70" s="71">
        <v>13</v>
      </c>
      <c r="H70" s="71">
        <v>13</v>
      </c>
      <c r="I70" s="4">
        <v>24421</v>
      </c>
      <c r="J70" s="36">
        <v>0</v>
      </c>
      <c r="K70" s="36">
        <v>0</v>
      </c>
      <c r="L70" s="71">
        <f t="shared" si="2"/>
        <v>15284</v>
      </c>
      <c r="M70" s="71">
        <f t="shared" si="3"/>
        <v>10</v>
      </c>
    </row>
    <row r="71" spans="1:13" hidden="1">
      <c r="A71" s="27">
        <v>45869</v>
      </c>
      <c r="B71" s="73" t="s">
        <v>33</v>
      </c>
      <c r="C71" s="73"/>
      <c r="D71" s="73"/>
      <c r="E71" s="74"/>
      <c r="F71" s="71">
        <v>0</v>
      </c>
      <c r="G71" s="71">
        <v>8</v>
      </c>
      <c r="H71" s="71">
        <v>8</v>
      </c>
      <c r="I71" s="4">
        <v>24429</v>
      </c>
      <c r="J71" s="36">
        <v>0</v>
      </c>
      <c r="K71" s="36">
        <v>0</v>
      </c>
      <c r="L71" s="71">
        <f t="shared" si="2"/>
        <v>15284</v>
      </c>
      <c r="M71" s="71">
        <f t="shared" si="3"/>
        <v>10</v>
      </c>
    </row>
    <row r="72" spans="1:13" hidden="1">
      <c r="A72" s="27">
        <v>45870</v>
      </c>
      <c r="B72" s="73" t="s">
        <v>33</v>
      </c>
      <c r="C72" s="73"/>
      <c r="D72" s="73"/>
      <c r="E72" s="74"/>
      <c r="F72" s="71">
        <v>0</v>
      </c>
      <c r="G72" s="71">
        <v>18</v>
      </c>
      <c r="H72" s="71">
        <v>18</v>
      </c>
      <c r="I72" s="4">
        <v>24447</v>
      </c>
      <c r="J72" s="36">
        <v>0</v>
      </c>
      <c r="K72" s="36">
        <v>0</v>
      </c>
      <c r="L72" s="71">
        <f t="shared" si="2"/>
        <v>15284</v>
      </c>
      <c r="M72" s="71">
        <f t="shared" si="3"/>
        <v>10</v>
      </c>
    </row>
    <row r="73" spans="1:13" hidden="1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1">
        <v>158</v>
      </c>
      <c r="G73" s="28">
        <v>40</v>
      </c>
      <c r="H73" s="71">
        <v>198</v>
      </c>
      <c r="I73" s="4">
        <v>24645</v>
      </c>
      <c r="J73" s="36">
        <v>516</v>
      </c>
      <c r="K73" s="36">
        <v>1</v>
      </c>
      <c r="L73" s="71">
        <f t="shared" si="2"/>
        <v>15800</v>
      </c>
      <c r="M73" s="71">
        <f t="shared" si="3"/>
        <v>11</v>
      </c>
    </row>
    <row r="74" spans="1:13" hidden="1">
      <c r="A74" s="27">
        <v>45871</v>
      </c>
      <c r="B74" s="73" t="s">
        <v>33</v>
      </c>
      <c r="C74" s="73"/>
      <c r="D74" s="73"/>
      <c r="E74" s="74"/>
      <c r="F74" s="71">
        <v>0</v>
      </c>
      <c r="G74" s="71">
        <v>9</v>
      </c>
      <c r="H74" s="71">
        <v>9</v>
      </c>
      <c r="I74" s="4">
        <v>24654</v>
      </c>
      <c r="J74" s="36">
        <v>0</v>
      </c>
      <c r="K74" s="36">
        <v>0</v>
      </c>
      <c r="L74" s="71">
        <f t="shared" si="2"/>
        <v>15800</v>
      </c>
      <c r="M74" s="71">
        <f t="shared" si="3"/>
        <v>11</v>
      </c>
    </row>
    <row r="75" spans="1:13" hidden="1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1">
        <v>158</v>
      </c>
      <c r="G75" s="28">
        <v>40</v>
      </c>
      <c r="H75" s="71">
        <v>198</v>
      </c>
      <c r="I75" s="4">
        <v>24852</v>
      </c>
      <c r="J75" s="36">
        <v>516</v>
      </c>
      <c r="K75" s="36">
        <v>1</v>
      </c>
      <c r="L75" s="71">
        <f t="shared" si="2"/>
        <v>16316</v>
      </c>
      <c r="M75" s="71">
        <f t="shared" si="3"/>
        <v>12</v>
      </c>
    </row>
    <row r="76" spans="1:13" hidden="1">
      <c r="A76" s="27">
        <v>45872</v>
      </c>
      <c r="B76" s="73" t="s">
        <v>33</v>
      </c>
      <c r="C76" s="73"/>
      <c r="D76" s="73"/>
      <c r="E76" s="74"/>
      <c r="F76" s="71">
        <v>0</v>
      </c>
      <c r="G76" s="71">
        <v>70</v>
      </c>
      <c r="H76" s="71">
        <v>70</v>
      </c>
      <c r="I76" s="4">
        <v>24922</v>
      </c>
      <c r="J76" s="36">
        <v>0</v>
      </c>
      <c r="K76" s="36">
        <v>0</v>
      </c>
      <c r="L76" s="71">
        <f t="shared" si="2"/>
        <v>16316</v>
      </c>
      <c r="M76" s="71">
        <f t="shared" si="3"/>
        <v>12</v>
      </c>
    </row>
    <row r="77" spans="1:13" hidden="1">
      <c r="A77" s="27">
        <v>45873</v>
      </c>
      <c r="B77" s="73" t="s">
        <v>33</v>
      </c>
      <c r="C77" s="73"/>
      <c r="D77" s="73"/>
      <c r="E77" s="74"/>
      <c r="F77" s="71">
        <v>0</v>
      </c>
      <c r="G77" s="71">
        <v>49</v>
      </c>
      <c r="H77" s="71">
        <v>49</v>
      </c>
      <c r="I77" s="4">
        <v>24971</v>
      </c>
      <c r="J77" s="36">
        <v>0</v>
      </c>
      <c r="K77" s="36">
        <v>0</v>
      </c>
      <c r="L77" s="71">
        <f t="shared" si="2"/>
        <v>16316</v>
      </c>
      <c r="M77" s="71">
        <f t="shared" si="3"/>
        <v>12</v>
      </c>
    </row>
    <row r="78" spans="1:13" hidden="1">
      <c r="A78" s="27">
        <v>45874</v>
      </c>
      <c r="B78" s="73" t="s">
        <v>33</v>
      </c>
      <c r="C78" s="73"/>
      <c r="D78" s="73"/>
      <c r="E78" s="74"/>
      <c r="F78" s="71">
        <v>0</v>
      </c>
      <c r="G78" s="71">
        <v>6</v>
      </c>
      <c r="H78" s="71">
        <v>6</v>
      </c>
      <c r="I78" s="4">
        <v>24977</v>
      </c>
      <c r="J78" s="36">
        <v>0</v>
      </c>
      <c r="K78" s="36">
        <v>0</v>
      </c>
      <c r="L78" s="71">
        <f t="shared" si="2"/>
        <v>16316</v>
      </c>
      <c r="M78" s="71">
        <f t="shared" si="3"/>
        <v>12</v>
      </c>
    </row>
    <row r="79" spans="1:13" hidden="1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1">
        <v>308</v>
      </c>
      <c r="G79" s="28">
        <v>77</v>
      </c>
      <c r="H79" s="71">
        <v>385</v>
      </c>
      <c r="I79" s="4">
        <v>25362</v>
      </c>
      <c r="J79" s="36">
        <v>1016</v>
      </c>
      <c r="K79" s="36">
        <v>1</v>
      </c>
      <c r="L79" s="71">
        <f t="shared" si="2"/>
        <v>17332</v>
      </c>
      <c r="M79" s="71">
        <f t="shared" si="3"/>
        <v>13</v>
      </c>
    </row>
    <row r="80" spans="1:13" hidden="1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1">
        <v>308</v>
      </c>
      <c r="G80" s="28">
        <v>77</v>
      </c>
      <c r="H80" s="71">
        <v>385</v>
      </c>
      <c r="I80" s="4">
        <v>25747</v>
      </c>
      <c r="J80" s="36">
        <v>1016</v>
      </c>
      <c r="K80" s="36">
        <v>1</v>
      </c>
      <c r="L80" s="71">
        <f t="shared" si="2"/>
        <v>18348</v>
      </c>
      <c r="M80" s="71">
        <f t="shared" si="3"/>
        <v>14</v>
      </c>
    </row>
    <row r="81" spans="1:13" hidden="1">
      <c r="A81" s="27">
        <v>45875</v>
      </c>
      <c r="B81" s="73" t="s">
        <v>33</v>
      </c>
      <c r="C81" s="73"/>
      <c r="D81" s="73"/>
      <c r="E81" s="74"/>
      <c r="F81" s="71">
        <v>0</v>
      </c>
      <c r="G81" s="71">
        <v>10</v>
      </c>
      <c r="H81" s="71">
        <v>10</v>
      </c>
      <c r="I81" s="4">
        <v>25757</v>
      </c>
      <c r="J81" s="36">
        <v>0</v>
      </c>
      <c r="K81" s="36">
        <v>0</v>
      </c>
      <c r="L81" s="71">
        <f t="shared" si="2"/>
        <v>18348</v>
      </c>
      <c r="M81" s="71">
        <f t="shared" si="3"/>
        <v>14</v>
      </c>
    </row>
    <row r="82" spans="1:13" hidden="1">
      <c r="A82" s="27">
        <v>45876</v>
      </c>
      <c r="B82" s="73" t="s">
        <v>33</v>
      </c>
      <c r="C82" s="73"/>
      <c r="D82" s="73"/>
      <c r="E82" s="74"/>
      <c r="F82" s="71">
        <v>0</v>
      </c>
      <c r="G82" s="71">
        <v>106</v>
      </c>
      <c r="H82" s="71">
        <v>106</v>
      </c>
      <c r="I82" s="4">
        <v>25863</v>
      </c>
      <c r="J82" s="36">
        <v>0</v>
      </c>
      <c r="K82" s="36">
        <v>0</v>
      </c>
      <c r="L82" s="71">
        <f t="shared" si="2"/>
        <v>18348</v>
      </c>
      <c r="M82" s="71">
        <f t="shared" si="3"/>
        <v>14</v>
      </c>
    </row>
    <row r="83" spans="1:13" hidden="1">
      <c r="A83" s="29">
        <v>45877</v>
      </c>
      <c r="B83" s="75" t="s">
        <v>33</v>
      </c>
      <c r="C83" s="75"/>
      <c r="D83" s="75"/>
      <c r="E83" s="76"/>
      <c r="F83" s="72">
        <v>0</v>
      </c>
      <c r="G83" s="72">
        <v>6</v>
      </c>
      <c r="H83" s="72">
        <v>6</v>
      </c>
      <c r="I83" s="30">
        <v>25869</v>
      </c>
      <c r="J83" s="40">
        <v>0</v>
      </c>
      <c r="K83" s="40">
        <v>0</v>
      </c>
      <c r="L83" s="71">
        <f t="shared" si="2"/>
        <v>18348</v>
      </c>
      <c r="M83" s="71">
        <f t="shared" si="3"/>
        <v>14</v>
      </c>
    </row>
    <row r="84" spans="1:13" hidden="1">
      <c r="A84" s="27">
        <v>45878</v>
      </c>
      <c r="B84" s="73" t="s">
        <v>33</v>
      </c>
      <c r="C84" s="73"/>
      <c r="D84" s="73"/>
      <c r="E84" s="74"/>
      <c r="F84" s="71">
        <v>0</v>
      </c>
      <c r="G84" s="71">
        <v>8</v>
      </c>
      <c r="H84" s="71">
        <v>8</v>
      </c>
      <c r="I84" s="4">
        <v>25878</v>
      </c>
      <c r="J84" s="71">
        <v>0</v>
      </c>
      <c r="K84" s="71">
        <v>0</v>
      </c>
      <c r="L84" s="71">
        <f t="shared" si="2"/>
        <v>18348</v>
      </c>
      <c r="M84" s="71">
        <f t="shared" si="3"/>
        <v>14</v>
      </c>
    </row>
    <row r="85" spans="1:13" hidden="1">
      <c r="A85" s="27">
        <v>45879</v>
      </c>
      <c r="B85" s="73" t="s">
        <v>49</v>
      </c>
      <c r="C85" s="73"/>
      <c r="D85" s="73"/>
      <c r="E85" s="74"/>
      <c r="F85" s="71">
        <v>0</v>
      </c>
      <c r="G85" s="71">
        <v>1</v>
      </c>
      <c r="H85" s="71">
        <v>1</v>
      </c>
      <c r="I85" s="4">
        <v>25879</v>
      </c>
      <c r="J85" s="71">
        <v>0</v>
      </c>
      <c r="K85" s="71">
        <v>0</v>
      </c>
      <c r="L85" s="71">
        <f t="shared" si="2"/>
        <v>18348</v>
      </c>
      <c r="M85" s="71">
        <f t="shared" si="3"/>
        <v>14</v>
      </c>
    </row>
    <row r="86" spans="1:13" hidden="1">
      <c r="A86" s="27">
        <v>45879</v>
      </c>
      <c r="B86" s="73" t="s">
        <v>33</v>
      </c>
      <c r="C86" s="73"/>
      <c r="D86" s="73"/>
      <c r="E86" s="74"/>
      <c r="F86" s="71">
        <v>0</v>
      </c>
      <c r="G86" s="71">
        <v>21</v>
      </c>
      <c r="H86" s="71">
        <v>21</v>
      </c>
      <c r="I86" s="4">
        <v>25900</v>
      </c>
      <c r="J86" s="71">
        <v>0</v>
      </c>
      <c r="K86" s="71">
        <v>0</v>
      </c>
      <c r="L86" s="71">
        <f t="shared" si="2"/>
        <v>18348</v>
      </c>
      <c r="M86" s="71">
        <f t="shared" si="3"/>
        <v>14</v>
      </c>
    </row>
    <row r="87" spans="1:13" hidden="1">
      <c r="A87" s="27">
        <v>45880</v>
      </c>
      <c r="B87" s="73" t="s">
        <v>33</v>
      </c>
      <c r="C87" s="73"/>
      <c r="D87" s="73"/>
      <c r="E87" s="74"/>
      <c r="F87" s="71">
        <v>0</v>
      </c>
      <c r="G87" s="71">
        <v>9</v>
      </c>
      <c r="H87" s="71">
        <v>9</v>
      </c>
      <c r="I87" s="4">
        <v>25909</v>
      </c>
      <c r="J87" s="71">
        <v>0</v>
      </c>
      <c r="K87" s="71">
        <v>0</v>
      </c>
      <c r="L87" s="71">
        <f t="shared" si="2"/>
        <v>18348</v>
      </c>
      <c r="M87" s="71">
        <f t="shared" si="3"/>
        <v>14</v>
      </c>
    </row>
    <row r="88" spans="1:13" hidden="1">
      <c r="A88" s="27">
        <v>45881</v>
      </c>
      <c r="B88" s="73" t="s">
        <v>33</v>
      </c>
      <c r="C88" s="73"/>
      <c r="D88" s="73"/>
      <c r="E88" s="74"/>
      <c r="F88" s="71">
        <v>0</v>
      </c>
      <c r="G88" s="71">
        <v>9</v>
      </c>
      <c r="H88" s="71">
        <v>9</v>
      </c>
      <c r="I88" s="4">
        <v>25918</v>
      </c>
      <c r="J88" s="71">
        <v>0</v>
      </c>
      <c r="K88" s="71">
        <v>0</v>
      </c>
      <c r="L88" s="71">
        <f t="shared" si="2"/>
        <v>18348</v>
      </c>
      <c r="M88" s="71">
        <f t="shared" si="3"/>
        <v>14</v>
      </c>
    </row>
    <row r="89" spans="1:13" hidden="1">
      <c r="A89" s="27">
        <v>45882</v>
      </c>
      <c r="B89" s="73" t="s">
        <v>33</v>
      </c>
      <c r="C89" s="73"/>
      <c r="D89" s="73"/>
      <c r="E89" s="74"/>
      <c r="F89" s="71">
        <v>0</v>
      </c>
      <c r="G89" s="71">
        <v>59</v>
      </c>
      <c r="H89" s="71">
        <v>59</v>
      </c>
      <c r="I89" s="4">
        <v>25977</v>
      </c>
      <c r="J89" s="71">
        <v>0</v>
      </c>
      <c r="K89" s="71">
        <v>0</v>
      </c>
      <c r="L89" s="71">
        <f t="shared" si="2"/>
        <v>18348</v>
      </c>
      <c r="M89" s="71">
        <f t="shared" si="3"/>
        <v>14</v>
      </c>
    </row>
    <row r="90" spans="1:13" hidden="1">
      <c r="A90" s="27">
        <v>45883</v>
      </c>
      <c r="B90" s="73" t="s">
        <v>33</v>
      </c>
      <c r="C90" s="73"/>
      <c r="D90" s="73"/>
      <c r="E90" s="74"/>
      <c r="F90" s="71">
        <v>0</v>
      </c>
      <c r="G90" s="71">
        <v>61</v>
      </c>
      <c r="H90" s="71">
        <v>61</v>
      </c>
      <c r="I90" s="4">
        <v>26038</v>
      </c>
      <c r="J90" s="71">
        <v>0</v>
      </c>
      <c r="K90" s="71">
        <v>0</v>
      </c>
      <c r="L90" s="71">
        <f t="shared" si="2"/>
        <v>18348</v>
      </c>
      <c r="M90" s="71">
        <f t="shared" si="3"/>
        <v>14</v>
      </c>
    </row>
    <row r="91" spans="1:13" hidden="1">
      <c r="A91" s="27">
        <v>45884</v>
      </c>
      <c r="B91" s="73" t="s">
        <v>33</v>
      </c>
      <c r="C91" s="73"/>
      <c r="D91" s="73"/>
      <c r="E91" s="74"/>
      <c r="F91" s="71">
        <v>0</v>
      </c>
      <c r="G91" s="71">
        <v>8</v>
      </c>
      <c r="H91" s="71">
        <v>8</v>
      </c>
      <c r="I91" s="4">
        <v>26046</v>
      </c>
      <c r="J91" s="71">
        <v>0</v>
      </c>
      <c r="K91" s="71">
        <v>0</v>
      </c>
      <c r="L91" s="71">
        <f t="shared" si="2"/>
        <v>18348</v>
      </c>
      <c r="M91" s="71">
        <f t="shared" si="3"/>
        <v>14</v>
      </c>
    </row>
    <row r="92" spans="1:13" hidden="1">
      <c r="A92" s="27">
        <v>45885</v>
      </c>
      <c r="B92" s="73" t="s">
        <v>33</v>
      </c>
      <c r="C92" s="73"/>
      <c r="D92" s="73"/>
      <c r="E92" s="74"/>
      <c r="F92" s="71">
        <v>0</v>
      </c>
      <c r="G92" s="71">
        <v>9</v>
      </c>
      <c r="H92" s="71">
        <v>9</v>
      </c>
      <c r="I92" s="4">
        <v>26055</v>
      </c>
      <c r="J92" s="71">
        <v>0</v>
      </c>
      <c r="K92" s="71">
        <v>0</v>
      </c>
      <c r="L92" s="71">
        <f t="shared" si="2"/>
        <v>18348</v>
      </c>
      <c r="M92" s="71">
        <f t="shared" si="3"/>
        <v>14</v>
      </c>
    </row>
    <row r="93" spans="1:13" hidden="1">
      <c r="A93" s="29">
        <v>45886</v>
      </c>
      <c r="B93" s="75" t="s">
        <v>33</v>
      </c>
      <c r="C93" s="75"/>
      <c r="D93" s="75"/>
      <c r="E93" s="76"/>
      <c r="F93" s="72">
        <v>0</v>
      </c>
      <c r="G93" s="72">
        <v>27</v>
      </c>
      <c r="H93" s="72">
        <v>27</v>
      </c>
      <c r="I93" s="30">
        <v>26082</v>
      </c>
      <c r="J93" s="72">
        <v>0</v>
      </c>
      <c r="K93" s="72">
        <v>0</v>
      </c>
      <c r="L93" s="71">
        <f t="shared" si="2"/>
        <v>18348</v>
      </c>
      <c r="M93" s="71">
        <f t="shared" si="3"/>
        <v>14</v>
      </c>
    </row>
    <row r="94" spans="1:13" hidden="1">
      <c r="A94" s="27">
        <v>45887</v>
      </c>
      <c r="B94" s="73" t="s">
        <v>33</v>
      </c>
      <c r="C94" s="73"/>
      <c r="D94" s="73"/>
      <c r="E94" s="74"/>
      <c r="F94" s="71">
        <v>0</v>
      </c>
      <c r="G94" s="71">
        <v>9</v>
      </c>
      <c r="H94" s="71">
        <v>9</v>
      </c>
      <c r="I94" s="4">
        <v>28598</v>
      </c>
      <c r="J94" s="71">
        <v>0</v>
      </c>
      <c r="K94" s="71">
        <v>0</v>
      </c>
      <c r="L94" s="71">
        <f t="shared" si="2"/>
        <v>18348</v>
      </c>
      <c r="M94" s="71">
        <f t="shared" si="3"/>
        <v>14</v>
      </c>
    </row>
    <row r="95" spans="1:13" hidden="1">
      <c r="A95" s="27">
        <v>45888</v>
      </c>
      <c r="B95" s="73" t="s">
        <v>33</v>
      </c>
      <c r="C95" s="73"/>
      <c r="D95" s="73"/>
      <c r="E95" s="74"/>
      <c r="F95" s="71">
        <v>0</v>
      </c>
      <c r="G95" s="71">
        <v>8</v>
      </c>
      <c r="H95" s="71">
        <v>8</v>
      </c>
      <c r="I95" s="4">
        <v>28606</v>
      </c>
      <c r="J95" s="71">
        <v>0</v>
      </c>
      <c r="K95" s="71">
        <v>0</v>
      </c>
      <c r="L95" s="71">
        <f t="shared" si="2"/>
        <v>18348</v>
      </c>
      <c r="M95" s="71">
        <f t="shared" si="3"/>
        <v>14</v>
      </c>
    </row>
    <row r="96" spans="1:13" hidden="1">
      <c r="A96" s="27">
        <v>45889</v>
      </c>
      <c r="B96" s="73" t="s">
        <v>33</v>
      </c>
      <c r="C96" s="73"/>
      <c r="D96" s="73"/>
      <c r="E96" s="74"/>
      <c r="F96" s="71">
        <v>0</v>
      </c>
      <c r="G96" s="71">
        <v>18</v>
      </c>
      <c r="H96" s="71">
        <v>18</v>
      </c>
      <c r="I96" s="4">
        <v>28624</v>
      </c>
      <c r="J96" s="71">
        <v>0</v>
      </c>
      <c r="K96" s="71">
        <v>0</v>
      </c>
      <c r="L96" s="71">
        <f t="shared" si="2"/>
        <v>18348</v>
      </c>
      <c r="M96" s="71">
        <f t="shared" si="3"/>
        <v>14</v>
      </c>
    </row>
    <row r="97" spans="1:13" hidden="1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1">
        <v>389</v>
      </c>
      <c r="G97" s="28">
        <v>147</v>
      </c>
      <c r="H97" s="71">
        <v>536</v>
      </c>
      <c r="I97" s="4">
        <v>29160</v>
      </c>
      <c r="J97" s="4">
        <v>1178</v>
      </c>
      <c r="K97" s="71">
        <v>1</v>
      </c>
      <c r="L97" s="71">
        <f t="shared" si="2"/>
        <v>19526</v>
      </c>
      <c r="M97" s="71">
        <f t="shared" si="3"/>
        <v>15</v>
      </c>
    </row>
    <row r="98" spans="1:13" hidden="1">
      <c r="A98" s="27">
        <v>45890</v>
      </c>
      <c r="B98" s="73" t="s">
        <v>33</v>
      </c>
      <c r="C98" s="73"/>
      <c r="D98" s="73"/>
      <c r="E98" s="74"/>
      <c r="F98" s="71">
        <v>0</v>
      </c>
      <c r="G98" s="71">
        <v>8</v>
      </c>
      <c r="H98" s="71">
        <v>8</v>
      </c>
      <c r="I98" s="4">
        <v>29168</v>
      </c>
      <c r="J98" s="71">
        <v>0</v>
      </c>
      <c r="K98" s="71">
        <v>0</v>
      </c>
      <c r="L98" s="71">
        <f t="shared" si="2"/>
        <v>19526</v>
      </c>
      <c r="M98" s="71">
        <f t="shared" si="3"/>
        <v>15</v>
      </c>
    </row>
    <row r="99" spans="1:13" hidden="1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1">
        <v>389</v>
      </c>
      <c r="G99" s="28">
        <v>147</v>
      </c>
      <c r="H99" s="71">
        <v>536</v>
      </c>
      <c r="I99" s="4">
        <v>29704</v>
      </c>
      <c r="J99" s="4">
        <v>1178</v>
      </c>
      <c r="K99" s="71">
        <v>1</v>
      </c>
      <c r="L99" s="71">
        <f t="shared" si="2"/>
        <v>20704</v>
      </c>
      <c r="M99" s="71">
        <f t="shared" si="3"/>
        <v>16</v>
      </c>
    </row>
    <row r="100" spans="1:13" hidden="1">
      <c r="A100" s="27">
        <v>45891</v>
      </c>
      <c r="B100" s="73" t="s">
        <v>33</v>
      </c>
      <c r="C100" s="73"/>
      <c r="D100" s="73"/>
      <c r="E100" s="74"/>
      <c r="F100" s="71">
        <v>0</v>
      </c>
      <c r="G100" s="71">
        <v>57</v>
      </c>
      <c r="H100" s="71">
        <v>57</v>
      </c>
      <c r="I100" s="4">
        <v>29761</v>
      </c>
      <c r="J100" s="71">
        <v>0</v>
      </c>
      <c r="K100" s="71">
        <v>0</v>
      </c>
      <c r="L100" s="71">
        <f t="shared" si="2"/>
        <v>20704</v>
      </c>
      <c r="M100" s="71">
        <f t="shared" si="3"/>
        <v>16</v>
      </c>
    </row>
    <row r="101" spans="1:13" hidden="1">
      <c r="A101" s="27">
        <v>45892</v>
      </c>
      <c r="B101" s="73" t="s">
        <v>33</v>
      </c>
      <c r="C101" s="73"/>
      <c r="D101" s="73"/>
      <c r="E101" s="74"/>
      <c r="F101" s="71">
        <v>0</v>
      </c>
      <c r="G101" s="71">
        <v>6</v>
      </c>
      <c r="H101" s="71">
        <v>6</v>
      </c>
      <c r="I101" s="4">
        <v>29767</v>
      </c>
      <c r="J101" s="71">
        <v>0</v>
      </c>
      <c r="K101" s="71">
        <v>0</v>
      </c>
      <c r="L101" s="71">
        <f t="shared" si="2"/>
        <v>20704</v>
      </c>
      <c r="M101" s="71">
        <f t="shared" si="3"/>
        <v>16</v>
      </c>
    </row>
    <row r="102" spans="1:13" hidden="1">
      <c r="A102" s="29">
        <v>45893</v>
      </c>
      <c r="B102" s="75" t="s">
        <v>33</v>
      </c>
      <c r="C102" s="75"/>
      <c r="D102" s="75"/>
      <c r="E102" s="76"/>
      <c r="F102" s="72">
        <v>0</v>
      </c>
      <c r="G102" s="72">
        <v>31</v>
      </c>
      <c r="H102" s="72">
        <v>31</v>
      </c>
      <c r="I102" s="30">
        <v>29798</v>
      </c>
      <c r="J102" s="72">
        <v>0</v>
      </c>
      <c r="K102" s="72">
        <v>0</v>
      </c>
      <c r="L102" s="71">
        <f t="shared" si="2"/>
        <v>20704</v>
      </c>
      <c r="M102" s="71">
        <f t="shared" si="3"/>
        <v>16</v>
      </c>
    </row>
    <row r="103" spans="1:13" hidden="1">
      <c r="A103" s="27">
        <v>45894</v>
      </c>
      <c r="B103" s="73" t="s">
        <v>33</v>
      </c>
      <c r="C103" s="73"/>
      <c r="D103" s="73"/>
      <c r="E103" s="74"/>
      <c r="F103" s="71">
        <v>0</v>
      </c>
      <c r="G103" s="71">
        <v>56</v>
      </c>
      <c r="H103" s="71">
        <v>56</v>
      </c>
      <c r="I103" s="4">
        <v>31355</v>
      </c>
      <c r="J103" s="71">
        <v>0</v>
      </c>
      <c r="K103" s="71">
        <v>0</v>
      </c>
      <c r="L103" s="71">
        <f t="shared" si="2"/>
        <v>20704</v>
      </c>
      <c r="M103" s="71">
        <f t="shared" si="3"/>
        <v>16</v>
      </c>
    </row>
    <row r="104" spans="1:13" hidden="1">
      <c r="A104" s="27">
        <v>45895</v>
      </c>
      <c r="B104" s="73" t="s">
        <v>33</v>
      </c>
      <c r="C104" s="73"/>
      <c r="D104" s="73"/>
      <c r="E104" s="74"/>
      <c r="F104" s="71">
        <v>0</v>
      </c>
      <c r="G104" s="71">
        <v>8</v>
      </c>
      <c r="H104" s="71">
        <v>8</v>
      </c>
      <c r="I104" s="4">
        <v>31363</v>
      </c>
      <c r="J104" s="71">
        <v>0</v>
      </c>
      <c r="K104" s="71">
        <v>0</v>
      </c>
      <c r="L104" s="71">
        <f t="shared" si="2"/>
        <v>20704</v>
      </c>
      <c r="M104" s="71">
        <f t="shared" si="3"/>
        <v>16</v>
      </c>
    </row>
    <row r="105" spans="1:13" hidden="1">
      <c r="A105" s="27">
        <v>45896</v>
      </c>
      <c r="B105" s="73" t="s">
        <v>49</v>
      </c>
      <c r="C105" s="73"/>
      <c r="D105" s="73"/>
      <c r="E105" s="74"/>
      <c r="F105" s="71">
        <v>0</v>
      </c>
      <c r="G105" s="71">
        <v>1</v>
      </c>
      <c r="H105" s="71">
        <v>1</v>
      </c>
      <c r="I105" s="4">
        <v>31364</v>
      </c>
      <c r="J105" s="71">
        <v>0</v>
      </c>
      <c r="K105" s="71">
        <v>0</v>
      </c>
      <c r="L105" s="71">
        <f t="shared" si="2"/>
        <v>20704</v>
      </c>
      <c r="M105" s="71">
        <f t="shared" si="3"/>
        <v>16</v>
      </c>
    </row>
    <row r="106" spans="1:13" hidden="1">
      <c r="A106" s="27">
        <v>45896</v>
      </c>
      <c r="B106" s="73" t="s">
        <v>33</v>
      </c>
      <c r="C106" s="73"/>
      <c r="D106" s="73"/>
      <c r="E106" s="74"/>
      <c r="F106" s="71">
        <v>0</v>
      </c>
      <c r="G106" s="71">
        <v>11</v>
      </c>
      <c r="H106" s="71">
        <v>11</v>
      </c>
      <c r="I106" s="4">
        <v>31375</v>
      </c>
      <c r="J106" s="71">
        <v>0</v>
      </c>
      <c r="K106" s="71">
        <v>0</v>
      </c>
      <c r="L106" s="71">
        <f t="shared" si="2"/>
        <v>20704</v>
      </c>
      <c r="M106" s="71">
        <f t="shared" si="3"/>
        <v>16</v>
      </c>
    </row>
    <row r="107" spans="1:13" hidden="1">
      <c r="A107" s="27">
        <v>45897</v>
      </c>
      <c r="B107" s="73" t="s">
        <v>49</v>
      </c>
      <c r="C107" s="73"/>
      <c r="D107" s="73"/>
      <c r="E107" s="74"/>
      <c r="F107" s="71">
        <v>0</v>
      </c>
      <c r="G107" s="71">
        <v>1</v>
      </c>
      <c r="H107" s="71">
        <v>1</v>
      </c>
      <c r="I107" s="4">
        <v>31376</v>
      </c>
      <c r="J107" s="71">
        <v>0</v>
      </c>
      <c r="K107" s="71">
        <v>0</v>
      </c>
      <c r="L107" s="71">
        <f t="shared" si="2"/>
        <v>20704</v>
      </c>
      <c r="M107" s="71">
        <f t="shared" si="3"/>
        <v>16</v>
      </c>
    </row>
    <row r="108" spans="1:13" hidden="1">
      <c r="A108" s="27">
        <v>45897</v>
      </c>
      <c r="B108" s="73" t="s">
        <v>33</v>
      </c>
      <c r="C108" s="73"/>
      <c r="D108" s="73"/>
      <c r="E108" s="74"/>
      <c r="F108" s="71">
        <v>0</v>
      </c>
      <c r="G108" s="71">
        <v>17</v>
      </c>
      <c r="H108" s="71">
        <v>17</v>
      </c>
      <c r="I108" s="4">
        <v>31393</v>
      </c>
      <c r="J108" s="71">
        <v>0</v>
      </c>
      <c r="K108" s="71">
        <v>0</v>
      </c>
      <c r="L108" s="71">
        <f t="shared" si="2"/>
        <v>20704</v>
      </c>
      <c r="M108" s="71">
        <f t="shared" si="3"/>
        <v>16</v>
      </c>
    </row>
    <row r="109" spans="1:13" hidden="1">
      <c r="A109" s="27">
        <v>45898</v>
      </c>
      <c r="B109" s="73" t="s">
        <v>33</v>
      </c>
      <c r="C109" s="73"/>
      <c r="D109" s="73"/>
      <c r="E109" s="74"/>
      <c r="F109" s="71">
        <v>0</v>
      </c>
      <c r="G109" s="71">
        <v>7</v>
      </c>
      <c r="H109" s="71">
        <v>7</v>
      </c>
      <c r="I109" s="4">
        <v>31400</v>
      </c>
      <c r="J109" s="71">
        <v>0</v>
      </c>
      <c r="K109" s="71">
        <v>0</v>
      </c>
      <c r="L109" s="71">
        <f t="shared" si="2"/>
        <v>20704</v>
      </c>
      <c r="M109" s="71">
        <f t="shared" si="3"/>
        <v>16</v>
      </c>
    </row>
    <row r="110" spans="1:13" hidden="1">
      <c r="A110" s="27">
        <v>45899</v>
      </c>
      <c r="B110" s="73" t="s">
        <v>33</v>
      </c>
      <c r="C110" s="73"/>
      <c r="D110" s="73"/>
      <c r="E110" s="74"/>
      <c r="F110" s="71">
        <v>0</v>
      </c>
      <c r="G110" s="71">
        <v>12</v>
      </c>
      <c r="H110" s="71">
        <v>12</v>
      </c>
      <c r="I110" s="4">
        <v>31412</v>
      </c>
      <c r="J110" s="71">
        <v>0</v>
      </c>
      <c r="K110" s="71">
        <v>0</v>
      </c>
      <c r="L110" s="71">
        <f t="shared" si="2"/>
        <v>20704</v>
      </c>
      <c r="M110" s="71">
        <f t="shared" si="3"/>
        <v>16</v>
      </c>
    </row>
    <row r="111" spans="1:13" hidden="1">
      <c r="A111" s="27">
        <v>45900</v>
      </c>
      <c r="B111" s="73" t="s">
        <v>49</v>
      </c>
      <c r="C111" s="73"/>
      <c r="D111" s="73"/>
      <c r="E111" s="74"/>
      <c r="F111" s="71">
        <v>0</v>
      </c>
      <c r="G111" s="71">
        <v>1</v>
      </c>
      <c r="H111" s="71">
        <v>1</v>
      </c>
      <c r="I111" s="4">
        <v>31413</v>
      </c>
      <c r="J111" s="71">
        <v>0</v>
      </c>
      <c r="K111" s="71">
        <v>0</v>
      </c>
      <c r="L111" s="71">
        <f t="shared" si="2"/>
        <v>20704</v>
      </c>
      <c r="M111" s="71">
        <f t="shared" si="3"/>
        <v>16</v>
      </c>
    </row>
    <row r="112" spans="1:13" hidden="1">
      <c r="A112" s="27">
        <v>45900</v>
      </c>
      <c r="B112" s="73" t="s">
        <v>33</v>
      </c>
      <c r="C112" s="73"/>
      <c r="D112" s="73"/>
      <c r="E112" s="74"/>
      <c r="F112" s="71">
        <v>0</v>
      </c>
      <c r="G112" s="71">
        <v>20</v>
      </c>
      <c r="H112" s="71">
        <v>20</v>
      </c>
      <c r="I112" s="4">
        <v>31433</v>
      </c>
      <c r="J112" s="71">
        <v>0</v>
      </c>
      <c r="K112" s="71">
        <v>0</v>
      </c>
      <c r="L112" s="71">
        <f t="shared" si="2"/>
        <v>20704</v>
      </c>
      <c r="M112" s="71">
        <f t="shared" si="3"/>
        <v>16</v>
      </c>
    </row>
    <row r="113" spans="1:13" hidden="1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1">
        <v>624</v>
      </c>
      <c r="G113" s="28">
        <v>206</v>
      </c>
      <c r="H113" s="71">
        <v>830</v>
      </c>
      <c r="I113" s="4">
        <v>32263</v>
      </c>
      <c r="J113" s="4">
        <v>1648</v>
      </c>
      <c r="K113" s="71">
        <v>1</v>
      </c>
      <c r="L113" s="71">
        <f t="shared" si="2"/>
        <v>22352</v>
      </c>
      <c r="M113" s="71">
        <f t="shared" si="3"/>
        <v>17</v>
      </c>
    </row>
    <row r="114" spans="1:13" hidden="1">
      <c r="A114" s="27">
        <v>45901</v>
      </c>
      <c r="B114" s="73" t="s">
        <v>33</v>
      </c>
      <c r="C114" s="73"/>
      <c r="D114" s="73"/>
      <c r="E114" s="74"/>
      <c r="F114" s="71">
        <v>0</v>
      </c>
      <c r="G114" s="71">
        <v>66</v>
      </c>
      <c r="H114" s="71">
        <v>66</v>
      </c>
      <c r="I114" s="4">
        <v>32329</v>
      </c>
      <c r="J114" s="71">
        <v>0</v>
      </c>
      <c r="K114" s="71">
        <v>0</v>
      </c>
      <c r="L114" s="71">
        <f t="shared" si="2"/>
        <v>22352</v>
      </c>
      <c r="M114" s="71">
        <f t="shared" si="3"/>
        <v>17</v>
      </c>
    </row>
    <row r="115" spans="1:13" hidden="1">
      <c r="A115" s="27">
        <v>45902</v>
      </c>
      <c r="B115" s="73" t="s">
        <v>33</v>
      </c>
      <c r="C115" s="73"/>
      <c r="D115" s="73"/>
      <c r="E115" s="74"/>
      <c r="F115" s="71">
        <v>0</v>
      </c>
      <c r="G115" s="71">
        <v>8</v>
      </c>
      <c r="H115" s="71">
        <v>8</v>
      </c>
      <c r="I115" s="4">
        <v>32337</v>
      </c>
      <c r="J115" s="71">
        <v>0</v>
      </c>
      <c r="K115" s="71">
        <v>0</v>
      </c>
      <c r="L115" s="71">
        <f t="shared" si="2"/>
        <v>22352</v>
      </c>
      <c r="M115" s="71">
        <f t="shared" si="3"/>
        <v>17</v>
      </c>
    </row>
    <row r="116" spans="1:13" hidden="1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1">
        <v>624</v>
      </c>
      <c r="G116" s="28">
        <v>206</v>
      </c>
      <c r="H116" s="71">
        <v>830</v>
      </c>
      <c r="I116" s="4">
        <v>33167</v>
      </c>
      <c r="J116" s="4">
        <v>1648</v>
      </c>
      <c r="K116" s="71">
        <v>1</v>
      </c>
      <c r="L116" s="71">
        <f t="shared" si="2"/>
        <v>24000</v>
      </c>
      <c r="M116" s="71">
        <f t="shared" si="3"/>
        <v>18</v>
      </c>
    </row>
    <row r="117" spans="1:13" hidden="1">
      <c r="A117" s="27">
        <v>45903</v>
      </c>
      <c r="B117" s="73" t="s">
        <v>33</v>
      </c>
      <c r="C117" s="73"/>
      <c r="D117" s="73"/>
      <c r="E117" s="74"/>
      <c r="F117" s="71">
        <v>0</v>
      </c>
      <c r="G117" s="71">
        <v>10</v>
      </c>
      <c r="H117" s="71">
        <v>10</v>
      </c>
      <c r="I117" s="4">
        <v>33177</v>
      </c>
      <c r="J117" s="71">
        <v>0</v>
      </c>
      <c r="K117" s="71">
        <v>0</v>
      </c>
      <c r="L117" s="71">
        <f t="shared" si="2"/>
        <v>24000</v>
      </c>
      <c r="M117" s="71">
        <f t="shared" si="3"/>
        <v>18</v>
      </c>
    </row>
    <row r="118" spans="1:13" hidden="1">
      <c r="A118" s="27">
        <v>45904</v>
      </c>
      <c r="B118" s="73" t="s">
        <v>33</v>
      </c>
      <c r="C118" s="73"/>
      <c r="D118" s="73"/>
      <c r="E118" s="74"/>
      <c r="F118" s="71">
        <v>0</v>
      </c>
      <c r="G118" s="71">
        <v>16</v>
      </c>
      <c r="H118" s="71">
        <v>16</v>
      </c>
      <c r="I118" s="4">
        <v>33193</v>
      </c>
      <c r="J118" s="71">
        <v>0</v>
      </c>
      <c r="K118" s="71">
        <v>0</v>
      </c>
      <c r="L118" s="71">
        <f t="shared" si="2"/>
        <v>24000</v>
      </c>
      <c r="M118" s="71">
        <f t="shared" si="3"/>
        <v>18</v>
      </c>
    </row>
    <row r="119" spans="1:13" hidden="1">
      <c r="A119" s="27">
        <v>45905</v>
      </c>
      <c r="B119" s="73" t="s">
        <v>33</v>
      </c>
      <c r="C119" s="73"/>
      <c r="D119" s="73"/>
      <c r="E119" s="74"/>
      <c r="F119" s="71">
        <v>0</v>
      </c>
      <c r="G119" s="71">
        <v>13</v>
      </c>
      <c r="H119" s="71">
        <v>13</v>
      </c>
      <c r="I119" s="4">
        <v>33206</v>
      </c>
      <c r="J119" s="71">
        <v>0</v>
      </c>
      <c r="K119" s="71">
        <v>0</v>
      </c>
      <c r="L119" s="71">
        <f t="shared" si="2"/>
        <v>24000</v>
      </c>
      <c r="M119" s="71">
        <f t="shared" si="3"/>
        <v>18</v>
      </c>
    </row>
    <row r="120" spans="1:13" hidden="1">
      <c r="A120" s="27">
        <v>45906</v>
      </c>
      <c r="B120" s="73" t="s">
        <v>33</v>
      </c>
      <c r="C120" s="73"/>
      <c r="D120" s="73"/>
      <c r="E120" s="74"/>
      <c r="F120" s="71">
        <v>0</v>
      </c>
      <c r="G120" s="71">
        <v>5</v>
      </c>
      <c r="H120" s="71">
        <v>5</v>
      </c>
      <c r="I120" s="4">
        <v>33211</v>
      </c>
      <c r="J120" s="71">
        <v>0</v>
      </c>
      <c r="K120" s="71">
        <v>0</v>
      </c>
      <c r="L120" s="71">
        <f t="shared" si="2"/>
        <v>24000</v>
      </c>
      <c r="M120" s="71">
        <f t="shared" si="3"/>
        <v>18</v>
      </c>
    </row>
    <row r="121" spans="1:13" hidden="1">
      <c r="A121" s="29">
        <v>45907</v>
      </c>
      <c r="B121" s="75" t="s">
        <v>33</v>
      </c>
      <c r="C121" s="75"/>
      <c r="D121" s="75"/>
      <c r="E121" s="76"/>
      <c r="F121" s="72">
        <v>0</v>
      </c>
      <c r="G121" s="72">
        <v>19</v>
      </c>
      <c r="H121" s="72">
        <v>19</v>
      </c>
      <c r="I121" s="30">
        <v>33230</v>
      </c>
      <c r="J121" s="72">
        <v>0</v>
      </c>
      <c r="K121" s="72">
        <v>0</v>
      </c>
      <c r="L121" s="71">
        <f t="shared" si="2"/>
        <v>24000</v>
      </c>
      <c r="M121" s="71">
        <f t="shared" si="3"/>
        <v>18</v>
      </c>
    </row>
    <row r="122" spans="1:13" hidden="1">
      <c r="A122" s="27">
        <v>45908</v>
      </c>
      <c r="B122" s="73" t="s">
        <v>33</v>
      </c>
      <c r="C122" s="73"/>
      <c r="D122" s="73"/>
      <c r="E122" s="74"/>
      <c r="F122" s="71">
        <v>0</v>
      </c>
      <c r="G122" s="71">
        <v>10</v>
      </c>
      <c r="H122" s="71">
        <v>10</v>
      </c>
      <c r="I122" s="4">
        <v>33244</v>
      </c>
      <c r="J122" s="71">
        <v>0</v>
      </c>
      <c r="K122" s="71">
        <v>0</v>
      </c>
      <c r="L122" s="71">
        <f t="shared" si="2"/>
        <v>24000</v>
      </c>
      <c r="M122" s="71">
        <f t="shared" si="3"/>
        <v>18</v>
      </c>
    </row>
    <row r="123" spans="1:13" hidden="1">
      <c r="A123" s="27">
        <v>45909</v>
      </c>
      <c r="B123" s="73" t="s">
        <v>33</v>
      </c>
      <c r="C123" s="73"/>
      <c r="D123" s="73"/>
      <c r="E123" s="74"/>
      <c r="F123" s="71">
        <v>0</v>
      </c>
      <c r="G123" s="71">
        <v>9</v>
      </c>
      <c r="H123" s="71">
        <v>9</v>
      </c>
      <c r="I123" s="4">
        <v>33253</v>
      </c>
      <c r="J123" s="71">
        <v>0</v>
      </c>
      <c r="K123" s="71">
        <v>0</v>
      </c>
      <c r="L123" s="71">
        <f t="shared" si="2"/>
        <v>24000</v>
      </c>
      <c r="M123" s="71">
        <f t="shared" si="3"/>
        <v>18</v>
      </c>
    </row>
    <row r="124" spans="1:13" hidden="1">
      <c r="A124" s="27">
        <v>45910</v>
      </c>
      <c r="B124" s="73" t="s">
        <v>65</v>
      </c>
      <c r="C124" s="73"/>
      <c r="D124" s="73"/>
      <c r="E124" s="74"/>
      <c r="F124" s="4">
        <v>2207</v>
      </c>
      <c r="G124" s="71">
        <v>0</v>
      </c>
      <c r="H124" s="4">
        <v>2207</v>
      </c>
      <c r="I124" s="4">
        <v>35460</v>
      </c>
      <c r="J124" s="71">
        <v>0</v>
      </c>
      <c r="K124" s="71">
        <v>0</v>
      </c>
      <c r="L124" s="71">
        <f t="shared" ref="L124:L129" si="4">J124+L123</f>
        <v>24000</v>
      </c>
      <c r="M124" s="71">
        <f t="shared" ref="M124:M129" si="5">K124+M123</f>
        <v>18</v>
      </c>
    </row>
    <row r="125" spans="1:13" hidden="1">
      <c r="A125" s="27">
        <v>45910</v>
      </c>
      <c r="B125" s="73" t="s">
        <v>33</v>
      </c>
      <c r="C125" s="73"/>
      <c r="D125" s="73"/>
      <c r="E125" s="74"/>
      <c r="F125" s="71">
        <v>0</v>
      </c>
      <c r="G125" s="71">
        <v>8</v>
      </c>
      <c r="H125" s="71">
        <v>8</v>
      </c>
      <c r="I125" s="4">
        <v>35468</v>
      </c>
      <c r="J125" s="71">
        <v>0</v>
      </c>
      <c r="K125" s="71">
        <v>0</v>
      </c>
      <c r="L125" s="71">
        <f t="shared" si="4"/>
        <v>24000</v>
      </c>
      <c r="M125" s="71">
        <f t="shared" si="5"/>
        <v>18</v>
      </c>
    </row>
    <row r="126" spans="1:13" hidden="1">
      <c r="A126" s="27">
        <v>45911</v>
      </c>
      <c r="B126" s="73" t="s">
        <v>65</v>
      </c>
      <c r="C126" s="73"/>
      <c r="D126" s="73"/>
      <c r="E126" s="74"/>
      <c r="F126" s="71">
        <v>12</v>
      </c>
      <c r="G126" s="71">
        <v>0</v>
      </c>
      <c r="H126" s="71">
        <v>12</v>
      </c>
      <c r="I126" s="4">
        <v>35480</v>
      </c>
      <c r="J126" s="71">
        <v>0</v>
      </c>
      <c r="K126" s="71">
        <v>0</v>
      </c>
      <c r="L126" s="71">
        <f t="shared" si="4"/>
        <v>24000</v>
      </c>
      <c r="M126" s="71">
        <f t="shared" si="5"/>
        <v>18</v>
      </c>
    </row>
    <row r="127" spans="1:13" hidden="1">
      <c r="A127" s="27">
        <v>45911</v>
      </c>
      <c r="B127" s="73" t="s">
        <v>33</v>
      </c>
      <c r="C127" s="73"/>
      <c r="D127" s="73"/>
      <c r="E127" s="74"/>
      <c r="F127" s="71">
        <v>0</v>
      </c>
      <c r="G127" s="71">
        <v>9</v>
      </c>
      <c r="H127" s="71">
        <v>9</v>
      </c>
      <c r="I127" s="4">
        <v>35489</v>
      </c>
      <c r="J127" s="71">
        <v>0</v>
      </c>
      <c r="K127" s="71">
        <v>0</v>
      </c>
      <c r="L127" s="71">
        <f t="shared" si="4"/>
        <v>24000</v>
      </c>
      <c r="M127" s="71">
        <f t="shared" si="5"/>
        <v>18</v>
      </c>
    </row>
    <row r="128" spans="1:13" hidden="1">
      <c r="A128" s="27">
        <v>45912</v>
      </c>
      <c r="B128" s="73" t="s">
        <v>33</v>
      </c>
      <c r="C128" s="73"/>
      <c r="D128" s="73"/>
      <c r="E128" s="74"/>
      <c r="F128" s="71">
        <v>0</v>
      </c>
      <c r="G128" s="71">
        <v>15</v>
      </c>
      <c r="H128" s="71">
        <v>15</v>
      </c>
      <c r="I128" s="4">
        <v>35504</v>
      </c>
      <c r="J128" s="71">
        <v>0</v>
      </c>
      <c r="K128" s="71">
        <v>0</v>
      </c>
      <c r="L128" s="71">
        <f t="shared" si="4"/>
        <v>24000</v>
      </c>
      <c r="M128" s="71">
        <f t="shared" si="5"/>
        <v>18</v>
      </c>
    </row>
    <row r="129" spans="1:13" hidden="1">
      <c r="A129" s="29">
        <v>45913</v>
      </c>
      <c r="B129" s="75" t="s">
        <v>33</v>
      </c>
      <c r="C129" s="75"/>
      <c r="D129" s="75"/>
      <c r="E129" s="76"/>
      <c r="F129" s="72">
        <v>0</v>
      </c>
      <c r="G129" s="72">
        <v>12</v>
      </c>
      <c r="H129" s="72">
        <v>12</v>
      </c>
      <c r="I129" s="30">
        <v>35516</v>
      </c>
      <c r="J129" s="72">
        <v>0</v>
      </c>
      <c r="K129" s="72">
        <v>0</v>
      </c>
      <c r="L129" s="71">
        <f t="shared" si="4"/>
        <v>24000</v>
      </c>
      <c r="M129" s="71">
        <f t="shared" si="5"/>
        <v>18</v>
      </c>
    </row>
    <row r="130" spans="1:13" hidden="1">
      <c r="A130" s="27">
        <v>45914</v>
      </c>
      <c r="B130" s="73" t="s">
        <v>49</v>
      </c>
      <c r="C130" s="73"/>
      <c r="D130" s="73"/>
      <c r="E130" s="74"/>
      <c r="F130" s="71">
        <v>0</v>
      </c>
      <c r="G130" s="71">
        <v>1</v>
      </c>
      <c r="H130" s="71">
        <v>1</v>
      </c>
      <c r="I130" s="4">
        <v>35522</v>
      </c>
      <c r="J130" s="71">
        <v>0</v>
      </c>
      <c r="K130" s="71">
        <v>0</v>
      </c>
      <c r="L130" s="71">
        <f t="shared" ref="L130:L144" si="6">J130+L129</f>
        <v>24000</v>
      </c>
      <c r="M130" s="71">
        <f t="shared" ref="M130:M144" si="7">K130+M129</f>
        <v>18</v>
      </c>
    </row>
    <row r="131" spans="1:13" hidden="1">
      <c r="A131" s="27">
        <v>45914</v>
      </c>
      <c r="B131" s="73" t="s">
        <v>33</v>
      </c>
      <c r="C131" s="73"/>
      <c r="D131" s="73"/>
      <c r="E131" s="74"/>
      <c r="F131" s="71">
        <v>0</v>
      </c>
      <c r="G131" s="71">
        <v>71</v>
      </c>
      <c r="H131" s="71">
        <v>71</v>
      </c>
      <c r="I131" s="4">
        <v>35593</v>
      </c>
      <c r="J131" s="71">
        <v>0</v>
      </c>
      <c r="K131" s="71">
        <v>0</v>
      </c>
      <c r="L131" s="71">
        <f t="shared" si="6"/>
        <v>24000</v>
      </c>
      <c r="M131" s="71">
        <f t="shared" si="7"/>
        <v>18</v>
      </c>
    </row>
    <row r="132" spans="1:13" hidden="1">
      <c r="A132" s="29">
        <v>45914</v>
      </c>
      <c r="B132" s="75" t="s">
        <v>39</v>
      </c>
      <c r="C132" s="75"/>
      <c r="D132" s="75"/>
      <c r="E132" s="76"/>
      <c r="F132" s="30">
        <v>-1500</v>
      </c>
      <c r="G132" s="72">
        <v>0</v>
      </c>
      <c r="H132" s="30">
        <v>-1500</v>
      </c>
      <c r="I132" s="30">
        <v>34093</v>
      </c>
      <c r="J132" s="72">
        <v>0</v>
      </c>
      <c r="K132" s="72">
        <v>0</v>
      </c>
      <c r="L132" s="71">
        <f t="shared" ref="L132:L144" si="8">J132+L131</f>
        <v>24000</v>
      </c>
      <c r="M132" s="71">
        <f t="shared" ref="M132:M144" si="9">K132+M131</f>
        <v>18</v>
      </c>
    </row>
    <row r="133" spans="1:13" hidden="1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1">
        <v>624</v>
      </c>
      <c r="G133" s="28">
        <v>206</v>
      </c>
      <c r="H133" s="71">
        <v>830</v>
      </c>
      <c r="I133" s="4">
        <v>34923</v>
      </c>
      <c r="J133" s="4">
        <v>1648</v>
      </c>
      <c r="K133" s="71">
        <v>1</v>
      </c>
      <c r="L133" s="71">
        <f t="shared" si="8"/>
        <v>25648</v>
      </c>
      <c r="M133" s="71">
        <f t="shared" si="9"/>
        <v>19</v>
      </c>
    </row>
    <row r="134" spans="1:13" hidden="1">
      <c r="A134" s="27">
        <v>45915</v>
      </c>
      <c r="B134" s="73" t="s">
        <v>33</v>
      </c>
      <c r="C134" s="73"/>
      <c r="D134" s="73"/>
      <c r="E134" s="74"/>
      <c r="F134" s="71">
        <v>0</v>
      </c>
      <c r="G134" s="71">
        <v>17</v>
      </c>
      <c r="H134" s="71">
        <v>17</v>
      </c>
      <c r="I134" s="4">
        <v>34940</v>
      </c>
      <c r="J134" s="71">
        <v>0</v>
      </c>
      <c r="K134" s="71">
        <v>0</v>
      </c>
      <c r="L134" s="71">
        <f t="shared" si="8"/>
        <v>25648</v>
      </c>
      <c r="M134" s="71">
        <f t="shared" si="9"/>
        <v>19</v>
      </c>
    </row>
    <row r="135" spans="1:13" hidden="1">
      <c r="A135" s="27">
        <v>45916</v>
      </c>
      <c r="B135" s="73" t="s">
        <v>33</v>
      </c>
      <c r="C135" s="73"/>
      <c r="D135" s="73"/>
      <c r="E135" s="74"/>
      <c r="F135" s="71">
        <v>0</v>
      </c>
      <c r="G135" s="71">
        <v>8</v>
      </c>
      <c r="H135" s="71">
        <v>8</v>
      </c>
      <c r="I135" s="4">
        <v>34948</v>
      </c>
      <c r="J135" s="71">
        <v>0</v>
      </c>
      <c r="K135" s="71">
        <v>0</v>
      </c>
      <c r="L135" s="71">
        <f t="shared" si="8"/>
        <v>25648</v>
      </c>
      <c r="M135" s="71">
        <f t="shared" si="9"/>
        <v>19</v>
      </c>
    </row>
    <row r="136" spans="1:13" hidden="1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1">
        <v>624</v>
      </c>
      <c r="G136" s="28">
        <v>206</v>
      </c>
      <c r="H136" s="71">
        <v>830</v>
      </c>
      <c r="I136" s="4">
        <v>35778</v>
      </c>
      <c r="J136" s="4">
        <v>1648</v>
      </c>
      <c r="K136" s="71">
        <v>1</v>
      </c>
      <c r="L136" s="71">
        <f t="shared" si="8"/>
        <v>27296</v>
      </c>
      <c r="M136" s="71">
        <f t="shared" si="9"/>
        <v>20</v>
      </c>
    </row>
    <row r="137" spans="1:13" hidden="1">
      <c r="A137" s="27">
        <v>45917</v>
      </c>
      <c r="B137" s="73" t="s">
        <v>33</v>
      </c>
      <c r="C137" s="73"/>
      <c r="D137" s="73"/>
      <c r="E137" s="74"/>
      <c r="F137" s="71">
        <v>0</v>
      </c>
      <c r="G137" s="71">
        <v>10</v>
      </c>
      <c r="H137" s="71">
        <v>10</v>
      </c>
      <c r="I137" s="4">
        <v>35788</v>
      </c>
      <c r="J137" s="71">
        <v>0</v>
      </c>
      <c r="K137" s="71">
        <v>0</v>
      </c>
      <c r="L137" s="71">
        <f t="shared" si="8"/>
        <v>27296</v>
      </c>
      <c r="M137" s="71">
        <f t="shared" si="9"/>
        <v>20</v>
      </c>
    </row>
    <row r="138" spans="1:13" hidden="1">
      <c r="A138" s="27">
        <v>45918</v>
      </c>
      <c r="B138" s="73" t="s">
        <v>33</v>
      </c>
      <c r="C138" s="73"/>
      <c r="D138" s="73"/>
      <c r="E138" s="74"/>
      <c r="F138" s="71">
        <v>0</v>
      </c>
      <c r="G138" s="71">
        <v>11</v>
      </c>
      <c r="H138" s="71">
        <v>11</v>
      </c>
      <c r="I138" s="4">
        <v>35799</v>
      </c>
      <c r="J138" s="71">
        <v>0</v>
      </c>
      <c r="K138" s="71">
        <v>0</v>
      </c>
      <c r="L138" s="71">
        <f t="shared" si="8"/>
        <v>27296</v>
      </c>
      <c r="M138" s="71">
        <f t="shared" si="9"/>
        <v>20</v>
      </c>
    </row>
    <row r="139" spans="1:13" hidden="1">
      <c r="A139" s="27">
        <v>45919</v>
      </c>
      <c r="B139" s="73" t="s">
        <v>33</v>
      </c>
      <c r="C139" s="73"/>
      <c r="D139" s="73"/>
      <c r="E139" s="74"/>
      <c r="F139" s="71">
        <v>0</v>
      </c>
      <c r="G139" s="71">
        <v>9</v>
      </c>
      <c r="H139" s="71">
        <v>9</v>
      </c>
      <c r="I139" s="4">
        <v>35808</v>
      </c>
      <c r="J139" s="71">
        <v>0</v>
      </c>
      <c r="K139" s="71">
        <v>0</v>
      </c>
      <c r="L139" s="71">
        <f t="shared" si="8"/>
        <v>27296</v>
      </c>
      <c r="M139" s="71">
        <f t="shared" si="9"/>
        <v>20</v>
      </c>
    </row>
    <row r="140" spans="1:13" hidden="1">
      <c r="A140" s="27">
        <v>45919</v>
      </c>
      <c r="B140" s="73" t="s">
        <v>37</v>
      </c>
      <c r="C140" s="73"/>
      <c r="D140" s="73"/>
      <c r="E140" s="74"/>
      <c r="F140" s="4">
        <v>-7000</v>
      </c>
      <c r="G140" s="71">
        <v>0</v>
      </c>
      <c r="H140" s="4">
        <v>-7000</v>
      </c>
      <c r="I140" s="4">
        <v>28808</v>
      </c>
      <c r="J140" s="71">
        <v>0</v>
      </c>
      <c r="K140" s="71">
        <v>0</v>
      </c>
      <c r="L140" s="71">
        <f t="shared" si="8"/>
        <v>27296</v>
      </c>
      <c r="M140" s="71">
        <f t="shared" si="9"/>
        <v>20</v>
      </c>
    </row>
    <row r="141" spans="1:13" hidden="1">
      <c r="A141" s="27">
        <v>45919</v>
      </c>
      <c r="B141" s="73" t="s">
        <v>37</v>
      </c>
      <c r="C141" s="73"/>
      <c r="D141" s="73"/>
      <c r="E141" s="74"/>
      <c r="F141" s="4">
        <v>-7000</v>
      </c>
      <c r="G141" s="71">
        <v>0</v>
      </c>
      <c r="H141" s="4">
        <v>-7000</v>
      </c>
      <c r="I141" s="4">
        <v>21808</v>
      </c>
      <c r="J141" s="71">
        <v>0</v>
      </c>
      <c r="K141" s="71">
        <v>0</v>
      </c>
      <c r="L141" s="71">
        <f t="shared" si="8"/>
        <v>27296</v>
      </c>
      <c r="M141" s="71">
        <f t="shared" si="9"/>
        <v>20</v>
      </c>
    </row>
    <row r="142" spans="1:13" hidden="1">
      <c r="A142" s="27">
        <v>45919</v>
      </c>
      <c r="B142" s="73" t="s">
        <v>37</v>
      </c>
      <c r="C142" s="73"/>
      <c r="D142" s="73"/>
      <c r="E142" s="74"/>
      <c r="F142" s="4">
        <v>-7000</v>
      </c>
      <c r="G142" s="71">
        <v>0</v>
      </c>
      <c r="H142" s="4">
        <v>-7000</v>
      </c>
      <c r="I142" s="4">
        <v>14808</v>
      </c>
      <c r="J142" s="71">
        <v>0</v>
      </c>
      <c r="K142" s="71">
        <v>0</v>
      </c>
      <c r="L142" s="71">
        <f t="shared" si="8"/>
        <v>27296</v>
      </c>
      <c r="M142" s="71">
        <f t="shared" si="9"/>
        <v>20</v>
      </c>
    </row>
    <row r="143" spans="1:13" hidden="1">
      <c r="A143" s="27">
        <v>45919</v>
      </c>
      <c r="B143" s="73" t="s">
        <v>37</v>
      </c>
      <c r="C143" s="73"/>
      <c r="D143" s="73"/>
      <c r="E143" s="74"/>
      <c r="F143" s="4">
        <v>-7000</v>
      </c>
      <c r="G143" s="71">
        <v>0</v>
      </c>
      <c r="H143" s="4">
        <v>-7000</v>
      </c>
      <c r="I143" s="4">
        <v>7808</v>
      </c>
      <c r="J143" s="71">
        <v>0</v>
      </c>
      <c r="K143" s="71">
        <v>0</v>
      </c>
      <c r="L143" s="71">
        <f t="shared" si="8"/>
        <v>27296</v>
      </c>
      <c r="M143" s="71">
        <f t="shared" si="9"/>
        <v>20</v>
      </c>
    </row>
    <row r="144" spans="1:13" hidden="1">
      <c r="A144" s="29">
        <v>45920</v>
      </c>
      <c r="B144" s="75" t="s">
        <v>33</v>
      </c>
      <c r="C144" s="75"/>
      <c r="D144" s="75"/>
      <c r="E144" s="76"/>
      <c r="F144" s="72">
        <v>0</v>
      </c>
      <c r="G144" s="72">
        <v>8</v>
      </c>
      <c r="H144" s="72">
        <v>8</v>
      </c>
      <c r="I144" s="30">
        <v>7816</v>
      </c>
      <c r="J144" s="72">
        <v>0</v>
      </c>
      <c r="K144" s="72">
        <v>0</v>
      </c>
      <c r="L144" s="71">
        <f t="shared" si="8"/>
        <v>27296</v>
      </c>
      <c r="M144" s="71">
        <f t="shared" si="9"/>
        <v>20</v>
      </c>
    </row>
    <row r="145" spans="1:13" hidden="1">
      <c r="A145" s="27">
        <v>45921</v>
      </c>
      <c r="B145" s="73" t="s">
        <v>33</v>
      </c>
      <c r="C145" s="73"/>
      <c r="D145" s="73"/>
      <c r="E145" s="74"/>
      <c r="F145" s="71">
        <v>0</v>
      </c>
      <c r="G145" s="71">
        <v>27</v>
      </c>
      <c r="H145" s="71">
        <v>27</v>
      </c>
      <c r="I145" s="4">
        <v>7847</v>
      </c>
      <c r="J145" s="71">
        <v>0</v>
      </c>
      <c r="K145" s="71">
        <v>0</v>
      </c>
      <c r="L145" s="71">
        <f t="shared" ref="L145:L169" si="10">J145+L144</f>
        <v>27296</v>
      </c>
      <c r="M145" s="71">
        <f t="shared" ref="M145:M169" si="11">K145+M144</f>
        <v>20</v>
      </c>
    </row>
    <row r="146" spans="1:13" hidden="1">
      <c r="A146" s="27">
        <v>45922</v>
      </c>
      <c r="B146" s="73" t="s">
        <v>33</v>
      </c>
      <c r="C146" s="73"/>
      <c r="D146" s="73"/>
      <c r="E146" s="74"/>
      <c r="F146" s="71">
        <v>0</v>
      </c>
      <c r="G146" s="71">
        <v>8</v>
      </c>
      <c r="H146" s="71">
        <v>8</v>
      </c>
      <c r="I146" s="4">
        <v>7855</v>
      </c>
      <c r="J146" s="71">
        <v>0</v>
      </c>
      <c r="K146" s="71">
        <v>0</v>
      </c>
      <c r="L146" s="71">
        <f t="shared" si="10"/>
        <v>27296</v>
      </c>
      <c r="M146" s="71">
        <f t="shared" si="11"/>
        <v>20</v>
      </c>
    </row>
    <row r="147" spans="1:13" hidden="1">
      <c r="A147" s="27">
        <v>45923</v>
      </c>
      <c r="B147" s="73" t="s">
        <v>33</v>
      </c>
      <c r="C147" s="73"/>
      <c r="D147" s="73"/>
      <c r="E147" s="74"/>
      <c r="F147" s="71">
        <v>0</v>
      </c>
      <c r="G147" s="71">
        <v>10</v>
      </c>
      <c r="H147" s="71">
        <v>10</v>
      </c>
      <c r="I147" s="4">
        <v>7865</v>
      </c>
      <c r="J147" s="71">
        <v>0</v>
      </c>
      <c r="K147" s="71">
        <v>0</v>
      </c>
      <c r="L147" s="71">
        <f t="shared" si="10"/>
        <v>27296</v>
      </c>
      <c r="M147" s="71">
        <f t="shared" si="11"/>
        <v>20</v>
      </c>
    </row>
    <row r="148" spans="1:13" hidden="1">
      <c r="A148" s="27">
        <v>45924</v>
      </c>
      <c r="B148" s="73" t="s">
        <v>33</v>
      </c>
      <c r="C148" s="73"/>
      <c r="D148" s="73"/>
      <c r="E148" s="74"/>
      <c r="F148" s="71">
        <v>0</v>
      </c>
      <c r="G148" s="71">
        <v>7</v>
      </c>
      <c r="H148" s="71">
        <v>7</v>
      </c>
      <c r="I148" s="4">
        <v>7872</v>
      </c>
      <c r="J148" s="71">
        <v>0</v>
      </c>
      <c r="K148" s="71">
        <v>0</v>
      </c>
      <c r="L148" s="71">
        <f t="shared" si="10"/>
        <v>27296</v>
      </c>
      <c r="M148" s="71">
        <f t="shared" si="11"/>
        <v>20</v>
      </c>
    </row>
    <row r="149" spans="1:13" hidden="1">
      <c r="A149" s="27">
        <v>45925</v>
      </c>
      <c r="B149" s="73" t="s">
        <v>33</v>
      </c>
      <c r="C149" s="73"/>
      <c r="D149" s="73"/>
      <c r="E149" s="74"/>
      <c r="F149" s="71">
        <v>0</v>
      </c>
      <c r="G149" s="71">
        <v>55</v>
      </c>
      <c r="H149" s="71">
        <v>55</v>
      </c>
      <c r="I149" s="4">
        <v>7927</v>
      </c>
      <c r="J149" s="71">
        <v>0</v>
      </c>
      <c r="K149" s="71">
        <v>0</v>
      </c>
      <c r="L149" s="71">
        <f t="shared" si="10"/>
        <v>27296</v>
      </c>
      <c r="M149" s="71">
        <f t="shared" si="11"/>
        <v>20</v>
      </c>
    </row>
    <row r="150" spans="1:13" hidden="1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1">
        <v>403</v>
      </c>
      <c r="G150" s="28">
        <v>151</v>
      </c>
      <c r="H150" s="71">
        <v>554</v>
      </c>
      <c r="I150" s="4">
        <v>8481</v>
      </c>
      <c r="J150" s="4">
        <v>1006</v>
      </c>
      <c r="K150" s="71">
        <v>1</v>
      </c>
      <c r="L150" s="71">
        <f t="shared" si="10"/>
        <v>28302</v>
      </c>
      <c r="M150" s="71">
        <f t="shared" si="11"/>
        <v>21</v>
      </c>
    </row>
    <row r="151" spans="1:13" hidden="1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1">
        <v>403</v>
      </c>
      <c r="G151" s="28">
        <v>151</v>
      </c>
      <c r="H151" s="71">
        <v>554</v>
      </c>
      <c r="I151" s="4">
        <v>9035</v>
      </c>
      <c r="J151" s="4">
        <v>1006</v>
      </c>
      <c r="K151" s="71">
        <v>1</v>
      </c>
      <c r="L151" s="71">
        <f t="shared" si="10"/>
        <v>29308</v>
      </c>
      <c r="M151" s="71">
        <f t="shared" si="11"/>
        <v>22</v>
      </c>
    </row>
    <row r="152" spans="1:13" hidden="1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1">
        <v>98</v>
      </c>
      <c r="G152" s="28">
        <v>75</v>
      </c>
      <c r="H152" s="71">
        <v>173</v>
      </c>
      <c r="I152" s="4">
        <v>9208</v>
      </c>
      <c r="J152" s="71">
        <v>396</v>
      </c>
      <c r="K152" s="71">
        <v>1</v>
      </c>
      <c r="L152" s="71">
        <f t="shared" si="10"/>
        <v>29704</v>
      </c>
      <c r="M152" s="71">
        <f t="shared" si="11"/>
        <v>23</v>
      </c>
    </row>
    <row r="153" spans="1:13" hidden="1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1">
        <v>98</v>
      </c>
      <c r="G153" s="28">
        <v>75</v>
      </c>
      <c r="H153" s="71">
        <v>173</v>
      </c>
      <c r="I153" s="4">
        <v>9381</v>
      </c>
      <c r="J153" s="71">
        <v>396</v>
      </c>
      <c r="K153" s="71">
        <v>1</v>
      </c>
      <c r="L153" s="71">
        <f t="shared" si="10"/>
        <v>30100</v>
      </c>
      <c r="M153" s="71">
        <f t="shared" si="11"/>
        <v>24</v>
      </c>
    </row>
    <row r="154" spans="1:13" hidden="1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1">
        <v>182</v>
      </c>
      <c r="G154" s="28">
        <v>96</v>
      </c>
      <c r="H154" s="71">
        <v>278</v>
      </c>
      <c r="I154" s="4">
        <v>9659</v>
      </c>
      <c r="J154" s="71">
        <v>564</v>
      </c>
      <c r="K154" s="71">
        <v>1</v>
      </c>
      <c r="L154" s="71">
        <f t="shared" si="10"/>
        <v>30664</v>
      </c>
      <c r="M154" s="71">
        <f t="shared" si="11"/>
        <v>25</v>
      </c>
    </row>
    <row r="155" spans="1:13" hidden="1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1">
        <v>182</v>
      </c>
      <c r="G155" s="28">
        <v>96</v>
      </c>
      <c r="H155" s="71">
        <v>278</v>
      </c>
      <c r="I155" s="4">
        <v>9937</v>
      </c>
      <c r="J155" s="71">
        <v>564</v>
      </c>
      <c r="K155" s="71">
        <v>1</v>
      </c>
      <c r="L155" s="71">
        <f t="shared" si="10"/>
        <v>31228</v>
      </c>
      <c r="M155" s="71">
        <f t="shared" si="11"/>
        <v>26</v>
      </c>
    </row>
    <row r="156" spans="1:13" hidden="1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1">
        <v>425</v>
      </c>
      <c r="G156" s="28">
        <v>156</v>
      </c>
      <c r="H156" s="71">
        <v>581</v>
      </c>
      <c r="I156" s="4">
        <v>10518</v>
      </c>
      <c r="J156" s="4">
        <v>1050</v>
      </c>
      <c r="K156" s="71">
        <v>1</v>
      </c>
      <c r="L156" s="71">
        <f t="shared" si="10"/>
        <v>32278</v>
      </c>
      <c r="M156" s="71">
        <f t="shared" si="11"/>
        <v>27</v>
      </c>
    </row>
    <row r="157" spans="1:13" hidden="1">
      <c r="A157" s="27">
        <v>45926</v>
      </c>
      <c r="B157" s="73" t="s">
        <v>33</v>
      </c>
      <c r="C157" s="73"/>
      <c r="D157" s="73"/>
      <c r="E157" s="74"/>
      <c r="F157" s="71">
        <v>0</v>
      </c>
      <c r="G157" s="71">
        <v>7</v>
      </c>
      <c r="H157" s="71">
        <v>7</v>
      </c>
      <c r="I157" s="4">
        <v>10525</v>
      </c>
      <c r="J157" s="71">
        <v>0</v>
      </c>
      <c r="K157" s="71">
        <v>0</v>
      </c>
      <c r="L157" s="71">
        <f t="shared" si="10"/>
        <v>32278</v>
      </c>
      <c r="M157" s="71">
        <f t="shared" si="11"/>
        <v>27</v>
      </c>
    </row>
    <row r="158" spans="1:13" hidden="1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1">
        <v>29</v>
      </c>
      <c r="G158" s="28">
        <v>57</v>
      </c>
      <c r="H158" s="71">
        <v>86</v>
      </c>
      <c r="I158" s="4">
        <v>10611</v>
      </c>
      <c r="J158" s="71">
        <v>258</v>
      </c>
      <c r="K158" s="71">
        <v>1</v>
      </c>
      <c r="L158" s="71">
        <f t="shared" si="10"/>
        <v>32536</v>
      </c>
      <c r="M158" s="71">
        <f t="shared" si="11"/>
        <v>28</v>
      </c>
    </row>
    <row r="159" spans="1:13" hidden="1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1">
        <v>29</v>
      </c>
      <c r="G159" s="28">
        <v>57</v>
      </c>
      <c r="H159" s="71">
        <v>86</v>
      </c>
      <c r="I159" s="4">
        <v>10697</v>
      </c>
      <c r="J159" s="71">
        <v>258</v>
      </c>
      <c r="K159" s="71">
        <v>1</v>
      </c>
      <c r="L159" s="71">
        <f t="shared" si="10"/>
        <v>32794</v>
      </c>
      <c r="M159" s="71">
        <f t="shared" si="11"/>
        <v>29</v>
      </c>
    </row>
    <row r="160" spans="1:13" hidden="1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1">
        <v>54</v>
      </c>
      <c r="G160" s="28">
        <v>64</v>
      </c>
      <c r="H160" s="71">
        <v>118</v>
      </c>
      <c r="I160" s="4">
        <v>10815</v>
      </c>
      <c r="J160" s="71">
        <v>308</v>
      </c>
      <c r="K160" s="71">
        <v>1</v>
      </c>
      <c r="L160" s="71">
        <f t="shared" si="10"/>
        <v>33102</v>
      </c>
      <c r="M160" s="71">
        <f t="shared" si="11"/>
        <v>30</v>
      </c>
    </row>
    <row r="161" spans="1:13" hidden="1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1">
        <v>60</v>
      </c>
      <c r="G161" s="28">
        <v>65</v>
      </c>
      <c r="H161" s="71">
        <v>125</v>
      </c>
      <c r="I161" s="4">
        <v>10940</v>
      </c>
      <c r="J161" s="71">
        <v>320</v>
      </c>
      <c r="K161" s="71">
        <v>1</v>
      </c>
      <c r="L161" s="71">
        <f t="shared" si="10"/>
        <v>33422</v>
      </c>
      <c r="M161" s="71">
        <f t="shared" si="11"/>
        <v>31</v>
      </c>
    </row>
    <row r="162" spans="1:13" hidden="1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1">
        <v>60</v>
      </c>
      <c r="G162" s="28">
        <v>65</v>
      </c>
      <c r="H162" s="71">
        <v>125</v>
      </c>
      <c r="I162" s="4">
        <v>11065</v>
      </c>
      <c r="J162" s="71">
        <v>320</v>
      </c>
      <c r="K162" s="71">
        <v>1</v>
      </c>
      <c r="L162" s="71">
        <f t="shared" si="10"/>
        <v>33742</v>
      </c>
      <c r="M162" s="71">
        <f t="shared" si="11"/>
        <v>32</v>
      </c>
    </row>
    <row r="163" spans="1:13" hidden="1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1">
        <v>185</v>
      </c>
      <c r="G163" s="28">
        <v>96</v>
      </c>
      <c r="H163" s="71">
        <v>281</v>
      </c>
      <c r="I163" s="4">
        <v>11346</v>
      </c>
      <c r="J163" s="71">
        <v>570</v>
      </c>
      <c r="K163" s="71">
        <v>1</v>
      </c>
      <c r="L163" s="71">
        <f t="shared" si="10"/>
        <v>34312</v>
      </c>
      <c r="M163" s="71">
        <f t="shared" si="11"/>
        <v>33</v>
      </c>
    </row>
    <row r="164" spans="1:13" hidden="1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1">
        <v>133</v>
      </c>
      <c r="G164" s="28">
        <v>83</v>
      </c>
      <c r="H164" s="71">
        <v>216</v>
      </c>
      <c r="I164" s="4">
        <v>11562</v>
      </c>
      <c r="J164" s="71">
        <v>466</v>
      </c>
      <c r="K164" s="71">
        <v>1</v>
      </c>
      <c r="L164" s="71">
        <f t="shared" si="10"/>
        <v>34778</v>
      </c>
      <c r="M164" s="71">
        <f t="shared" si="11"/>
        <v>34</v>
      </c>
    </row>
    <row r="165" spans="1:13" hidden="1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1">
        <v>403</v>
      </c>
      <c r="G165" s="28">
        <v>151</v>
      </c>
      <c r="H165" s="71">
        <v>554</v>
      </c>
      <c r="I165" s="4">
        <v>12116</v>
      </c>
      <c r="J165" s="4">
        <v>1006</v>
      </c>
      <c r="K165" s="71">
        <v>1</v>
      </c>
      <c r="L165" s="71">
        <f t="shared" si="10"/>
        <v>35784</v>
      </c>
      <c r="M165" s="71">
        <f t="shared" si="11"/>
        <v>35</v>
      </c>
    </row>
    <row r="166" spans="1:13" hidden="1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1">
        <v>403</v>
      </c>
      <c r="G166" s="28">
        <v>151</v>
      </c>
      <c r="H166" s="71">
        <v>554</v>
      </c>
      <c r="I166" s="4">
        <v>12670</v>
      </c>
      <c r="J166" s="4">
        <v>1006</v>
      </c>
      <c r="K166" s="71">
        <v>1</v>
      </c>
      <c r="L166" s="71">
        <f t="shared" si="10"/>
        <v>36790</v>
      </c>
      <c r="M166" s="71">
        <f t="shared" si="11"/>
        <v>36</v>
      </c>
    </row>
    <row r="167" spans="1:13" hidden="1">
      <c r="A167" s="27">
        <v>45927</v>
      </c>
      <c r="B167" s="73" t="s">
        <v>33</v>
      </c>
      <c r="C167" s="73"/>
      <c r="D167" s="73"/>
      <c r="E167" s="74"/>
      <c r="F167" s="71">
        <v>0</v>
      </c>
      <c r="G167" s="71">
        <v>160</v>
      </c>
      <c r="H167" s="71">
        <v>160</v>
      </c>
      <c r="I167" s="4">
        <v>12830</v>
      </c>
      <c r="J167" s="71">
        <v>0</v>
      </c>
      <c r="K167" s="71">
        <v>0</v>
      </c>
      <c r="L167" s="71">
        <f t="shared" si="10"/>
        <v>36790</v>
      </c>
      <c r="M167" s="71">
        <f t="shared" si="11"/>
        <v>36</v>
      </c>
    </row>
    <row r="168" spans="1:13" hidden="1">
      <c r="A168" s="27">
        <v>45928</v>
      </c>
      <c r="B168" s="73" t="s">
        <v>33</v>
      </c>
      <c r="C168" s="73"/>
      <c r="D168" s="73"/>
      <c r="E168" s="74"/>
      <c r="F168" s="71">
        <v>0</v>
      </c>
      <c r="G168" s="71">
        <v>172</v>
      </c>
      <c r="H168" s="71">
        <v>172</v>
      </c>
      <c r="I168" s="4">
        <v>13002</v>
      </c>
      <c r="J168" s="71">
        <v>0</v>
      </c>
      <c r="K168" s="71">
        <v>0</v>
      </c>
      <c r="L168" s="71">
        <f t="shared" si="10"/>
        <v>36790</v>
      </c>
      <c r="M168" s="71">
        <f t="shared" si="11"/>
        <v>36</v>
      </c>
    </row>
    <row r="169" spans="1:13" hidden="1">
      <c r="A169" s="29">
        <v>45929</v>
      </c>
      <c r="B169" s="75" t="s">
        <v>33</v>
      </c>
      <c r="C169" s="75"/>
      <c r="D169" s="75"/>
      <c r="E169" s="76"/>
      <c r="F169" s="72">
        <v>0</v>
      </c>
      <c r="G169" s="72">
        <v>219</v>
      </c>
      <c r="H169" s="72">
        <v>219</v>
      </c>
      <c r="I169" s="30">
        <v>13221</v>
      </c>
      <c r="J169" s="72">
        <v>0</v>
      </c>
      <c r="K169" s="72">
        <v>0</v>
      </c>
      <c r="L169" s="71">
        <f t="shared" si="10"/>
        <v>36790</v>
      </c>
      <c r="M169" s="71">
        <f t="shared" si="11"/>
        <v>36</v>
      </c>
    </row>
    <row r="170" spans="1:13" hidden="1">
      <c r="A170" s="27">
        <v>45930</v>
      </c>
      <c r="B170" s="73" t="s">
        <v>49</v>
      </c>
      <c r="C170" s="73"/>
      <c r="D170" s="73"/>
      <c r="E170" s="74"/>
      <c r="F170" s="71">
        <v>0</v>
      </c>
      <c r="G170" s="71">
        <v>1</v>
      </c>
      <c r="H170" s="71">
        <v>1</v>
      </c>
      <c r="I170" s="4">
        <v>15617</v>
      </c>
      <c r="J170" s="71">
        <v>0</v>
      </c>
      <c r="K170" s="71">
        <v>0</v>
      </c>
      <c r="L170" s="71">
        <f t="shared" ref="L170:L197" si="12">J170+L169</f>
        <v>36790</v>
      </c>
      <c r="M170" s="71">
        <f t="shared" ref="M170:M197" si="13">K170+M169</f>
        <v>36</v>
      </c>
    </row>
    <row r="171" spans="1:13" hidden="1">
      <c r="A171" s="27">
        <v>45930</v>
      </c>
      <c r="B171" s="73" t="s">
        <v>33</v>
      </c>
      <c r="C171" s="73"/>
      <c r="D171" s="73"/>
      <c r="E171" s="74"/>
      <c r="F171" s="71">
        <v>0</v>
      </c>
      <c r="G171" s="71">
        <v>4</v>
      </c>
      <c r="H171" s="71">
        <v>4</v>
      </c>
      <c r="I171" s="4">
        <v>15621</v>
      </c>
      <c r="J171" s="71">
        <v>0</v>
      </c>
      <c r="K171" s="71">
        <v>0</v>
      </c>
      <c r="L171" s="71">
        <f t="shared" si="12"/>
        <v>36790</v>
      </c>
      <c r="M171" s="71">
        <f t="shared" si="13"/>
        <v>36</v>
      </c>
    </row>
    <row r="172" spans="1:13" hidden="1">
      <c r="A172" s="27">
        <v>45931</v>
      </c>
      <c r="B172" s="73" t="s">
        <v>33</v>
      </c>
      <c r="C172" s="73"/>
      <c r="D172" s="73"/>
      <c r="E172" s="74"/>
      <c r="F172" s="71">
        <v>0</v>
      </c>
      <c r="G172" s="71">
        <v>18</v>
      </c>
      <c r="H172" s="71">
        <v>18</v>
      </c>
      <c r="I172" s="4">
        <v>15639</v>
      </c>
      <c r="J172" s="71">
        <v>0</v>
      </c>
      <c r="K172" s="71">
        <v>0</v>
      </c>
      <c r="L172" s="71">
        <f t="shared" si="12"/>
        <v>36790</v>
      </c>
      <c r="M172" s="71">
        <f t="shared" si="13"/>
        <v>36</v>
      </c>
    </row>
    <row r="173" spans="1:13" hidden="1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1">
        <v>389</v>
      </c>
      <c r="G173" s="28">
        <v>264</v>
      </c>
      <c r="H173" s="71">
        <v>653</v>
      </c>
      <c r="I173" s="4">
        <v>16292</v>
      </c>
      <c r="J173" s="4">
        <v>1178</v>
      </c>
      <c r="K173" s="71">
        <v>1</v>
      </c>
      <c r="L173" s="71">
        <f t="shared" si="12"/>
        <v>37968</v>
      </c>
      <c r="M173" s="71">
        <f t="shared" si="13"/>
        <v>37</v>
      </c>
    </row>
    <row r="174" spans="1:13" hidden="1">
      <c r="A174" s="27">
        <v>45932</v>
      </c>
      <c r="B174" s="73" t="s">
        <v>33</v>
      </c>
      <c r="C174" s="73"/>
      <c r="D174" s="73"/>
      <c r="E174" s="74"/>
      <c r="F174" s="71">
        <v>0</v>
      </c>
      <c r="G174" s="71">
        <v>8</v>
      </c>
      <c r="H174" s="71">
        <v>8</v>
      </c>
      <c r="I174" s="4">
        <v>16300</v>
      </c>
      <c r="J174" s="71">
        <v>0</v>
      </c>
      <c r="K174" s="71">
        <v>0</v>
      </c>
      <c r="L174" s="71">
        <f t="shared" si="12"/>
        <v>37968</v>
      </c>
      <c r="M174" s="71">
        <f t="shared" si="13"/>
        <v>37</v>
      </c>
    </row>
    <row r="175" spans="1:13" hidden="1">
      <c r="A175" s="27">
        <v>45933</v>
      </c>
      <c r="B175" s="73" t="s">
        <v>49</v>
      </c>
      <c r="C175" s="73"/>
      <c r="D175" s="73"/>
      <c r="E175" s="74"/>
      <c r="F175" s="71">
        <v>0</v>
      </c>
      <c r="G175" s="71">
        <v>1</v>
      </c>
      <c r="H175" s="71">
        <v>1</v>
      </c>
      <c r="I175" s="4">
        <v>16301</v>
      </c>
      <c r="J175" s="71">
        <v>0</v>
      </c>
      <c r="K175" s="71">
        <v>0</v>
      </c>
      <c r="L175" s="71">
        <f t="shared" si="12"/>
        <v>37968</v>
      </c>
      <c r="M175" s="71">
        <f t="shared" si="13"/>
        <v>37</v>
      </c>
    </row>
    <row r="176" spans="1:13" hidden="1">
      <c r="A176" s="27">
        <v>45933</v>
      </c>
      <c r="B176" s="73" t="s">
        <v>33</v>
      </c>
      <c r="C176" s="73"/>
      <c r="D176" s="73"/>
      <c r="E176" s="74"/>
      <c r="F176" s="71">
        <v>0</v>
      </c>
      <c r="G176" s="71">
        <v>8</v>
      </c>
      <c r="H176" s="71">
        <v>8</v>
      </c>
      <c r="I176" s="4">
        <v>16309</v>
      </c>
      <c r="J176" s="71">
        <v>0</v>
      </c>
      <c r="K176" s="71">
        <v>0</v>
      </c>
      <c r="L176" s="71">
        <f t="shared" si="12"/>
        <v>37968</v>
      </c>
      <c r="M176" s="71">
        <f t="shared" si="13"/>
        <v>37</v>
      </c>
    </row>
    <row r="177" spans="1:13" hidden="1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1">
        <v>425</v>
      </c>
      <c r="G177" s="28">
        <v>284</v>
      </c>
      <c r="H177" s="71">
        <v>709</v>
      </c>
      <c r="I177" s="4">
        <v>17018</v>
      </c>
      <c r="J177" s="4">
        <v>1050</v>
      </c>
      <c r="K177" s="71">
        <v>1</v>
      </c>
      <c r="L177" s="71">
        <f t="shared" si="12"/>
        <v>39018</v>
      </c>
      <c r="M177" s="71">
        <f t="shared" si="13"/>
        <v>38</v>
      </c>
    </row>
    <row r="178" spans="1:13" hidden="1">
      <c r="A178" s="27">
        <v>45934</v>
      </c>
      <c r="B178" s="73" t="s">
        <v>49</v>
      </c>
      <c r="C178" s="73"/>
      <c r="D178" s="73"/>
      <c r="E178" s="74"/>
      <c r="F178" s="71">
        <v>0</v>
      </c>
      <c r="G178" s="71">
        <v>1</v>
      </c>
      <c r="H178" s="71">
        <v>1</v>
      </c>
      <c r="I178" s="4">
        <v>17019</v>
      </c>
      <c r="J178" s="71">
        <v>0</v>
      </c>
      <c r="K178" s="71">
        <v>0</v>
      </c>
      <c r="L178" s="71">
        <f t="shared" si="12"/>
        <v>39018</v>
      </c>
      <c r="M178" s="71">
        <f t="shared" si="13"/>
        <v>38</v>
      </c>
    </row>
    <row r="179" spans="1:13" hidden="1">
      <c r="A179" s="27">
        <v>45934</v>
      </c>
      <c r="B179" s="73" t="s">
        <v>33</v>
      </c>
      <c r="C179" s="73"/>
      <c r="D179" s="73"/>
      <c r="E179" s="74"/>
      <c r="F179" s="71">
        <v>0</v>
      </c>
      <c r="G179" s="71">
        <v>7</v>
      </c>
      <c r="H179" s="71">
        <v>7</v>
      </c>
      <c r="I179" s="4">
        <v>17026</v>
      </c>
      <c r="J179" s="71">
        <v>0</v>
      </c>
      <c r="K179" s="71">
        <v>0</v>
      </c>
      <c r="L179" s="71">
        <f t="shared" si="12"/>
        <v>39018</v>
      </c>
      <c r="M179" s="71">
        <f t="shared" si="13"/>
        <v>38</v>
      </c>
    </row>
    <row r="180" spans="1:13" hidden="1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1">
        <v>54</v>
      </c>
      <c r="G180" s="28">
        <v>80</v>
      </c>
      <c r="H180" s="71">
        <v>134</v>
      </c>
      <c r="I180" s="4">
        <v>17160</v>
      </c>
      <c r="J180" s="71">
        <v>308</v>
      </c>
      <c r="K180" s="71">
        <v>1</v>
      </c>
      <c r="L180" s="71">
        <f t="shared" si="12"/>
        <v>39326</v>
      </c>
      <c r="M180" s="71">
        <f t="shared" si="13"/>
        <v>39</v>
      </c>
    </row>
    <row r="181" spans="1:13" hidden="1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1">
        <v>60</v>
      </c>
      <c r="G181" s="28">
        <v>83</v>
      </c>
      <c r="H181" s="71">
        <v>143</v>
      </c>
      <c r="I181" s="4">
        <v>17303</v>
      </c>
      <c r="J181" s="71">
        <v>320</v>
      </c>
      <c r="K181" s="71">
        <v>1</v>
      </c>
      <c r="L181" s="71">
        <f t="shared" si="12"/>
        <v>39646</v>
      </c>
      <c r="M181" s="71">
        <f t="shared" si="13"/>
        <v>40</v>
      </c>
    </row>
    <row r="182" spans="1:13" hidden="1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1">
        <v>60</v>
      </c>
      <c r="G182" s="28">
        <v>83</v>
      </c>
      <c r="H182" s="71">
        <v>143</v>
      </c>
      <c r="I182" s="4">
        <v>17446</v>
      </c>
      <c r="J182" s="71">
        <v>320</v>
      </c>
      <c r="K182" s="71">
        <v>1</v>
      </c>
      <c r="L182" s="71">
        <f t="shared" si="12"/>
        <v>39966</v>
      </c>
      <c r="M182" s="71">
        <f t="shared" si="13"/>
        <v>41</v>
      </c>
    </row>
    <row r="183" spans="1:13" hidden="1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1">
        <v>185</v>
      </c>
      <c r="G183" s="28">
        <v>152</v>
      </c>
      <c r="H183" s="71">
        <v>337</v>
      </c>
      <c r="I183" s="4">
        <v>17783</v>
      </c>
      <c r="J183" s="71">
        <v>570</v>
      </c>
      <c r="K183" s="71">
        <v>1</v>
      </c>
      <c r="L183" s="71">
        <f t="shared" si="12"/>
        <v>40536</v>
      </c>
      <c r="M183" s="71">
        <f t="shared" si="13"/>
        <v>42</v>
      </c>
    </row>
    <row r="184" spans="1:13" hidden="1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1">
        <v>133</v>
      </c>
      <c r="G184" s="28">
        <v>123</v>
      </c>
      <c r="H184" s="71">
        <v>256</v>
      </c>
      <c r="I184" s="4">
        <v>18039</v>
      </c>
      <c r="J184" s="71">
        <v>466</v>
      </c>
      <c r="K184" s="71">
        <v>1</v>
      </c>
      <c r="L184" s="71">
        <f t="shared" si="12"/>
        <v>41002</v>
      </c>
      <c r="M184" s="71">
        <f t="shared" si="13"/>
        <v>43</v>
      </c>
    </row>
    <row r="185" spans="1:13" hidden="1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1">
        <v>403</v>
      </c>
      <c r="G185" s="28">
        <v>272</v>
      </c>
      <c r="H185" s="71">
        <v>675</v>
      </c>
      <c r="I185" s="4">
        <v>18714</v>
      </c>
      <c r="J185" s="4">
        <v>1006</v>
      </c>
      <c r="K185" s="71">
        <v>1</v>
      </c>
      <c r="L185" s="71">
        <f t="shared" si="12"/>
        <v>42008</v>
      </c>
      <c r="M185" s="71">
        <f t="shared" si="13"/>
        <v>44</v>
      </c>
    </row>
    <row r="186" spans="1:13" hidden="1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1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1">
        <v>1</v>
      </c>
      <c r="L186" s="71">
        <f t="shared" si="12"/>
        <v>43684</v>
      </c>
      <c r="M186" s="71">
        <f t="shared" si="13"/>
        <v>45</v>
      </c>
    </row>
    <row r="187" spans="1:13" hidden="1">
      <c r="A187" s="27">
        <v>45935</v>
      </c>
      <c r="B187" s="73" t="s">
        <v>49</v>
      </c>
      <c r="C187" s="73"/>
      <c r="D187" s="73"/>
      <c r="E187" s="74"/>
      <c r="F187" s="71">
        <v>0</v>
      </c>
      <c r="G187" s="71">
        <v>1</v>
      </c>
      <c r="H187" s="71">
        <v>1</v>
      </c>
      <c r="I187" s="4">
        <v>19909</v>
      </c>
      <c r="J187" s="71">
        <v>0</v>
      </c>
      <c r="K187" s="71">
        <v>0</v>
      </c>
      <c r="L187" s="71">
        <f t="shared" si="12"/>
        <v>43684</v>
      </c>
      <c r="M187" s="71">
        <f t="shared" si="13"/>
        <v>45</v>
      </c>
    </row>
    <row r="188" spans="1:13" hidden="1">
      <c r="A188" s="27">
        <v>45935</v>
      </c>
      <c r="B188" s="73" t="s">
        <v>33</v>
      </c>
      <c r="C188" s="73"/>
      <c r="D188" s="73"/>
      <c r="E188" s="74"/>
      <c r="F188" s="71">
        <v>0</v>
      </c>
      <c r="G188" s="71">
        <v>22</v>
      </c>
      <c r="H188" s="71">
        <v>22</v>
      </c>
      <c r="I188" s="4">
        <v>19931</v>
      </c>
      <c r="J188" s="71">
        <v>0</v>
      </c>
      <c r="K188" s="71">
        <v>0</v>
      </c>
      <c r="L188" s="71">
        <f t="shared" si="12"/>
        <v>43684</v>
      </c>
      <c r="M188" s="71">
        <f t="shared" si="13"/>
        <v>45</v>
      </c>
    </row>
    <row r="189" spans="1:13" hidden="1">
      <c r="A189" s="27">
        <v>45936</v>
      </c>
      <c r="B189" s="73" t="s">
        <v>33</v>
      </c>
      <c r="C189" s="73"/>
      <c r="D189" s="73"/>
      <c r="E189" s="74"/>
      <c r="F189" s="71">
        <v>0</v>
      </c>
      <c r="G189" s="71">
        <v>9</v>
      </c>
      <c r="H189" s="71">
        <v>9</v>
      </c>
      <c r="I189" s="4">
        <v>19940</v>
      </c>
      <c r="J189" s="71">
        <v>0</v>
      </c>
      <c r="K189" s="71">
        <v>0</v>
      </c>
      <c r="L189" s="71">
        <f t="shared" si="12"/>
        <v>43684</v>
      </c>
      <c r="M189" s="71">
        <f t="shared" si="13"/>
        <v>45</v>
      </c>
    </row>
    <row r="190" spans="1:13" hidden="1">
      <c r="A190" s="27">
        <v>45937</v>
      </c>
      <c r="B190" s="73" t="s">
        <v>33</v>
      </c>
      <c r="C190" s="73"/>
      <c r="D190" s="73"/>
      <c r="E190" s="74"/>
      <c r="F190" s="71">
        <v>0</v>
      </c>
      <c r="G190" s="71">
        <v>10</v>
      </c>
      <c r="H190" s="71">
        <v>10</v>
      </c>
      <c r="I190" s="4">
        <v>19950</v>
      </c>
      <c r="J190" s="71">
        <v>0</v>
      </c>
      <c r="K190" s="71">
        <v>0</v>
      </c>
      <c r="L190" s="71">
        <f t="shared" si="12"/>
        <v>43684</v>
      </c>
      <c r="M190" s="71">
        <f t="shared" si="13"/>
        <v>45</v>
      </c>
    </row>
    <row r="191" spans="1:13" hidden="1">
      <c r="A191" s="27">
        <v>45938</v>
      </c>
      <c r="B191" s="73" t="s">
        <v>33</v>
      </c>
      <c r="C191" s="73"/>
      <c r="D191" s="73"/>
      <c r="E191" s="74"/>
      <c r="F191" s="71">
        <v>0</v>
      </c>
      <c r="G191" s="71">
        <v>7</v>
      </c>
      <c r="H191" s="71">
        <v>7</v>
      </c>
      <c r="I191" s="4">
        <v>19957</v>
      </c>
      <c r="J191" s="71">
        <v>0</v>
      </c>
      <c r="K191" s="71">
        <v>0</v>
      </c>
      <c r="L191" s="71">
        <f t="shared" si="12"/>
        <v>43684</v>
      </c>
      <c r="M191" s="71">
        <f t="shared" si="13"/>
        <v>45</v>
      </c>
    </row>
    <row r="192" spans="1:13" hidden="1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1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1">
        <v>1</v>
      </c>
      <c r="L192" s="71">
        <f t="shared" si="12"/>
        <v>45332</v>
      </c>
      <c r="M192" s="71">
        <f t="shared" si="13"/>
        <v>46</v>
      </c>
    </row>
    <row r="193" spans="1:13" hidden="1">
      <c r="A193" s="27">
        <v>45939</v>
      </c>
      <c r="B193" s="73" t="s">
        <v>33</v>
      </c>
      <c r="C193" s="73"/>
      <c r="D193" s="73"/>
      <c r="E193" s="74"/>
      <c r="F193" s="71">
        <v>0</v>
      </c>
      <c r="G193" s="71">
        <v>8</v>
      </c>
      <c r="H193" s="71">
        <v>8</v>
      </c>
      <c r="I193" s="4">
        <v>21294</v>
      </c>
      <c r="J193" s="71">
        <v>0</v>
      </c>
      <c r="K193" s="71">
        <v>0</v>
      </c>
      <c r="L193" s="71">
        <f t="shared" si="12"/>
        <v>45332</v>
      </c>
      <c r="M193" s="71">
        <f t="shared" si="13"/>
        <v>46</v>
      </c>
    </row>
    <row r="194" spans="1:13" hidden="1">
      <c r="A194" s="27">
        <v>45940</v>
      </c>
      <c r="B194" s="73" t="s">
        <v>65</v>
      </c>
      <c r="C194" s="73"/>
      <c r="D194" s="73"/>
      <c r="E194" s="74"/>
      <c r="F194" s="4">
        <v>7252</v>
      </c>
      <c r="G194" s="71">
        <v>0</v>
      </c>
      <c r="H194" s="4">
        <v>7252</v>
      </c>
      <c r="I194" s="4">
        <v>28546</v>
      </c>
      <c r="J194" s="71">
        <v>0</v>
      </c>
      <c r="K194" s="71">
        <v>0</v>
      </c>
      <c r="L194" s="71">
        <f t="shared" si="12"/>
        <v>45332</v>
      </c>
      <c r="M194" s="71">
        <f t="shared" si="13"/>
        <v>46</v>
      </c>
    </row>
    <row r="195" spans="1:13" hidden="1">
      <c r="A195" s="27">
        <v>45940</v>
      </c>
      <c r="B195" s="73" t="s">
        <v>33</v>
      </c>
      <c r="C195" s="73"/>
      <c r="D195" s="73"/>
      <c r="E195" s="74"/>
      <c r="F195" s="71">
        <v>0</v>
      </c>
      <c r="G195" s="71">
        <v>7</v>
      </c>
      <c r="H195" s="71">
        <v>7</v>
      </c>
      <c r="I195" s="4">
        <v>28553</v>
      </c>
      <c r="J195" s="71">
        <v>0</v>
      </c>
      <c r="K195" s="71">
        <v>0</v>
      </c>
      <c r="L195" s="71">
        <f t="shared" si="12"/>
        <v>45332</v>
      </c>
      <c r="M195" s="71">
        <f t="shared" si="13"/>
        <v>46</v>
      </c>
    </row>
    <row r="196" spans="1:13" hidden="1">
      <c r="A196" s="27">
        <v>45941</v>
      </c>
      <c r="B196" s="73" t="s">
        <v>33</v>
      </c>
      <c r="C196" s="73"/>
      <c r="D196" s="73"/>
      <c r="E196" s="74"/>
      <c r="F196" s="71">
        <v>0</v>
      </c>
      <c r="G196" s="71">
        <v>57</v>
      </c>
      <c r="H196" s="71">
        <v>57</v>
      </c>
      <c r="I196" s="4">
        <v>28610</v>
      </c>
      <c r="J196" s="71">
        <v>0</v>
      </c>
      <c r="K196" s="71">
        <v>0</v>
      </c>
      <c r="L196" s="71">
        <f t="shared" si="12"/>
        <v>45332</v>
      </c>
      <c r="M196" s="71">
        <f t="shared" si="13"/>
        <v>46</v>
      </c>
    </row>
    <row r="197" spans="1:13" hidden="1">
      <c r="A197" s="29">
        <v>45942</v>
      </c>
      <c r="B197" s="75" t="s">
        <v>33</v>
      </c>
      <c r="C197" s="75"/>
      <c r="D197" s="75"/>
      <c r="E197" s="76"/>
      <c r="F197" s="72">
        <v>0</v>
      </c>
      <c r="G197" s="72">
        <v>23</v>
      </c>
      <c r="H197" s="72">
        <v>23</v>
      </c>
      <c r="I197" s="30">
        <v>28633</v>
      </c>
      <c r="J197" s="72">
        <v>0</v>
      </c>
      <c r="K197" s="72">
        <v>0</v>
      </c>
      <c r="L197" s="71">
        <f t="shared" si="12"/>
        <v>45332</v>
      </c>
      <c r="M197" s="71">
        <f t="shared" si="13"/>
        <v>46</v>
      </c>
    </row>
    <row r="198" spans="1:13" hidden="1">
      <c r="A198" s="27">
        <v>45943</v>
      </c>
      <c r="B198" s="73" t="s">
        <v>33</v>
      </c>
      <c r="C198" s="73"/>
      <c r="D198" s="73"/>
      <c r="E198" s="74"/>
      <c r="F198" s="71">
        <v>0</v>
      </c>
      <c r="G198" s="71">
        <v>8</v>
      </c>
      <c r="H198" s="71">
        <v>8</v>
      </c>
      <c r="I198" s="4">
        <v>29982</v>
      </c>
      <c r="J198" s="71">
        <v>0</v>
      </c>
      <c r="K198" s="71">
        <v>0</v>
      </c>
      <c r="L198" s="71">
        <f t="shared" ref="L198:L206" si="14">J198+L197</f>
        <v>45332</v>
      </c>
      <c r="M198" s="71">
        <f t="shared" ref="M198:M206" si="15">K198+M197</f>
        <v>46</v>
      </c>
    </row>
    <row r="199" spans="1:13" hidden="1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1">
        <v>0</v>
      </c>
      <c r="G199" s="71">
        <v>0</v>
      </c>
      <c r="H199" s="71">
        <v>0</v>
      </c>
      <c r="I199" s="4">
        <v>29982</v>
      </c>
      <c r="J199" s="71">
        <v>0</v>
      </c>
      <c r="K199" s="71">
        <v>0</v>
      </c>
      <c r="L199" s="71">
        <f t="shared" si="14"/>
        <v>45332</v>
      </c>
      <c r="M199" s="71">
        <f t="shared" si="15"/>
        <v>46</v>
      </c>
    </row>
    <row r="200" spans="1:13" hidden="1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1">
        <v>0</v>
      </c>
      <c r="G200" s="71">
        <v>0</v>
      </c>
      <c r="H200" s="71">
        <v>0</v>
      </c>
      <c r="I200" s="4">
        <v>29982</v>
      </c>
      <c r="J200" s="71">
        <v>0</v>
      </c>
      <c r="K200" s="71">
        <v>0</v>
      </c>
      <c r="L200" s="71">
        <f t="shared" si="14"/>
        <v>45332</v>
      </c>
      <c r="M200" s="71">
        <f t="shared" si="15"/>
        <v>46</v>
      </c>
    </row>
    <row r="201" spans="1:13" hidden="1">
      <c r="A201" s="27">
        <v>45944</v>
      </c>
      <c r="B201" s="73" t="s">
        <v>33</v>
      </c>
      <c r="C201" s="73"/>
      <c r="D201" s="73"/>
      <c r="E201" s="74"/>
      <c r="F201" s="71">
        <v>0</v>
      </c>
      <c r="G201" s="71">
        <v>11</v>
      </c>
      <c r="H201" s="71">
        <v>11</v>
      </c>
      <c r="I201" s="4">
        <v>29993</v>
      </c>
      <c r="J201" s="71">
        <v>0</v>
      </c>
      <c r="K201" s="71">
        <v>0</v>
      </c>
      <c r="L201" s="71">
        <f t="shared" si="14"/>
        <v>45332</v>
      </c>
      <c r="M201" s="71">
        <f t="shared" si="15"/>
        <v>46</v>
      </c>
    </row>
    <row r="202" spans="1:13" hidden="1">
      <c r="A202" s="27">
        <v>45945</v>
      </c>
      <c r="B202" s="73" t="s">
        <v>33</v>
      </c>
      <c r="C202" s="73"/>
      <c r="D202" s="73"/>
      <c r="E202" s="74"/>
      <c r="F202" s="71">
        <v>0</v>
      </c>
      <c r="G202" s="71">
        <v>11</v>
      </c>
      <c r="H202" s="71">
        <v>11</v>
      </c>
      <c r="I202" s="4">
        <v>30004</v>
      </c>
      <c r="J202" s="71">
        <v>0</v>
      </c>
      <c r="K202" s="71">
        <v>0</v>
      </c>
      <c r="L202" s="71">
        <f t="shared" si="14"/>
        <v>45332</v>
      </c>
      <c r="M202" s="71">
        <f t="shared" si="15"/>
        <v>46</v>
      </c>
    </row>
    <row r="203" spans="1:13" hidden="1">
      <c r="A203" s="27">
        <v>45946</v>
      </c>
      <c r="B203" s="73" t="s">
        <v>33</v>
      </c>
      <c r="C203" s="73"/>
      <c r="D203" s="73"/>
      <c r="E203" s="74"/>
      <c r="F203" s="71">
        <v>0</v>
      </c>
      <c r="G203" s="71">
        <v>7</v>
      </c>
      <c r="H203" s="71">
        <v>7</v>
      </c>
      <c r="I203" s="4">
        <v>30011</v>
      </c>
      <c r="J203" s="71">
        <v>0</v>
      </c>
      <c r="K203" s="71">
        <v>0</v>
      </c>
      <c r="L203" s="71">
        <f t="shared" si="14"/>
        <v>45332</v>
      </c>
      <c r="M203" s="71">
        <f t="shared" si="15"/>
        <v>46</v>
      </c>
    </row>
    <row r="204" spans="1:13" hidden="1">
      <c r="A204" s="27">
        <v>45947</v>
      </c>
      <c r="B204" s="73" t="s">
        <v>33</v>
      </c>
      <c r="C204" s="73"/>
      <c r="D204" s="73"/>
      <c r="E204" s="74"/>
      <c r="F204" s="71">
        <v>0</v>
      </c>
      <c r="G204" s="71">
        <v>6</v>
      </c>
      <c r="H204" s="71">
        <v>6</v>
      </c>
      <c r="I204" s="4">
        <v>30017</v>
      </c>
      <c r="J204" s="71">
        <v>0</v>
      </c>
      <c r="K204" s="71">
        <v>0</v>
      </c>
      <c r="L204" s="71">
        <f t="shared" si="14"/>
        <v>45332</v>
      </c>
      <c r="M204" s="71">
        <f t="shared" si="15"/>
        <v>46</v>
      </c>
    </row>
    <row r="205" spans="1:13" hidden="1">
      <c r="A205" s="27">
        <v>45948</v>
      </c>
      <c r="B205" s="73" t="s">
        <v>33</v>
      </c>
      <c r="C205" s="73"/>
      <c r="D205" s="73"/>
      <c r="E205" s="74"/>
      <c r="F205" s="71">
        <v>0</v>
      </c>
      <c r="G205" s="71">
        <v>8</v>
      </c>
      <c r="H205" s="71">
        <v>8</v>
      </c>
      <c r="I205" s="4">
        <v>30025</v>
      </c>
      <c r="J205" s="71">
        <v>0</v>
      </c>
      <c r="K205" s="71">
        <v>0</v>
      </c>
      <c r="L205" s="71">
        <f t="shared" si="14"/>
        <v>45332</v>
      </c>
      <c r="M205" s="71">
        <f t="shared" si="15"/>
        <v>46</v>
      </c>
    </row>
    <row r="206" spans="1:13" hidden="1">
      <c r="A206" s="29">
        <v>45949</v>
      </c>
      <c r="B206" s="75" t="s">
        <v>33</v>
      </c>
      <c r="C206" s="75"/>
      <c r="D206" s="75"/>
      <c r="E206" s="76"/>
      <c r="F206" s="72">
        <v>0</v>
      </c>
      <c r="G206" s="72">
        <v>17</v>
      </c>
      <c r="H206" s="72">
        <v>17</v>
      </c>
      <c r="I206" s="30">
        <v>30042</v>
      </c>
      <c r="J206" s="72">
        <v>0</v>
      </c>
      <c r="K206" s="72">
        <v>0</v>
      </c>
      <c r="L206" s="71">
        <f t="shared" si="14"/>
        <v>45332</v>
      </c>
      <c r="M206" s="71">
        <f t="shared" si="15"/>
        <v>46</v>
      </c>
    </row>
    <row r="207" spans="1:13" hidden="1">
      <c r="A207" s="27">
        <v>45950</v>
      </c>
      <c r="B207" s="73" t="s">
        <v>33</v>
      </c>
      <c r="C207" s="73"/>
      <c r="D207" s="73"/>
      <c r="E207" s="74"/>
      <c r="F207" s="71">
        <v>0</v>
      </c>
      <c r="G207" s="71">
        <v>57</v>
      </c>
      <c r="H207" s="71">
        <v>57</v>
      </c>
      <c r="I207" s="4">
        <v>31102</v>
      </c>
      <c r="J207" s="71">
        <v>0</v>
      </c>
      <c r="K207" s="71">
        <v>0</v>
      </c>
      <c r="L207" s="71">
        <f t="shared" ref="L207:L216" si="16">J207+L206</f>
        <v>45332</v>
      </c>
      <c r="M207" s="71">
        <f t="shared" ref="M207:M216" si="17">K207+M206</f>
        <v>46</v>
      </c>
    </row>
    <row r="208" spans="1:13" hidden="1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1">
        <v>308</v>
      </c>
      <c r="G208" s="28">
        <v>373</v>
      </c>
      <c r="H208" s="71">
        <v>681</v>
      </c>
      <c r="I208" s="4">
        <v>31783</v>
      </c>
      <c r="J208" s="4">
        <v>1016</v>
      </c>
      <c r="K208" s="71">
        <v>1</v>
      </c>
      <c r="L208" s="71">
        <f t="shared" si="16"/>
        <v>46348</v>
      </c>
      <c r="M208" s="71">
        <f t="shared" si="17"/>
        <v>47</v>
      </c>
    </row>
    <row r="209" spans="1:13" hidden="1">
      <c r="A209" s="27">
        <v>45951</v>
      </c>
      <c r="B209" s="73" t="s">
        <v>33</v>
      </c>
      <c r="C209" s="73"/>
      <c r="D209" s="73"/>
      <c r="E209" s="74"/>
      <c r="F209" s="71">
        <v>0</v>
      </c>
      <c r="G209" s="71">
        <v>17</v>
      </c>
      <c r="H209" s="71">
        <v>17</v>
      </c>
      <c r="I209" s="4">
        <v>31800</v>
      </c>
      <c r="J209" s="71">
        <v>0</v>
      </c>
      <c r="K209" s="71">
        <v>0</v>
      </c>
      <c r="L209" s="71">
        <f t="shared" si="16"/>
        <v>46348</v>
      </c>
      <c r="M209" s="71">
        <f t="shared" si="17"/>
        <v>47</v>
      </c>
    </row>
    <row r="210" spans="1:13" hidden="1">
      <c r="A210" s="27">
        <v>45952</v>
      </c>
      <c r="B210" s="73" t="s">
        <v>33</v>
      </c>
      <c r="C210" s="73"/>
      <c r="D210" s="73"/>
      <c r="E210" s="74"/>
      <c r="F210" s="71">
        <v>0</v>
      </c>
      <c r="G210" s="71">
        <v>7</v>
      </c>
      <c r="H210" s="71">
        <v>7</v>
      </c>
      <c r="I210" s="4">
        <v>31807</v>
      </c>
      <c r="J210" s="71">
        <v>0</v>
      </c>
      <c r="K210" s="71">
        <v>0</v>
      </c>
      <c r="L210" s="71">
        <f t="shared" si="16"/>
        <v>46348</v>
      </c>
      <c r="M210" s="71">
        <f t="shared" si="17"/>
        <v>47</v>
      </c>
    </row>
    <row r="211" spans="1:13" hidden="1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1">
        <v>131</v>
      </c>
      <c r="G211" s="28">
        <v>188</v>
      </c>
      <c r="H211" s="71">
        <v>319</v>
      </c>
      <c r="I211" s="4">
        <v>32126</v>
      </c>
      <c r="J211" s="71">
        <v>662</v>
      </c>
      <c r="K211" s="71">
        <v>1</v>
      </c>
      <c r="L211" s="71">
        <f t="shared" si="16"/>
        <v>47010</v>
      </c>
      <c r="M211" s="71">
        <f t="shared" si="17"/>
        <v>48</v>
      </c>
    </row>
    <row r="212" spans="1:13" hidden="1">
      <c r="A212" s="27">
        <v>45953</v>
      </c>
      <c r="B212" s="73" t="s">
        <v>33</v>
      </c>
      <c r="C212" s="73"/>
      <c r="D212" s="73"/>
      <c r="E212" s="74"/>
      <c r="F212" s="71">
        <v>0</v>
      </c>
      <c r="G212" s="71">
        <v>3</v>
      </c>
      <c r="H212" s="71">
        <v>3</v>
      </c>
      <c r="I212" s="4">
        <v>32129</v>
      </c>
      <c r="J212" s="71">
        <v>0</v>
      </c>
      <c r="K212" s="71">
        <v>0</v>
      </c>
      <c r="L212" s="71">
        <f t="shared" si="16"/>
        <v>47010</v>
      </c>
      <c r="M212" s="71">
        <f t="shared" si="17"/>
        <v>48</v>
      </c>
    </row>
    <row r="213" spans="1:13" hidden="1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1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1">
        <v>1</v>
      </c>
      <c r="L213" s="71">
        <f t="shared" si="16"/>
        <v>48658</v>
      </c>
      <c r="M213" s="71">
        <f t="shared" si="17"/>
        <v>49</v>
      </c>
    </row>
    <row r="214" spans="1:13" hidden="1">
      <c r="A214" s="27">
        <v>45954</v>
      </c>
      <c r="B214" s="73" t="s">
        <v>33</v>
      </c>
      <c r="C214" s="73"/>
      <c r="D214" s="73"/>
      <c r="E214" s="74"/>
      <c r="F214" s="71">
        <v>0</v>
      </c>
      <c r="G214" s="71">
        <v>60</v>
      </c>
      <c r="H214" s="71">
        <v>60</v>
      </c>
      <c r="I214" s="4">
        <v>33518</v>
      </c>
      <c r="J214" s="71">
        <v>0</v>
      </c>
      <c r="K214" s="71">
        <v>0</v>
      </c>
      <c r="L214" s="71">
        <f t="shared" si="16"/>
        <v>48658</v>
      </c>
      <c r="M214" s="71">
        <f t="shared" si="17"/>
        <v>49</v>
      </c>
    </row>
    <row r="215" spans="1:13" hidden="1">
      <c r="A215" s="27">
        <v>45955</v>
      </c>
      <c r="B215" s="73" t="s">
        <v>33</v>
      </c>
      <c r="C215" s="73"/>
      <c r="D215" s="73"/>
      <c r="E215" s="74"/>
      <c r="F215" s="71">
        <v>0</v>
      </c>
      <c r="G215" s="71">
        <v>8</v>
      </c>
      <c r="H215" s="71">
        <v>8</v>
      </c>
      <c r="I215" s="4">
        <v>33526</v>
      </c>
      <c r="J215" s="71">
        <v>0</v>
      </c>
      <c r="K215" s="71">
        <v>0</v>
      </c>
      <c r="L215" s="71">
        <f t="shared" si="16"/>
        <v>48658</v>
      </c>
      <c r="M215" s="71">
        <f t="shared" si="17"/>
        <v>49</v>
      </c>
    </row>
    <row r="216" spans="1:13" hidden="1">
      <c r="A216" s="29">
        <v>45956</v>
      </c>
      <c r="B216" s="75" t="s">
        <v>33</v>
      </c>
      <c r="C216" s="75"/>
      <c r="D216" s="75"/>
      <c r="E216" s="76"/>
      <c r="F216" s="72">
        <v>0</v>
      </c>
      <c r="G216" s="72">
        <v>19</v>
      </c>
      <c r="H216" s="72">
        <v>19</v>
      </c>
      <c r="I216" s="30">
        <v>33545</v>
      </c>
      <c r="J216" s="72">
        <v>0</v>
      </c>
      <c r="K216" s="72">
        <v>0</v>
      </c>
      <c r="L216" s="71">
        <f t="shared" si="16"/>
        <v>48658</v>
      </c>
      <c r="M216" s="71">
        <f t="shared" si="17"/>
        <v>49</v>
      </c>
    </row>
    <row r="217" spans="1:13" hidden="1">
      <c r="A217" s="27">
        <v>45957</v>
      </c>
      <c r="B217" s="73" t="s">
        <v>33</v>
      </c>
      <c r="C217" s="73"/>
      <c r="D217" s="73"/>
      <c r="E217" s="74"/>
      <c r="F217" s="71">
        <v>0</v>
      </c>
      <c r="G217" s="71">
        <v>7</v>
      </c>
      <c r="H217" s="71">
        <v>7</v>
      </c>
      <c r="I217" s="4">
        <v>33554</v>
      </c>
      <c r="J217" s="71">
        <v>0</v>
      </c>
      <c r="K217" s="71">
        <v>0</v>
      </c>
      <c r="L217" s="71">
        <f t="shared" ref="L217:L223" si="18">J217+L216</f>
        <v>48658</v>
      </c>
      <c r="M217" s="71">
        <f t="shared" ref="M217:M223" si="19">K217+M216</f>
        <v>49</v>
      </c>
    </row>
    <row r="218" spans="1:13" hidden="1">
      <c r="A218" s="27">
        <v>45958</v>
      </c>
      <c r="B218" s="73" t="s">
        <v>33</v>
      </c>
      <c r="C218" s="73"/>
      <c r="D218" s="73"/>
      <c r="E218" s="74"/>
      <c r="F218" s="71">
        <v>0</v>
      </c>
      <c r="G218" s="71">
        <v>10</v>
      </c>
      <c r="H218" s="71">
        <v>10</v>
      </c>
      <c r="I218" s="4">
        <v>33564</v>
      </c>
      <c r="J218" s="71">
        <v>0</v>
      </c>
      <c r="K218" s="71">
        <v>0</v>
      </c>
      <c r="L218" s="71">
        <f t="shared" si="18"/>
        <v>48658</v>
      </c>
      <c r="M218" s="71">
        <f t="shared" si="19"/>
        <v>49</v>
      </c>
    </row>
    <row r="219" spans="1:13" hidden="1">
      <c r="A219" s="27">
        <v>45959</v>
      </c>
      <c r="B219" s="73" t="s">
        <v>33</v>
      </c>
      <c r="C219" s="73"/>
      <c r="D219" s="73"/>
      <c r="E219" s="74"/>
      <c r="F219" s="71">
        <v>0</v>
      </c>
      <c r="G219" s="71">
        <v>9</v>
      </c>
      <c r="H219" s="71">
        <v>9</v>
      </c>
      <c r="I219" s="4">
        <v>33573</v>
      </c>
      <c r="J219" s="71">
        <v>0</v>
      </c>
      <c r="K219" s="71">
        <v>0</v>
      </c>
      <c r="L219" s="71">
        <f t="shared" si="18"/>
        <v>48658</v>
      </c>
      <c r="M219" s="71">
        <f t="shared" si="19"/>
        <v>49</v>
      </c>
    </row>
    <row r="220" spans="1:13" hidden="1">
      <c r="A220" s="27">
        <v>45960</v>
      </c>
      <c r="B220" s="73" t="s">
        <v>33</v>
      </c>
      <c r="C220" s="73"/>
      <c r="D220" s="73"/>
      <c r="E220" s="74"/>
      <c r="F220" s="71">
        <v>0</v>
      </c>
      <c r="G220" s="71">
        <v>9</v>
      </c>
      <c r="H220" s="71">
        <v>9</v>
      </c>
      <c r="I220" s="4">
        <v>33582</v>
      </c>
      <c r="J220" s="71">
        <v>0</v>
      </c>
      <c r="K220" s="71">
        <v>0</v>
      </c>
      <c r="L220" s="71">
        <f t="shared" si="18"/>
        <v>48658</v>
      </c>
      <c r="M220" s="71">
        <f t="shared" si="19"/>
        <v>49</v>
      </c>
    </row>
    <row r="221" spans="1:13" hidden="1">
      <c r="A221" s="27">
        <v>45961</v>
      </c>
      <c r="B221" s="73" t="s">
        <v>33</v>
      </c>
      <c r="C221" s="73"/>
      <c r="D221" s="73"/>
      <c r="E221" s="74"/>
      <c r="F221" s="71">
        <v>0</v>
      </c>
      <c r="G221" s="71">
        <v>11</v>
      </c>
      <c r="H221" s="71">
        <v>11</v>
      </c>
      <c r="I221" s="4">
        <v>33593</v>
      </c>
      <c r="J221" s="71">
        <v>0</v>
      </c>
      <c r="K221" s="71">
        <v>0</v>
      </c>
      <c r="L221" s="71">
        <f t="shared" si="18"/>
        <v>48658</v>
      </c>
      <c r="M221" s="71">
        <f t="shared" si="19"/>
        <v>49</v>
      </c>
    </row>
    <row r="222" spans="1:13" hidden="1">
      <c r="A222" s="27">
        <v>45962</v>
      </c>
      <c r="B222" s="73" t="s">
        <v>33</v>
      </c>
      <c r="C222" s="73"/>
      <c r="D222" s="73"/>
      <c r="E222" s="74"/>
      <c r="F222" s="71">
        <v>0</v>
      </c>
      <c r="G222" s="71">
        <v>27</v>
      </c>
      <c r="H222" s="71">
        <v>27</v>
      </c>
      <c r="I222" s="4">
        <v>33620</v>
      </c>
      <c r="J222" s="71">
        <v>0</v>
      </c>
      <c r="K222" s="71">
        <v>0</v>
      </c>
      <c r="L222" s="71">
        <f t="shared" si="18"/>
        <v>48658</v>
      </c>
      <c r="M222" s="71">
        <f t="shared" si="19"/>
        <v>49</v>
      </c>
    </row>
    <row r="223" spans="1:13" hidden="1">
      <c r="A223" s="29">
        <v>45963</v>
      </c>
      <c r="B223" s="75" t="s">
        <v>33</v>
      </c>
      <c r="C223" s="75"/>
      <c r="D223" s="75"/>
      <c r="E223" s="76"/>
      <c r="F223" s="72">
        <v>0</v>
      </c>
      <c r="G223" s="72">
        <v>21</v>
      </c>
      <c r="H223" s="72">
        <v>21</v>
      </c>
      <c r="I223" s="30">
        <v>33641</v>
      </c>
      <c r="J223" s="72">
        <v>0</v>
      </c>
      <c r="K223" s="72">
        <v>0</v>
      </c>
      <c r="L223" s="71">
        <f t="shared" si="18"/>
        <v>48658</v>
      </c>
      <c r="M223" s="71">
        <f t="shared" si="19"/>
        <v>49</v>
      </c>
    </row>
    <row r="224" spans="1:13" hidden="1">
      <c r="A224" s="27">
        <v>45964</v>
      </c>
      <c r="B224" s="73" t="s">
        <v>33</v>
      </c>
      <c r="C224" s="73"/>
      <c r="D224" s="73"/>
      <c r="E224" s="74"/>
      <c r="F224" s="71">
        <v>0</v>
      </c>
      <c r="G224" s="71">
        <v>15</v>
      </c>
      <c r="H224" s="71">
        <v>15</v>
      </c>
      <c r="I224" s="4">
        <v>33663</v>
      </c>
      <c r="J224" s="71">
        <v>0</v>
      </c>
      <c r="K224" s="71">
        <v>0</v>
      </c>
      <c r="L224" s="71">
        <f t="shared" ref="L224:L240" si="20">J224+L223</f>
        <v>48658</v>
      </c>
      <c r="M224" s="71">
        <f t="shared" ref="M224:M240" si="21">K224+M223</f>
        <v>49</v>
      </c>
    </row>
    <row r="225" spans="1:13" hidden="1">
      <c r="A225" s="27">
        <v>45965</v>
      </c>
      <c r="B225" s="73" t="s">
        <v>33</v>
      </c>
      <c r="C225" s="73"/>
      <c r="D225" s="73"/>
      <c r="E225" s="74"/>
      <c r="F225" s="71">
        <v>0</v>
      </c>
      <c r="G225" s="71">
        <v>10</v>
      </c>
      <c r="H225" s="71">
        <v>10</v>
      </c>
      <c r="I225" s="4">
        <v>33673</v>
      </c>
      <c r="J225" s="71">
        <v>0</v>
      </c>
      <c r="K225" s="71">
        <v>0</v>
      </c>
      <c r="L225" s="71">
        <f t="shared" si="20"/>
        <v>48658</v>
      </c>
      <c r="M225" s="71">
        <f t="shared" si="21"/>
        <v>49</v>
      </c>
    </row>
    <row r="226" spans="1:13" hidden="1">
      <c r="A226" s="27">
        <v>45966</v>
      </c>
      <c r="B226" s="73" t="s">
        <v>33</v>
      </c>
      <c r="C226" s="73"/>
      <c r="D226" s="73"/>
      <c r="E226" s="74"/>
      <c r="F226" s="71">
        <v>0</v>
      </c>
      <c r="G226" s="71">
        <v>10</v>
      </c>
      <c r="H226" s="71">
        <v>10</v>
      </c>
      <c r="I226" s="4">
        <v>33683</v>
      </c>
      <c r="J226" s="71">
        <v>0</v>
      </c>
      <c r="K226" s="71">
        <v>0</v>
      </c>
      <c r="L226" s="71">
        <f t="shared" si="20"/>
        <v>48658</v>
      </c>
      <c r="M226" s="71">
        <f t="shared" si="21"/>
        <v>49</v>
      </c>
    </row>
    <row r="227" spans="1:13" hidden="1">
      <c r="A227" s="27">
        <v>45967</v>
      </c>
      <c r="B227" s="73" t="s">
        <v>33</v>
      </c>
      <c r="C227" s="73"/>
      <c r="D227" s="73"/>
      <c r="E227" s="74"/>
      <c r="F227" s="71">
        <v>0</v>
      </c>
      <c r="G227" s="71">
        <v>9</v>
      </c>
      <c r="H227" s="71">
        <v>9</v>
      </c>
      <c r="I227" s="4">
        <v>33692</v>
      </c>
      <c r="J227" s="71">
        <v>0</v>
      </c>
      <c r="K227" s="71">
        <v>0</v>
      </c>
      <c r="L227" s="71">
        <f t="shared" si="20"/>
        <v>48658</v>
      </c>
      <c r="M227" s="71">
        <f t="shared" si="21"/>
        <v>49</v>
      </c>
    </row>
    <row r="228" spans="1:13" hidden="1">
      <c r="A228" s="27">
        <v>45968</v>
      </c>
      <c r="B228" s="73" t="s">
        <v>49</v>
      </c>
      <c r="C228" s="73"/>
      <c r="D228" s="73"/>
      <c r="E228" s="74"/>
      <c r="F228" s="71">
        <v>0</v>
      </c>
      <c r="G228" s="71">
        <v>2</v>
      </c>
      <c r="H228" s="71">
        <v>2</v>
      </c>
      <c r="I228" s="4">
        <v>33694</v>
      </c>
      <c r="J228" s="71">
        <v>0</v>
      </c>
      <c r="K228" s="71">
        <v>0</v>
      </c>
      <c r="L228" s="71">
        <f t="shared" si="20"/>
        <v>48658</v>
      </c>
      <c r="M228" s="71">
        <f t="shared" si="21"/>
        <v>49</v>
      </c>
    </row>
    <row r="229" spans="1:13" hidden="1">
      <c r="A229" s="27">
        <v>45968</v>
      </c>
      <c r="B229" s="73" t="s">
        <v>33</v>
      </c>
      <c r="C229" s="73"/>
      <c r="D229" s="73"/>
      <c r="E229" s="74"/>
      <c r="F229" s="71">
        <v>0</v>
      </c>
      <c r="G229" s="71">
        <v>7</v>
      </c>
      <c r="H229" s="71">
        <v>7</v>
      </c>
      <c r="I229" s="4">
        <v>33701</v>
      </c>
      <c r="J229" s="71">
        <v>0</v>
      </c>
      <c r="K229" s="71">
        <v>0</v>
      </c>
      <c r="L229" s="71">
        <f t="shared" si="20"/>
        <v>48658</v>
      </c>
      <c r="M229" s="71">
        <f t="shared" si="21"/>
        <v>49</v>
      </c>
    </row>
    <row r="230" spans="1:13" hidden="1">
      <c r="A230" s="27">
        <v>45969</v>
      </c>
      <c r="B230" s="73" t="s">
        <v>33</v>
      </c>
      <c r="C230" s="73"/>
      <c r="D230" s="73"/>
      <c r="E230" s="74"/>
      <c r="F230" s="71">
        <v>0</v>
      </c>
      <c r="G230" s="71">
        <v>9</v>
      </c>
      <c r="H230" s="71">
        <v>9</v>
      </c>
      <c r="I230" s="4">
        <v>33710</v>
      </c>
      <c r="J230" s="71">
        <v>0</v>
      </c>
      <c r="K230" s="71">
        <v>0</v>
      </c>
      <c r="L230" s="71">
        <f t="shared" si="20"/>
        <v>48658</v>
      </c>
      <c r="M230" s="71">
        <f t="shared" si="21"/>
        <v>49</v>
      </c>
    </row>
    <row r="231" spans="1:13" hidden="1">
      <c r="A231" s="27">
        <v>45970</v>
      </c>
      <c r="B231" s="73" t="s">
        <v>49</v>
      </c>
      <c r="C231" s="73"/>
      <c r="D231" s="73"/>
      <c r="E231" s="74"/>
      <c r="F231" s="71">
        <v>0</v>
      </c>
      <c r="G231" s="71">
        <v>1</v>
      </c>
      <c r="H231" s="71">
        <v>1</v>
      </c>
      <c r="I231" s="4">
        <v>33711</v>
      </c>
      <c r="J231" s="71">
        <v>0</v>
      </c>
      <c r="K231" s="71">
        <v>0</v>
      </c>
      <c r="L231" s="71">
        <f t="shared" si="20"/>
        <v>48658</v>
      </c>
      <c r="M231" s="71">
        <f t="shared" si="21"/>
        <v>49</v>
      </c>
    </row>
    <row r="232" spans="1:13" hidden="1">
      <c r="A232" s="27">
        <v>45970</v>
      </c>
      <c r="B232" s="73" t="s">
        <v>33</v>
      </c>
      <c r="C232" s="73"/>
      <c r="D232" s="73"/>
      <c r="E232" s="74"/>
      <c r="F232" s="71">
        <v>0</v>
      </c>
      <c r="G232" s="71">
        <v>22</v>
      </c>
      <c r="H232" s="71">
        <v>22</v>
      </c>
      <c r="I232" s="4">
        <v>33733</v>
      </c>
      <c r="J232" s="71">
        <v>0</v>
      </c>
      <c r="K232" s="71">
        <v>0</v>
      </c>
      <c r="L232" s="71">
        <f t="shared" si="20"/>
        <v>48658</v>
      </c>
      <c r="M232" s="71">
        <f t="shared" si="21"/>
        <v>49</v>
      </c>
    </row>
    <row r="233" spans="1:13" hidden="1">
      <c r="A233" s="27">
        <v>45971</v>
      </c>
      <c r="B233" s="73" t="s">
        <v>65</v>
      </c>
      <c r="C233" s="73"/>
      <c r="D233" s="73"/>
      <c r="E233" s="74"/>
      <c r="F233" s="4">
        <v>7457</v>
      </c>
      <c r="G233" s="71">
        <v>0</v>
      </c>
      <c r="H233" s="4">
        <v>7457</v>
      </c>
      <c r="I233" s="4">
        <v>41190</v>
      </c>
      <c r="J233" s="71">
        <v>0</v>
      </c>
      <c r="K233" s="71">
        <v>0</v>
      </c>
      <c r="L233" s="71">
        <f t="shared" si="20"/>
        <v>48658</v>
      </c>
      <c r="M233" s="71">
        <f t="shared" si="21"/>
        <v>49</v>
      </c>
    </row>
    <row r="234" spans="1:13" hidden="1">
      <c r="A234" s="27">
        <v>45971</v>
      </c>
      <c r="B234" s="73" t="s">
        <v>33</v>
      </c>
      <c r="C234" s="73"/>
      <c r="D234" s="73"/>
      <c r="E234" s="74"/>
      <c r="F234" s="71">
        <v>0</v>
      </c>
      <c r="G234" s="71">
        <v>9</v>
      </c>
      <c r="H234" s="71">
        <v>9</v>
      </c>
      <c r="I234" s="4">
        <v>41199</v>
      </c>
      <c r="J234" s="71">
        <v>0</v>
      </c>
      <c r="K234" s="71">
        <v>0</v>
      </c>
      <c r="L234" s="71">
        <f t="shared" si="20"/>
        <v>48658</v>
      </c>
      <c r="M234" s="71">
        <f t="shared" si="21"/>
        <v>49</v>
      </c>
    </row>
    <row r="235" spans="1:13" hidden="1">
      <c r="A235" s="27">
        <v>45972</v>
      </c>
      <c r="B235" s="73" t="s">
        <v>33</v>
      </c>
      <c r="C235" s="73"/>
      <c r="D235" s="73"/>
      <c r="E235" s="74"/>
      <c r="F235" s="71">
        <v>0</v>
      </c>
      <c r="G235" s="71">
        <v>8</v>
      </c>
      <c r="H235" s="71">
        <v>8</v>
      </c>
      <c r="I235" s="4">
        <v>41207</v>
      </c>
      <c r="J235" s="71">
        <v>0</v>
      </c>
      <c r="K235" s="71">
        <v>0</v>
      </c>
      <c r="L235" s="71">
        <f t="shared" si="20"/>
        <v>48658</v>
      </c>
      <c r="M235" s="71">
        <f t="shared" si="21"/>
        <v>49</v>
      </c>
    </row>
    <row r="236" spans="1:13" hidden="1">
      <c r="A236" s="27">
        <v>45973</v>
      </c>
      <c r="B236" s="73" t="s">
        <v>33</v>
      </c>
      <c r="C236" s="73"/>
      <c r="D236" s="73"/>
      <c r="E236" s="74"/>
      <c r="F236" s="71">
        <v>0</v>
      </c>
      <c r="G236" s="71">
        <v>17</v>
      </c>
      <c r="H236" s="71">
        <v>17</v>
      </c>
      <c r="I236" s="4">
        <v>41224</v>
      </c>
      <c r="J236" s="71">
        <v>0</v>
      </c>
      <c r="K236" s="71">
        <v>0</v>
      </c>
      <c r="L236" s="71">
        <f t="shared" si="20"/>
        <v>48658</v>
      </c>
      <c r="M236" s="71">
        <f t="shared" si="21"/>
        <v>49</v>
      </c>
    </row>
    <row r="237" spans="1:13" hidden="1">
      <c r="A237" s="27">
        <v>45974</v>
      </c>
      <c r="B237" s="73" t="s">
        <v>33</v>
      </c>
      <c r="C237" s="73"/>
      <c r="D237" s="73"/>
      <c r="E237" s="74"/>
      <c r="F237" s="71">
        <v>0</v>
      </c>
      <c r="G237" s="71">
        <v>15</v>
      </c>
      <c r="H237" s="71">
        <v>15</v>
      </c>
      <c r="I237" s="4">
        <v>41239</v>
      </c>
      <c r="J237" s="71">
        <v>0</v>
      </c>
      <c r="K237" s="71">
        <v>0</v>
      </c>
      <c r="L237" s="71">
        <f t="shared" si="20"/>
        <v>48658</v>
      </c>
      <c r="M237" s="71">
        <f t="shared" si="21"/>
        <v>49</v>
      </c>
    </row>
    <row r="238" spans="1:13" hidden="1">
      <c r="A238" s="27">
        <v>45975</v>
      </c>
      <c r="B238" s="73" t="s">
        <v>33</v>
      </c>
      <c r="C238" s="73"/>
      <c r="D238" s="73"/>
      <c r="E238" s="74"/>
      <c r="F238" s="71">
        <v>0</v>
      </c>
      <c r="G238" s="71">
        <v>7</v>
      </c>
      <c r="H238" s="71">
        <v>7</v>
      </c>
      <c r="I238" s="4">
        <v>41246</v>
      </c>
      <c r="J238" s="71">
        <v>0</v>
      </c>
      <c r="K238" s="71">
        <v>0</v>
      </c>
      <c r="L238" s="71">
        <f t="shared" si="20"/>
        <v>48658</v>
      </c>
      <c r="M238" s="71">
        <f t="shared" si="21"/>
        <v>49</v>
      </c>
    </row>
    <row r="239" spans="1:13" hidden="1">
      <c r="A239" s="27">
        <v>45976</v>
      </c>
      <c r="B239" s="73" t="s">
        <v>33</v>
      </c>
      <c r="C239" s="73"/>
      <c r="D239" s="73"/>
      <c r="E239" s="74"/>
      <c r="F239" s="71">
        <v>0</v>
      </c>
      <c r="G239" s="71">
        <v>7</v>
      </c>
      <c r="H239" s="71">
        <v>7</v>
      </c>
      <c r="I239" s="4">
        <v>41253</v>
      </c>
      <c r="J239" s="71">
        <v>0</v>
      </c>
      <c r="K239" s="71">
        <v>0</v>
      </c>
      <c r="L239" s="71">
        <f t="shared" si="20"/>
        <v>48658</v>
      </c>
      <c r="M239" s="71">
        <f t="shared" si="21"/>
        <v>49</v>
      </c>
    </row>
    <row r="240" spans="1:13" hidden="1">
      <c r="A240" s="29">
        <v>45977</v>
      </c>
      <c r="B240" s="75" t="s">
        <v>33</v>
      </c>
      <c r="C240" s="75"/>
      <c r="D240" s="75"/>
      <c r="E240" s="76"/>
      <c r="F240" s="72">
        <v>0</v>
      </c>
      <c r="G240" s="72">
        <v>32</v>
      </c>
      <c r="H240" s="72">
        <v>32</v>
      </c>
      <c r="I240" s="30">
        <v>41285</v>
      </c>
      <c r="J240" s="72">
        <v>0</v>
      </c>
      <c r="K240" s="72">
        <v>0</v>
      </c>
      <c r="L240" s="71">
        <f t="shared" si="20"/>
        <v>48658</v>
      </c>
      <c r="M240" s="71">
        <f t="shared" si="21"/>
        <v>49</v>
      </c>
    </row>
    <row r="241" spans="1:13" hidden="1">
      <c r="A241" s="27">
        <v>45978</v>
      </c>
      <c r="B241" s="73" t="s">
        <v>33</v>
      </c>
      <c r="C241" s="73"/>
      <c r="D241" s="73"/>
      <c r="E241" s="74"/>
      <c r="F241" s="71">
        <v>0</v>
      </c>
      <c r="G241" s="71">
        <v>11</v>
      </c>
      <c r="H241" s="71">
        <v>11</v>
      </c>
      <c r="I241" s="4">
        <v>41833</v>
      </c>
      <c r="J241" s="71">
        <v>0</v>
      </c>
      <c r="K241" s="71">
        <v>0</v>
      </c>
      <c r="L241" s="71">
        <f t="shared" ref="L241:L249" si="22">J241+L240</f>
        <v>48658</v>
      </c>
      <c r="M241" s="71">
        <f t="shared" ref="M241:M249" si="23">K241+M240</f>
        <v>49</v>
      </c>
    </row>
    <row r="242" spans="1:13" hidden="1">
      <c r="A242" s="27">
        <v>45979</v>
      </c>
      <c r="B242" s="73" t="s">
        <v>33</v>
      </c>
      <c r="C242" s="73"/>
      <c r="D242" s="73"/>
      <c r="E242" s="74"/>
      <c r="F242" s="71">
        <v>0</v>
      </c>
      <c r="G242" s="71">
        <v>9</v>
      </c>
      <c r="H242" s="71">
        <v>9</v>
      </c>
      <c r="I242" s="4">
        <v>41842</v>
      </c>
      <c r="J242" s="71">
        <v>0</v>
      </c>
      <c r="K242" s="71">
        <v>0</v>
      </c>
      <c r="L242" s="71">
        <f t="shared" si="22"/>
        <v>48658</v>
      </c>
      <c r="M242" s="71">
        <f t="shared" si="23"/>
        <v>49</v>
      </c>
    </row>
    <row r="243" spans="1:13" hidden="1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1">
        <v>0</v>
      </c>
      <c r="G243" s="71">
        <v>0</v>
      </c>
      <c r="H243" s="71">
        <v>0</v>
      </c>
      <c r="I243" s="4">
        <v>41842</v>
      </c>
      <c r="J243" s="71">
        <v>0</v>
      </c>
      <c r="K243" s="71">
        <v>0</v>
      </c>
      <c r="L243" s="71">
        <f t="shared" si="22"/>
        <v>48658</v>
      </c>
      <c r="M243" s="71">
        <f t="shared" si="23"/>
        <v>49</v>
      </c>
    </row>
    <row r="244" spans="1:13" hidden="1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1">
        <v>0</v>
      </c>
      <c r="G244" s="71">
        <v>0</v>
      </c>
      <c r="H244" s="71">
        <v>0</v>
      </c>
      <c r="I244" s="4">
        <v>41842</v>
      </c>
      <c r="J244" s="71">
        <v>0</v>
      </c>
      <c r="K244" s="71">
        <v>0</v>
      </c>
      <c r="L244" s="71">
        <f t="shared" si="22"/>
        <v>48658</v>
      </c>
      <c r="M244" s="71">
        <f t="shared" si="23"/>
        <v>49</v>
      </c>
    </row>
    <row r="245" spans="1:13" hidden="1">
      <c r="A245" s="27">
        <v>45980</v>
      </c>
      <c r="B245" s="73" t="s">
        <v>33</v>
      </c>
      <c r="C245" s="73"/>
      <c r="D245" s="73"/>
      <c r="E245" s="74"/>
      <c r="F245" s="71">
        <v>0</v>
      </c>
      <c r="G245" s="71">
        <v>10</v>
      </c>
      <c r="H245" s="71">
        <v>10</v>
      </c>
      <c r="I245" s="4">
        <v>41852</v>
      </c>
      <c r="J245" s="71">
        <v>0</v>
      </c>
      <c r="K245" s="71">
        <v>0</v>
      </c>
      <c r="L245" s="71">
        <f t="shared" si="22"/>
        <v>48658</v>
      </c>
      <c r="M245" s="71">
        <f t="shared" si="23"/>
        <v>49</v>
      </c>
    </row>
    <row r="246" spans="1:13" hidden="1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1">
        <v>455</v>
      </c>
      <c r="G246" s="28">
        <v>528</v>
      </c>
      <c r="H246" s="71">
        <v>983</v>
      </c>
      <c r="I246" s="4">
        <v>42835</v>
      </c>
      <c r="J246" s="4">
        <v>1310</v>
      </c>
      <c r="K246" s="71">
        <v>1</v>
      </c>
      <c r="L246" s="71">
        <f t="shared" si="22"/>
        <v>49968</v>
      </c>
      <c r="M246" s="71">
        <f t="shared" si="23"/>
        <v>50</v>
      </c>
    </row>
    <row r="247" spans="1:13" hidden="1">
      <c r="A247" s="27">
        <v>45981</v>
      </c>
      <c r="B247" s="73" t="s">
        <v>33</v>
      </c>
      <c r="C247" s="73"/>
      <c r="D247" s="73"/>
      <c r="E247" s="74"/>
      <c r="F247" s="71">
        <v>0</v>
      </c>
      <c r="G247" s="71">
        <v>179</v>
      </c>
      <c r="H247" s="71">
        <v>179</v>
      </c>
      <c r="I247" s="4">
        <v>43014</v>
      </c>
      <c r="J247" s="71">
        <v>0</v>
      </c>
      <c r="K247" s="71">
        <v>0</v>
      </c>
      <c r="L247" s="71">
        <f t="shared" si="22"/>
        <v>49968</v>
      </c>
      <c r="M247" s="71">
        <f t="shared" si="23"/>
        <v>50</v>
      </c>
    </row>
    <row r="248" spans="1:13" hidden="1">
      <c r="A248" s="27">
        <v>45982</v>
      </c>
      <c r="B248" s="73" t="s">
        <v>33</v>
      </c>
      <c r="C248" s="73"/>
      <c r="D248" s="73"/>
      <c r="E248" s="74"/>
      <c r="F248" s="71">
        <v>0</v>
      </c>
      <c r="G248" s="71">
        <v>65</v>
      </c>
      <c r="H248" s="71">
        <v>65</v>
      </c>
      <c r="I248" s="4">
        <v>43079</v>
      </c>
      <c r="J248" s="71">
        <v>0</v>
      </c>
      <c r="K248" s="71">
        <v>0</v>
      </c>
      <c r="L248" s="71">
        <f t="shared" si="22"/>
        <v>49968</v>
      </c>
      <c r="M248" s="71">
        <f t="shared" si="23"/>
        <v>50</v>
      </c>
    </row>
    <row r="249" spans="1:13" hidden="1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1">
        <v>455</v>
      </c>
      <c r="G249" s="28">
        <v>528</v>
      </c>
      <c r="H249" s="71">
        <v>983</v>
      </c>
      <c r="I249" s="4">
        <v>44064</v>
      </c>
      <c r="J249" s="4">
        <v>1310</v>
      </c>
      <c r="K249" s="71">
        <v>1</v>
      </c>
      <c r="L249" s="71">
        <f t="shared" si="22"/>
        <v>51278</v>
      </c>
      <c r="M249" s="71">
        <f t="shared" si="23"/>
        <v>51</v>
      </c>
    </row>
    <row r="250" spans="1:13" hidden="1">
      <c r="A250" s="27">
        <v>45983</v>
      </c>
      <c r="B250" s="73" t="s">
        <v>33</v>
      </c>
      <c r="C250" s="73"/>
      <c r="D250" s="73"/>
      <c r="E250" s="74"/>
      <c r="F250" s="71">
        <v>0</v>
      </c>
      <c r="G250" s="71">
        <v>17</v>
      </c>
      <c r="H250" s="71">
        <v>17</v>
      </c>
      <c r="I250" s="4">
        <v>44081</v>
      </c>
      <c r="J250" s="71">
        <v>0</v>
      </c>
      <c r="K250" s="71">
        <v>0</v>
      </c>
      <c r="L250" s="71">
        <f t="shared" ref="L250:L261" si="24">J250+L249</f>
        <v>51278</v>
      </c>
      <c r="M250" s="71">
        <f t="shared" ref="M250:M261" si="25">K250+M249</f>
        <v>51</v>
      </c>
    </row>
    <row r="251" spans="1:13" hidden="1">
      <c r="A251" s="27">
        <v>45984</v>
      </c>
      <c r="B251" s="73" t="s">
        <v>33</v>
      </c>
      <c r="C251" s="73"/>
      <c r="D251" s="73"/>
      <c r="E251" s="74"/>
      <c r="F251" s="71">
        <v>0</v>
      </c>
      <c r="G251" s="71">
        <v>23</v>
      </c>
      <c r="H251" s="71">
        <v>23</v>
      </c>
      <c r="I251" s="4">
        <v>44104</v>
      </c>
      <c r="J251" s="71">
        <v>0</v>
      </c>
      <c r="K251" s="71">
        <v>0</v>
      </c>
      <c r="L251" s="71">
        <f t="shared" si="24"/>
        <v>51278</v>
      </c>
      <c r="M251" s="71">
        <f t="shared" si="25"/>
        <v>51</v>
      </c>
    </row>
    <row r="252" spans="1:13" hidden="1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1">
        <v>425</v>
      </c>
      <c r="G252" s="28">
        <v>496</v>
      </c>
      <c r="H252" s="71">
        <v>921</v>
      </c>
      <c r="I252" s="4">
        <v>45025</v>
      </c>
      <c r="J252" s="4">
        <v>1050</v>
      </c>
      <c r="K252" s="71">
        <v>1</v>
      </c>
      <c r="L252" s="71">
        <f t="shared" si="24"/>
        <v>52328</v>
      </c>
      <c r="M252" s="71">
        <f t="shared" si="25"/>
        <v>52</v>
      </c>
    </row>
    <row r="253" spans="1:13" hidden="1">
      <c r="A253" s="27">
        <v>45985</v>
      </c>
      <c r="B253" s="73" t="s">
        <v>33</v>
      </c>
      <c r="C253" s="73"/>
      <c r="D253" s="73"/>
      <c r="E253" s="74"/>
      <c r="F253" s="71">
        <v>0</v>
      </c>
      <c r="G253" s="71">
        <v>9</v>
      </c>
      <c r="H253" s="71">
        <v>9</v>
      </c>
      <c r="I253" s="4">
        <v>45034</v>
      </c>
      <c r="J253" s="71">
        <v>0</v>
      </c>
      <c r="K253" s="71">
        <v>0</v>
      </c>
      <c r="L253" s="71">
        <f t="shared" si="24"/>
        <v>52328</v>
      </c>
      <c r="M253" s="71">
        <f t="shared" si="25"/>
        <v>52</v>
      </c>
    </row>
    <row r="254" spans="1:13" hidden="1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1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1">
        <v>1</v>
      </c>
      <c r="L254" s="71">
        <f t="shared" si="24"/>
        <v>53976</v>
      </c>
      <c r="M254" s="71">
        <f t="shared" si="25"/>
        <v>53</v>
      </c>
    </row>
    <row r="255" spans="1:13" hidden="1">
      <c r="A255" s="27">
        <v>45986</v>
      </c>
      <c r="B255" s="73" t="s">
        <v>33</v>
      </c>
      <c r="C255" s="73"/>
      <c r="D255" s="73"/>
      <c r="E255" s="74"/>
      <c r="F255" s="71">
        <v>0</v>
      </c>
      <c r="G255" s="71">
        <v>9</v>
      </c>
      <c r="H255" s="71">
        <v>9</v>
      </c>
      <c r="I255" s="4">
        <v>46372</v>
      </c>
      <c r="J255" s="71">
        <v>0</v>
      </c>
      <c r="K255" s="71">
        <v>0</v>
      </c>
      <c r="L255" s="71">
        <f t="shared" si="24"/>
        <v>53976</v>
      </c>
      <c r="M255" s="71">
        <f t="shared" si="25"/>
        <v>53</v>
      </c>
    </row>
    <row r="256" spans="1:13" hidden="1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1">
        <v>232</v>
      </c>
      <c r="G256" s="28">
        <v>294</v>
      </c>
      <c r="H256" s="71">
        <v>526</v>
      </c>
      <c r="I256" s="4">
        <v>46898</v>
      </c>
      <c r="J256" s="71">
        <v>864</v>
      </c>
      <c r="K256" s="71">
        <v>1</v>
      </c>
      <c r="L256" s="71">
        <f t="shared" si="24"/>
        <v>54840</v>
      </c>
      <c r="M256" s="71">
        <f t="shared" si="25"/>
        <v>54</v>
      </c>
    </row>
    <row r="257" spans="1:13" hidden="1">
      <c r="A257" s="27">
        <v>45987</v>
      </c>
      <c r="B257" s="73" t="s">
        <v>33</v>
      </c>
      <c r="C257" s="73"/>
      <c r="D257" s="73"/>
      <c r="E257" s="74"/>
      <c r="F257" s="71">
        <v>0</v>
      </c>
      <c r="G257" s="71">
        <v>11</v>
      </c>
      <c r="H257" s="71">
        <v>11</v>
      </c>
      <c r="I257" s="4">
        <v>46909</v>
      </c>
      <c r="J257" s="71">
        <v>0</v>
      </c>
      <c r="K257" s="71">
        <v>0</v>
      </c>
      <c r="L257" s="71">
        <f t="shared" si="24"/>
        <v>54840</v>
      </c>
      <c r="M257" s="71">
        <f t="shared" si="25"/>
        <v>54</v>
      </c>
    </row>
    <row r="258" spans="1:13" hidden="1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1">
        <v>232</v>
      </c>
      <c r="G258" s="28">
        <v>294</v>
      </c>
      <c r="H258" s="71">
        <v>526</v>
      </c>
      <c r="I258" s="4">
        <v>47435</v>
      </c>
      <c r="J258" s="71">
        <v>864</v>
      </c>
      <c r="K258" s="71">
        <v>1</v>
      </c>
      <c r="L258" s="71">
        <f t="shared" si="24"/>
        <v>55704</v>
      </c>
      <c r="M258" s="71">
        <f t="shared" si="25"/>
        <v>55</v>
      </c>
    </row>
    <row r="259" spans="1:13" hidden="1">
      <c r="A259" s="27">
        <v>45988</v>
      </c>
      <c r="B259" s="73" t="s">
        <v>33</v>
      </c>
      <c r="C259" s="73"/>
      <c r="D259" s="73"/>
      <c r="E259" s="74"/>
      <c r="F259" s="71">
        <v>0</v>
      </c>
      <c r="G259" s="71">
        <v>7</v>
      </c>
      <c r="H259" s="71">
        <v>7</v>
      </c>
      <c r="I259" s="4">
        <v>47442</v>
      </c>
      <c r="J259" s="71">
        <v>0</v>
      </c>
      <c r="K259" s="71">
        <v>0</v>
      </c>
      <c r="L259" s="71">
        <f t="shared" si="24"/>
        <v>55704</v>
      </c>
      <c r="M259" s="71">
        <f t="shared" si="25"/>
        <v>55</v>
      </c>
    </row>
    <row r="260" spans="1:13" hidden="1">
      <c r="A260" s="27">
        <v>45989</v>
      </c>
      <c r="B260" s="73" t="s">
        <v>33</v>
      </c>
      <c r="C260" s="73"/>
      <c r="D260" s="73"/>
      <c r="E260" s="74"/>
      <c r="F260" s="71">
        <v>0</v>
      </c>
      <c r="G260" s="71">
        <v>42</v>
      </c>
      <c r="H260" s="71">
        <v>42</v>
      </c>
      <c r="I260" s="4">
        <v>47484</v>
      </c>
      <c r="J260" s="71">
        <v>0</v>
      </c>
      <c r="K260" s="71">
        <v>0</v>
      </c>
      <c r="L260" s="71">
        <f t="shared" si="24"/>
        <v>55704</v>
      </c>
      <c r="M260" s="71">
        <f t="shared" si="25"/>
        <v>55</v>
      </c>
    </row>
    <row r="261" spans="1:13" hidden="1">
      <c r="A261" s="29">
        <v>45990</v>
      </c>
      <c r="B261" s="75" t="s">
        <v>33</v>
      </c>
      <c r="C261" s="75"/>
      <c r="D261" s="75"/>
      <c r="E261" s="76"/>
      <c r="F261" s="72">
        <v>0</v>
      </c>
      <c r="G261" s="72">
        <v>9</v>
      </c>
      <c r="H261" s="72">
        <v>9</v>
      </c>
      <c r="I261" s="30">
        <v>47493</v>
      </c>
      <c r="J261" s="72">
        <v>0</v>
      </c>
      <c r="K261" s="72">
        <v>0</v>
      </c>
      <c r="L261" s="71">
        <f t="shared" si="24"/>
        <v>55704</v>
      </c>
      <c r="M261" s="71">
        <f t="shared" si="25"/>
        <v>55</v>
      </c>
    </row>
    <row r="262" spans="1:13" hidden="1">
      <c r="A262" s="27">
        <v>45991</v>
      </c>
      <c r="B262" s="73" t="s">
        <v>33</v>
      </c>
      <c r="C262" s="73"/>
      <c r="D262" s="73"/>
      <c r="E262" s="74"/>
      <c r="F262" s="71">
        <v>0</v>
      </c>
      <c r="G262" s="71">
        <v>34</v>
      </c>
      <c r="H262" s="71">
        <v>34</v>
      </c>
      <c r="I262" s="4">
        <v>47530</v>
      </c>
      <c r="J262" s="71">
        <v>0</v>
      </c>
      <c r="K262" s="71">
        <v>0</v>
      </c>
      <c r="L262" s="71">
        <f t="shared" ref="L262:L279" si="26">J262+L261</f>
        <v>55704</v>
      </c>
      <c r="M262" s="71">
        <f t="shared" ref="M262:M279" si="27">K262+M261</f>
        <v>55</v>
      </c>
    </row>
    <row r="263" spans="1:13" hidden="1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1">
        <v>425</v>
      </c>
      <c r="G263" s="28">
        <v>496</v>
      </c>
      <c r="H263" s="71">
        <v>921</v>
      </c>
      <c r="I263" s="4">
        <v>48451</v>
      </c>
      <c r="J263" s="4">
        <v>1050</v>
      </c>
      <c r="K263" s="71">
        <v>1</v>
      </c>
      <c r="L263" s="71">
        <f t="shared" si="26"/>
        <v>56754</v>
      </c>
      <c r="M263" s="71">
        <f t="shared" si="27"/>
        <v>56</v>
      </c>
    </row>
    <row r="264" spans="1:13" hidden="1">
      <c r="A264" s="27">
        <v>45992</v>
      </c>
      <c r="B264" s="73" t="s">
        <v>33</v>
      </c>
      <c r="C264" s="73"/>
      <c r="D264" s="73"/>
      <c r="E264" s="74"/>
      <c r="F264" s="71">
        <v>0</v>
      </c>
      <c r="G264" s="71">
        <v>16</v>
      </c>
      <c r="H264" s="71">
        <v>16</v>
      </c>
      <c r="I264" s="4">
        <v>48467</v>
      </c>
      <c r="J264" s="71">
        <v>0</v>
      </c>
      <c r="K264" s="71">
        <v>0</v>
      </c>
      <c r="L264" s="71">
        <f t="shared" si="26"/>
        <v>56754</v>
      </c>
      <c r="M264" s="71">
        <f t="shared" si="27"/>
        <v>56</v>
      </c>
    </row>
    <row r="265" spans="1:13" hidden="1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1">
        <v>425</v>
      </c>
      <c r="G265" s="28">
        <v>496</v>
      </c>
      <c r="H265" s="71">
        <v>921</v>
      </c>
      <c r="I265" s="4">
        <v>49388</v>
      </c>
      <c r="J265" s="4">
        <v>1050</v>
      </c>
      <c r="K265" s="71">
        <v>1</v>
      </c>
      <c r="L265" s="71">
        <f t="shared" si="26"/>
        <v>57804</v>
      </c>
      <c r="M265" s="71">
        <f t="shared" si="27"/>
        <v>57</v>
      </c>
    </row>
    <row r="266" spans="1:13" hidden="1">
      <c r="A266" s="27">
        <v>45993</v>
      </c>
      <c r="B266" s="73" t="s">
        <v>33</v>
      </c>
      <c r="C266" s="73"/>
      <c r="D266" s="73"/>
      <c r="E266" s="74"/>
      <c r="F266" s="71">
        <v>0</v>
      </c>
      <c r="G266" s="71">
        <v>7</v>
      </c>
      <c r="H266" s="71">
        <v>7</v>
      </c>
      <c r="I266" s="4">
        <v>49395</v>
      </c>
      <c r="J266" s="71">
        <v>0</v>
      </c>
      <c r="K266" s="71">
        <v>0</v>
      </c>
      <c r="L266" s="71">
        <f t="shared" si="26"/>
        <v>57804</v>
      </c>
      <c r="M266" s="71">
        <f t="shared" si="27"/>
        <v>57</v>
      </c>
    </row>
    <row r="267" spans="1:13" hidden="1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1">
        <v>20</v>
      </c>
      <c r="G267" s="28">
        <v>21</v>
      </c>
      <c r="H267" s="71">
        <v>41</v>
      </c>
      <c r="I267" s="4">
        <v>49436</v>
      </c>
      <c r="J267" s="71">
        <v>40</v>
      </c>
      <c r="K267" s="71">
        <v>1</v>
      </c>
      <c r="L267" s="71">
        <f t="shared" si="26"/>
        <v>57844</v>
      </c>
      <c r="M267" s="71">
        <f t="shared" si="27"/>
        <v>58</v>
      </c>
    </row>
    <row r="268" spans="1:13" hidden="1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1">
        <v>20</v>
      </c>
      <c r="G268" s="28">
        <v>21</v>
      </c>
      <c r="H268" s="71">
        <v>41</v>
      </c>
      <c r="I268" s="4">
        <v>49477</v>
      </c>
      <c r="J268" s="71">
        <v>40</v>
      </c>
      <c r="K268" s="71">
        <v>1</v>
      </c>
      <c r="L268" s="71">
        <f t="shared" si="26"/>
        <v>57884</v>
      </c>
      <c r="M268" s="71">
        <f t="shared" si="27"/>
        <v>59</v>
      </c>
    </row>
    <row r="269" spans="1:13" hidden="1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1">
        <v>44</v>
      </c>
      <c r="G269" s="28">
        <v>96</v>
      </c>
      <c r="H269" s="71">
        <v>140</v>
      </c>
      <c r="I269" s="4">
        <v>49617</v>
      </c>
      <c r="J269" s="71">
        <v>288</v>
      </c>
      <c r="K269" s="71">
        <v>1</v>
      </c>
      <c r="L269" s="71">
        <f t="shared" si="26"/>
        <v>58172</v>
      </c>
      <c r="M269" s="71">
        <f t="shared" si="27"/>
        <v>60</v>
      </c>
    </row>
    <row r="270" spans="1:13" hidden="1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1">
        <v>30</v>
      </c>
      <c r="G270" s="28">
        <v>32</v>
      </c>
      <c r="H270" s="71">
        <v>62</v>
      </c>
      <c r="I270" s="4">
        <v>49679</v>
      </c>
      <c r="J270" s="71">
        <v>60</v>
      </c>
      <c r="K270" s="71">
        <v>1</v>
      </c>
      <c r="L270" s="71">
        <f t="shared" si="26"/>
        <v>58232</v>
      </c>
      <c r="M270" s="71">
        <f t="shared" si="27"/>
        <v>61</v>
      </c>
    </row>
    <row r="271" spans="1:13" hidden="1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1">
        <v>36</v>
      </c>
      <c r="G271" s="28">
        <v>38</v>
      </c>
      <c r="H271" s="71">
        <v>74</v>
      </c>
      <c r="I271" s="4">
        <v>49753</v>
      </c>
      <c r="J271" s="71">
        <v>72</v>
      </c>
      <c r="K271" s="71">
        <v>1</v>
      </c>
      <c r="L271" s="71">
        <f t="shared" si="26"/>
        <v>58304</v>
      </c>
      <c r="M271" s="71">
        <f t="shared" si="27"/>
        <v>62</v>
      </c>
    </row>
    <row r="272" spans="1:13" hidden="1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1">
        <v>124</v>
      </c>
      <c r="G272" s="28">
        <v>130</v>
      </c>
      <c r="H272" s="71">
        <v>254</v>
      </c>
      <c r="I272" s="4">
        <v>50007</v>
      </c>
      <c r="J272" s="71">
        <v>248</v>
      </c>
      <c r="K272" s="71">
        <v>1</v>
      </c>
      <c r="L272" s="71">
        <f t="shared" si="26"/>
        <v>58552</v>
      </c>
      <c r="M272" s="71">
        <f t="shared" si="27"/>
        <v>63</v>
      </c>
    </row>
    <row r="273" spans="1:13" hidden="1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1">
        <v>89</v>
      </c>
      <c r="G273" s="28">
        <v>93</v>
      </c>
      <c r="H273" s="71">
        <v>182</v>
      </c>
      <c r="I273" s="4">
        <v>50189</v>
      </c>
      <c r="J273" s="71">
        <v>178</v>
      </c>
      <c r="K273" s="71">
        <v>1</v>
      </c>
      <c r="L273" s="71">
        <f t="shared" si="26"/>
        <v>58730</v>
      </c>
      <c r="M273" s="71">
        <f t="shared" si="27"/>
        <v>64</v>
      </c>
    </row>
    <row r="274" spans="1:13" hidden="1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1">
        <v>492</v>
      </c>
      <c r="G274" s="28">
        <v>517</v>
      </c>
      <c r="H274" s="4">
        <v>1009</v>
      </c>
      <c r="I274" s="4">
        <v>51198</v>
      </c>
      <c r="J274" s="71">
        <v>984</v>
      </c>
      <c r="K274" s="71">
        <v>1</v>
      </c>
      <c r="L274" s="71">
        <f t="shared" si="26"/>
        <v>59714</v>
      </c>
      <c r="M274" s="71">
        <f t="shared" si="27"/>
        <v>65</v>
      </c>
    </row>
    <row r="275" spans="1:13" hidden="1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1">
        <v>492</v>
      </c>
      <c r="G275" s="28">
        <v>517</v>
      </c>
      <c r="H275" s="4">
        <v>1009</v>
      </c>
      <c r="I275" s="4">
        <v>52207</v>
      </c>
      <c r="J275" s="71">
        <v>984</v>
      </c>
      <c r="K275" s="71">
        <v>1</v>
      </c>
      <c r="L275" s="71">
        <f t="shared" si="26"/>
        <v>60698</v>
      </c>
      <c r="M275" s="71">
        <f t="shared" si="27"/>
        <v>66</v>
      </c>
    </row>
    <row r="276" spans="1:13" hidden="1">
      <c r="A276" s="27">
        <v>45994</v>
      </c>
      <c r="B276" s="73" t="s">
        <v>33</v>
      </c>
      <c r="C276" s="73"/>
      <c r="D276" s="73"/>
      <c r="E276" s="74"/>
      <c r="F276" s="71">
        <v>0</v>
      </c>
      <c r="G276" s="71">
        <v>10</v>
      </c>
      <c r="H276" s="71">
        <v>10</v>
      </c>
      <c r="I276" s="4">
        <v>52217</v>
      </c>
      <c r="J276" s="71">
        <v>0</v>
      </c>
      <c r="K276" s="71">
        <v>0</v>
      </c>
      <c r="L276" s="71">
        <f t="shared" si="26"/>
        <v>60698</v>
      </c>
      <c r="M276" s="71">
        <f t="shared" si="27"/>
        <v>66</v>
      </c>
    </row>
    <row r="277" spans="1:13" hidden="1">
      <c r="A277" s="27">
        <v>45995</v>
      </c>
      <c r="B277" s="73" t="s">
        <v>33</v>
      </c>
      <c r="C277" s="73"/>
      <c r="D277" s="73"/>
      <c r="E277" s="74"/>
      <c r="F277" s="71">
        <v>0</v>
      </c>
      <c r="G277" s="71">
        <v>110</v>
      </c>
      <c r="H277" s="71">
        <v>110</v>
      </c>
      <c r="I277" s="4">
        <v>52327</v>
      </c>
      <c r="J277" s="71">
        <v>0</v>
      </c>
      <c r="K277" s="71">
        <v>0</v>
      </c>
      <c r="L277" s="71">
        <f t="shared" si="26"/>
        <v>60698</v>
      </c>
      <c r="M277" s="71">
        <f t="shared" si="27"/>
        <v>66</v>
      </c>
    </row>
    <row r="278" spans="1:13" hidden="1">
      <c r="A278" s="27">
        <v>45996</v>
      </c>
      <c r="B278" s="73" t="s">
        <v>33</v>
      </c>
      <c r="C278" s="73"/>
      <c r="D278" s="73"/>
      <c r="E278" s="74"/>
      <c r="F278" s="71">
        <v>0</v>
      </c>
      <c r="G278" s="71">
        <v>13</v>
      </c>
      <c r="H278" s="71">
        <v>13</v>
      </c>
      <c r="I278" s="4">
        <v>52340</v>
      </c>
      <c r="J278" s="71">
        <v>0</v>
      </c>
      <c r="K278" s="71">
        <v>0</v>
      </c>
      <c r="L278" s="71">
        <f t="shared" si="26"/>
        <v>60698</v>
      </c>
      <c r="M278" s="71">
        <f t="shared" si="27"/>
        <v>66</v>
      </c>
    </row>
    <row r="279" spans="1:13" hidden="1">
      <c r="A279" s="29">
        <v>45997</v>
      </c>
      <c r="B279" s="75" t="s">
        <v>33</v>
      </c>
      <c r="C279" s="75"/>
      <c r="D279" s="75"/>
      <c r="E279" s="76"/>
      <c r="F279" s="72">
        <v>0</v>
      </c>
      <c r="G279" s="72">
        <v>10</v>
      </c>
      <c r="H279" s="72">
        <v>10</v>
      </c>
      <c r="I279" s="30">
        <v>52350</v>
      </c>
      <c r="J279" s="72">
        <v>0</v>
      </c>
      <c r="K279" s="72">
        <v>0</v>
      </c>
      <c r="L279" s="71">
        <f t="shared" si="26"/>
        <v>60698</v>
      </c>
      <c r="M279" s="71">
        <f t="shared" si="27"/>
        <v>66</v>
      </c>
    </row>
    <row r="280" spans="1:13" hidden="1">
      <c r="A280" s="27">
        <v>45998</v>
      </c>
      <c r="B280" s="73" t="s">
        <v>33</v>
      </c>
      <c r="C280" s="73"/>
      <c r="D280" s="73"/>
      <c r="E280" s="74"/>
      <c r="F280" s="71">
        <v>0</v>
      </c>
      <c r="G280" s="71">
        <v>28</v>
      </c>
      <c r="H280" s="71">
        <v>28</v>
      </c>
      <c r="I280" s="4">
        <v>52412</v>
      </c>
      <c r="J280" s="71">
        <v>0</v>
      </c>
      <c r="K280" s="71">
        <v>0</v>
      </c>
      <c r="L280" s="71">
        <f t="shared" ref="L280:L302" si="28">J280+L279</f>
        <v>60698</v>
      </c>
      <c r="M280" s="71">
        <f t="shared" ref="M280:M302" si="29">K280+M279</f>
        <v>66</v>
      </c>
    </row>
    <row r="281" spans="1:13" hidden="1">
      <c r="A281" s="27">
        <v>45999</v>
      </c>
      <c r="B281" s="73" t="s">
        <v>33</v>
      </c>
      <c r="C281" s="73"/>
      <c r="D281" s="73"/>
      <c r="E281" s="74"/>
      <c r="F281" s="71">
        <v>0</v>
      </c>
      <c r="G281" s="71">
        <v>9</v>
      </c>
      <c r="H281" s="71">
        <v>9</v>
      </c>
      <c r="I281" s="4">
        <v>52421</v>
      </c>
      <c r="J281" s="71">
        <v>0</v>
      </c>
      <c r="K281" s="71">
        <v>0</v>
      </c>
      <c r="L281" s="71">
        <f t="shared" si="28"/>
        <v>60698</v>
      </c>
      <c r="M281" s="71">
        <f t="shared" si="29"/>
        <v>66</v>
      </c>
    </row>
    <row r="282" spans="1:13" hidden="1">
      <c r="A282" s="27">
        <v>46000</v>
      </c>
      <c r="B282" s="73" t="s">
        <v>33</v>
      </c>
      <c r="C282" s="73"/>
      <c r="D282" s="73"/>
      <c r="E282" s="74"/>
      <c r="F282" s="71">
        <v>0</v>
      </c>
      <c r="G282" s="71">
        <v>11</v>
      </c>
      <c r="H282" s="71">
        <v>11</v>
      </c>
      <c r="I282" s="4">
        <v>52432</v>
      </c>
      <c r="J282" s="71">
        <v>0</v>
      </c>
      <c r="K282" s="71">
        <v>0</v>
      </c>
      <c r="L282" s="71">
        <f t="shared" si="28"/>
        <v>60698</v>
      </c>
      <c r="M282" s="71">
        <f t="shared" si="29"/>
        <v>66</v>
      </c>
    </row>
    <row r="283" spans="1:13" hidden="1">
      <c r="A283" s="27">
        <v>46001</v>
      </c>
      <c r="B283" s="73" t="s">
        <v>65</v>
      </c>
      <c r="C283" s="73"/>
      <c r="D283" s="73"/>
      <c r="E283" s="74"/>
      <c r="F283" s="4">
        <v>3093</v>
      </c>
      <c r="G283" s="71">
        <v>0</v>
      </c>
      <c r="H283" s="4">
        <v>3093</v>
      </c>
      <c r="I283" s="4">
        <v>55525</v>
      </c>
      <c r="J283" s="71">
        <v>0</v>
      </c>
      <c r="K283" s="71">
        <v>0</v>
      </c>
      <c r="L283" s="71">
        <f t="shared" si="28"/>
        <v>60698</v>
      </c>
      <c r="M283" s="71">
        <f t="shared" si="29"/>
        <v>66</v>
      </c>
    </row>
    <row r="284" spans="1:13" hidden="1">
      <c r="A284" s="27">
        <v>46001</v>
      </c>
      <c r="B284" s="73" t="s">
        <v>65</v>
      </c>
      <c r="C284" s="73"/>
      <c r="D284" s="73"/>
      <c r="E284" s="74"/>
      <c r="F284" s="71">
        <v>27</v>
      </c>
      <c r="G284" s="71">
        <v>0</v>
      </c>
      <c r="H284" s="71">
        <v>27</v>
      </c>
      <c r="I284" s="4">
        <v>55552</v>
      </c>
      <c r="J284" s="71">
        <v>0</v>
      </c>
      <c r="K284" s="71">
        <v>0</v>
      </c>
      <c r="L284" s="71">
        <f t="shared" si="28"/>
        <v>60698</v>
      </c>
      <c r="M284" s="71">
        <f t="shared" si="29"/>
        <v>66</v>
      </c>
    </row>
    <row r="285" spans="1:13" hidden="1">
      <c r="A285" s="27">
        <v>46001</v>
      </c>
      <c r="B285" s="73" t="s">
        <v>49</v>
      </c>
      <c r="C285" s="73"/>
      <c r="D285" s="73"/>
      <c r="E285" s="74"/>
      <c r="F285" s="71">
        <v>0</v>
      </c>
      <c r="G285" s="71">
        <v>1</v>
      </c>
      <c r="H285" s="71">
        <v>1</v>
      </c>
      <c r="I285" s="4">
        <v>55553</v>
      </c>
      <c r="J285" s="71">
        <v>0</v>
      </c>
      <c r="K285" s="71">
        <v>0</v>
      </c>
      <c r="L285" s="71">
        <f t="shared" si="28"/>
        <v>60698</v>
      </c>
      <c r="M285" s="71">
        <f t="shared" si="29"/>
        <v>66</v>
      </c>
    </row>
    <row r="286" spans="1:13" hidden="1">
      <c r="A286" s="27">
        <v>46001</v>
      </c>
      <c r="B286" s="73" t="s">
        <v>33</v>
      </c>
      <c r="C286" s="73"/>
      <c r="D286" s="73"/>
      <c r="E286" s="74"/>
      <c r="F286" s="71">
        <v>0</v>
      </c>
      <c r="G286" s="71">
        <v>17</v>
      </c>
      <c r="H286" s="71">
        <v>17</v>
      </c>
      <c r="I286" s="4">
        <v>55570</v>
      </c>
      <c r="J286" s="71">
        <v>0</v>
      </c>
      <c r="K286" s="71">
        <v>0</v>
      </c>
      <c r="L286" s="71">
        <f t="shared" si="28"/>
        <v>60698</v>
      </c>
      <c r="M286" s="71">
        <f t="shared" si="29"/>
        <v>66</v>
      </c>
    </row>
    <row r="287" spans="1:13" hidden="1">
      <c r="A287" s="27">
        <v>46002</v>
      </c>
      <c r="B287" s="73" t="s">
        <v>33</v>
      </c>
      <c r="C287" s="73"/>
      <c r="D287" s="73"/>
      <c r="E287" s="74"/>
      <c r="F287" s="71">
        <v>0</v>
      </c>
      <c r="G287" s="71">
        <v>9</v>
      </c>
      <c r="H287" s="71">
        <v>9</v>
      </c>
      <c r="I287" s="4">
        <v>55579</v>
      </c>
      <c r="J287" s="71">
        <v>0</v>
      </c>
      <c r="K287" s="71">
        <v>0</v>
      </c>
      <c r="L287" s="71">
        <f t="shared" si="28"/>
        <v>60698</v>
      </c>
      <c r="M287" s="71">
        <f t="shared" si="29"/>
        <v>66</v>
      </c>
    </row>
    <row r="288" spans="1:13" hidden="1">
      <c r="A288" s="27">
        <v>46003</v>
      </c>
      <c r="B288" s="73" t="s">
        <v>49</v>
      </c>
      <c r="C288" s="73"/>
      <c r="D288" s="73"/>
      <c r="E288" s="74"/>
      <c r="F288" s="71">
        <v>0</v>
      </c>
      <c r="G288" s="71">
        <v>1</v>
      </c>
      <c r="H288" s="71">
        <v>1</v>
      </c>
      <c r="I288" s="4">
        <v>55580</v>
      </c>
      <c r="J288" s="71">
        <v>0</v>
      </c>
      <c r="K288" s="71">
        <v>0</v>
      </c>
      <c r="L288" s="71">
        <f t="shared" si="28"/>
        <v>60698</v>
      </c>
      <c r="M288" s="71">
        <f t="shared" si="29"/>
        <v>66</v>
      </c>
    </row>
    <row r="289" spans="1:13" hidden="1">
      <c r="A289" s="27">
        <v>46003</v>
      </c>
      <c r="B289" s="73" t="s">
        <v>33</v>
      </c>
      <c r="C289" s="73"/>
      <c r="D289" s="73"/>
      <c r="E289" s="74"/>
      <c r="F289" s="71">
        <v>0</v>
      </c>
      <c r="G289" s="71">
        <v>8</v>
      </c>
      <c r="H289" s="71">
        <v>8</v>
      </c>
      <c r="I289" s="4">
        <v>55588</v>
      </c>
      <c r="J289" s="71">
        <v>0</v>
      </c>
      <c r="K289" s="71">
        <v>0</v>
      </c>
      <c r="L289" s="71">
        <f t="shared" si="28"/>
        <v>60698</v>
      </c>
      <c r="M289" s="71">
        <f t="shared" si="29"/>
        <v>66</v>
      </c>
    </row>
    <row r="290" spans="1:13" hidden="1">
      <c r="A290" s="27">
        <v>46004</v>
      </c>
      <c r="B290" s="73" t="s">
        <v>49</v>
      </c>
      <c r="C290" s="73"/>
      <c r="D290" s="73"/>
      <c r="E290" s="74"/>
      <c r="F290" s="71">
        <v>0</v>
      </c>
      <c r="G290" s="71">
        <v>1</v>
      </c>
      <c r="H290" s="71">
        <v>1</v>
      </c>
      <c r="I290" s="4">
        <v>55589</v>
      </c>
      <c r="J290" s="71">
        <v>0</v>
      </c>
      <c r="K290" s="71">
        <v>0</v>
      </c>
      <c r="L290" s="71">
        <f t="shared" si="28"/>
        <v>60698</v>
      </c>
      <c r="M290" s="71">
        <f t="shared" si="29"/>
        <v>66</v>
      </c>
    </row>
    <row r="291" spans="1:13" hidden="1">
      <c r="A291" s="27">
        <v>46004</v>
      </c>
      <c r="B291" s="73" t="s">
        <v>33</v>
      </c>
      <c r="C291" s="73"/>
      <c r="D291" s="73"/>
      <c r="E291" s="74"/>
      <c r="F291" s="71">
        <v>0</v>
      </c>
      <c r="G291" s="71">
        <v>9</v>
      </c>
      <c r="H291" s="71">
        <v>9</v>
      </c>
      <c r="I291" s="4">
        <v>55598</v>
      </c>
      <c r="J291" s="71">
        <v>0</v>
      </c>
      <c r="K291" s="71">
        <v>0</v>
      </c>
      <c r="L291" s="71">
        <f t="shared" si="28"/>
        <v>60698</v>
      </c>
      <c r="M291" s="71">
        <f t="shared" si="29"/>
        <v>66</v>
      </c>
    </row>
    <row r="292" spans="1:13" hidden="1">
      <c r="A292" s="27">
        <v>46005</v>
      </c>
      <c r="B292" s="73" t="s">
        <v>49</v>
      </c>
      <c r="C292" s="73"/>
      <c r="D292" s="73"/>
      <c r="E292" s="74"/>
      <c r="F292" s="71">
        <v>0</v>
      </c>
      <c r="G292" s="71">
        <v>1</v>
      </c>
      <c r="H292" s="71">
        <v>1</v>
      </c>
      <c r="I292" s="4">
        <v>55599</v>
      </c>
      <c r="J292" s="71">
        <v>0</v>
      </c>
      <c r="K292" s="71">
        <v>0</v>
      </c>
      <c r="L292" s="71">
        <f t="shared" si="28"/>
        <v>60698</v>
      </c>
      <c r="M292" s="71">
        <f t="shared" si="29"/>
        <v>66</v>
      </c>
    </row>
    <row r="293" spans="1:13" hidden="1">
      <c r="A293" s="27">
        <v>46005</v>
      </c>
      <c r="B293" s="73" t="s">
        <v>33</v>
      </c>
      <c r="C293" s="73"/>
      <c r="D293" s="73"/>
      <c r="E293" s="74"/>
      <c r="F293" s="71">
        <v>0</v>
      </c>
      <c r="G293" s="71">
        <v>21</v>
      </c>
      <c r="H293" s="71">
        <v>21</v>
      </c>
      <c r="I293" s="4">
        <v>55620</v>
      </c>
      <c r="J293" s="71">
        <v>0</v>
      </c>
      <c r="K293" s="71">
        <v>0</v>
      </c>
      <c r="L293" s="71">
        <f t="shared" si="28"/>
        <v>60698</v>
      </c>
      <c r="M293" s="71">
        <f t="shared" si="29"/>
        <v>66</v>
      </c>
    </row>
    <row r="294" spans="1:13" hidden="1">
      <c r="A294" s="27">
        <v>46006</v>
      </c>
      <c r="B294" s="73" t="s">
        <v>33</v>
      </c>
      <c r="C294" s="73"/>
      <c r="D294" s="73"/>
      <c r="E294" s="74"/>
      <c r="F294" s="71">
        <v>0</v>
      </c>
      <c r="G294" s="71">
        <v>10</v>
      </c>
      <c r="H294" s="71">
        <v>10</v>
      </c>
      <c r="I294" s="4">
        <v>55630</v>
      </c>
      <c r="J294" s="71">
        <v>0</v>
      </c>
      <c r="K294" s="71">
        <v>0</v>
      </c>
      <c r="L294" s="71">
        <f t="shared" si="28"/>
        <v>60698</v>
      </c>
      <c r="M294" s="71">
        <f t="shared" si="29"/>
        <v>66</v>
      </c>
    </row>
    <row r="295" spans="1:13" hidden="1">
      <c r="A295" s="27">
        <v>46007</v>
      </c>
      <c r="B295" s="73" t="s">
        <v>126</v>
      </c>
      <c r="C295" s="73"/>
      <c r="D295" s="73"/>
      <c r="E295" s="74"/>
      <c r="F295" s="71">
        <v>0</v>
      </c>
      <c r="G295" s="71">
        <v>0</v>
      </c>
      <c r="H295" s="71">
        <v>0</v>
      </c>
      <c r="I295" s="4">
        <v>55630</v>
      </c>
      <c r="J295" s="4">
        <v>15000</v>
      </c>
      <c r="K295" s="71">
        <v>0</v>
      </c>
      <c r="L295" s="71">
        <f t="shared" si="28"/>
        <v>75698</v>
      </c>
      <c r="M295" s="71">
        <f t="shared" si="29"/>
        <v>66</v>
      </c>
    </row>
    <row r="296" spans="1:13" hidden="1">
      <c r="A296" s="27">
        <v>46007</v>
      </c>
      <c r="B296" s="73" t="s">
        <v>33</v>
      </c>
      <c r="C296" s="73"/>
      <c r="D296" s="73"/>
      <c r="E296" s="74"/>
      <c r="F296" s="71">
        <v>0</v>
      </c>
      <c r="G296" s="71">
        <v>7</v>
      </c>
      <c r="H296" s="71">
        <v>7</v>
      </c>
      <c r="I296" s="4">
        <v>55637</v>
      </c>
      <c r="J296" s="71">
        <v>0</v>
      </c>
      <c r="K296" s="71">
        <v>0</v>
      </c>
      <c r="L296" s="71">
        <f t="shared" si="28"/>
        <v>75698</v>
      </c>
      <c r="M296" s="71">
        <f t="shared" si="29"/>
        <v>66</v>
      </c>
    </row>
    <row r="297" spans="1:13" hidden="1">
      <c r="A297" s="27">
        <v>46008</v>
      </c>
      <c r="B297" s="73" t="s">
        <v>33</v>
      </c>
      <c r="C297" s="73"/>
      <c r="D297" s="73"/>
      <c r="E297" s="74"/>
      <c r="F297" s="71">
        <v>0</v>
      </c>
      <c r="G297" s="71">
        <v>9</v>
      </c>
      <c r="H297" s="71">
        <v>9</v>
      </c>
      <c r="I297" s="4">
        <v>55646</v>
      </c>
      <c r="J297" s="71">
        <v>0</v>
      </c>
      <c r="K297" s="71">
        <v>0</v>
      </c>
      <c r="L297" s="71">
        <f t="shared" si="28"/>
        <v>75698</v>
      </c>
      <c r="M297" s="71">
        <f t="shared" si="29"/>
        <v>66</v>
      </c>
    </row>
    <row r="298" spans="1:13" hidden="1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1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1">
        <v>1</v>
      </c>
      <c r="L298" s="71">
        <f t="shared" si="28"/>
        <v>77374</v>
      </c>
      <c r="M298" s="71">
        <f t="shared" si="29"/>
        <v>67</v>
      </c>
    </row>
    <row r="299" spans="1:13" hidden="1">
      <c r="A299" s="27">
        <v>46009</v>
      </c>
      <c r="B299" s="73" t="s">
        <v>128</v>
      </c>
      <c r="C299" s="73"/>
      <c r="D299" s="73"/>
      <c r="E299" s="74"/>
      <c r="F299" s="71">
        <v>0</v>
      </c>
      <c r="G299" s="4">
        <v>1000</v>
      </c>
      <c r="H299" s="4">
        <v>1000</v>
      </c>
      <c r="I299" s="4">
        <v>58209</v>
      </c>
      <c r="J299" s="71">
        <v>0</v>
      </c>
      <c r="K299" s="71">
        <v>0</v>
      </c>
      <c r="L299" s="71">
        <f t="shared" si="28"/>
        <v>77374</v>
      </c>
      <c r="M299" s="71">
        <f t="shared" si="29"/>
        <v>67</v>
      </c>
    </row>
    <row r="300" spans="1:13" hidden="1">
      <c r="A300" s="27">
        <v>46009</v>
      </c>
      <c r="B300" s="73" t="s">
        <v>33</v>
      </c>
      <c r="C300" s="73"/>
      <c r="D300" s="73"/>
      <c r="E300" s="74"/>
      <c r="F300" s="71">
        <v>0</v>
      </c>
      <c r="G300" s="71">
        <v>9</v>
      </c>
      <c r="H300" s="71">
        <v>9</v>
      </c>
      <c r="I300" s="4">
        <v>58218</v>
      </c>
      <c r="J300" s="71">
        <v>0</v>
      </c>
      <c r="K300" s="71">
        <v>0</v>
      </c>
      <c r="L300" s="71">
        <f t="shared" si="28"/>
        <v>77374</v>
      </c>
      <c r="M300" s="71">
        <f t="shared" si="29"/>
        <v>67</v>
      </c>
    </row>
    <row r="301" spans="1:13" hidden="1">
      <c r="A301" s="27">
        <v>46010</v>
      </c>
      <c r="B301" s="73" t="s">
        <v>33</v>
      </c>
      <c r="C301" s="73"/>
      <c r="D301" s="73"/>
      <c r="E301" s="74"/>
      <c r="F301" s="71">
        <v>0</v>
      </c>
      <c r="G301" s="71">
        <v>11</v>
      </c>
      <c r="H301" s="71">
        <v>11</v>
      </c>
      <c r="I301" s="4">
        <v>58229</v>
      </c>
      <c r="J301" s="71">
        <v>0</v>
      </c>
      <c r="K301" s="71">
        <v>0</v>
      </c>
      <c r="L301" s="71">
        <f t="shared" si="28"/>
        <v>77374</v>
      </c>
      <c r="M301" s="71">
        <f t="shared" si="29"/>
        <v>67</v>
      </c>
    </row>
    <row r="302" spans="1:13" hidden="1">
      <c r="A302" s="29">
        <v>46011</v>
      </c>
      <c r="B302" s="75" t="s">
        <v>33</v>
      </c>
      <c r="C302" s="75"/>
      <c r="D302" s="75"/>
      <c r="E302" s="76"/>
      <c r="F302" s="72">
        <v>0</v>
      </c>
      <c r="G302" s="72">
        <v>10</v>
      </c>
      <c r="H302" s="72">
        <v>10</v>
      </c>
      <c r="I302" s="30">
        <v>58239</v>
      </c>
      <c r="J302" s="72">
        <v>0</v>
      </c>
      <c r="K302" s="72">
        <v>0</v>
      </c>
      <c r="L302" s="71">
        <f t="shared" si="28"/>
        <v>77374</v>
      </c>
      <c r="M302" s="71">
        <f t="shared" si="29"/>
        <v>67</v>
      </c>
    </row>
    <row r="303" spans="1:13" hidden="1">
      <c r="A303" s="27">
        <v>46011</v>
      </c>
      <c r="B303" s="73" t="s">
        <v>49</v>
      </c>
      <c r="C303" s="73"/>
      <c r="D303" s="73"/>
      <c r="E303" s="74"/>
      <c r="F303" s="71">
        <v>0</v>
      </c>
      <c r="G303" s="71">
        <v>1</v>
      </c>
      <c r="H303" s="71">
        <v>1</v>
      </c>
      <c r="I303" s="4">
        <v>59817</v>
      </c>
      <c r="J303" s="71">
        <v>0</v>
      </c>
      <c r="K303" s="71">
        <v>0</v>
      </c>
      <c r="L303" s="71">
        <f t="shared" ref="L303:L319" si="30">J303+L302</f>
        <v>77374</v>
      </c>
      <c r="M303" s="71">
        <f t="shared" ref="M303:M319" si="31">K303+M302</f>
        <v>67</v>
      </c>
    </row>
    <row r="304" spans="1:13" hidden="1">
      <c r="A304" s="27">
        <v>46011</v>
      </c>
      <c r="B304" s="73" t="s">
        <v>33</v>
      </c>
      <c r="C304" s="73"/>
      <c r="D304" s="73"/>
      <c r="E304" s="74"/>
      <c r="F304" s="71">
        <v>0</v>
      </c>
      <c r="G304" s="71">
        <v>10</v>
      </c>
      <c r="H304" s="71">
        <v>10</v>
      </c>
      <c r="I304" s="4">
        <v>59827</v>
      </c>
      <c r="J304" s="71">
        <v>0</v>
      </c>
      <c r="K304" s="71">
        <v>0</v>
      </c>
      <c r="L304" s="71">
        <f t="shared" si="30"/>
        <v>77374</v>
      </c>
      <c r="M304" s="71">
        <f t="shared" si="31"/>
        <v>67</v>
      </c>
    </row>
    <row r="305" spans="1:13" hidden="1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1">
        <v>425</v>
      </c>
      <c r="G305" s="28">
        <v>496</v>
      </c>
      <c r="H305" s="71">
        <v>921</v>
      </c>
      <c r="I305" s="4">
        <v>60748</v>
      </c>
      <c r="J305" s="4">
        <v>1050</v>
      </c>
      <c r="K305" s="71">
        <v>1</v>
      </c>
      <c r="L305" s="71">
        <f t="shared" si="30"/>
        <v>78424</v>
      </c>
      <c r="M305" s="71">
        <f t="shared" si="31"/>
        <v>68</v>
      </c>
    </row>
    <row r="306" spans="1:13" hidden="1">
      <c r="A306" s="27">
        <v>46012</v>
      </c>
      <c r="B306" s="73" t="s">
        <v>49</v>
      </c>
      <c r="C306" s="73"/>
      <c r="D306" s="73"/>
      <c r="E306" s="74"/>
      <c r="F306" s="71">
        <v>0</v>
      </c>
      <c r="G306" s="71">
        <v>1</v>
      </c>
      <c r="H306" s="71">
        <v>1</v>
      </c>
      <c r="I306" s="4">
        <v>60749</v>
      </c>
      <c r="J306" s="71">
        <v>0</v>
      </c>
      <c r="K306" s="71">
        <v>0</v>
      </c>
      <c r="L306" s="71">
        <f t="shared" si="30"/>
        <v>78424</v>
      </c>
      <c r="M306" s="71">
        <f t="shared" si="31"/>
        <v>68</v>
      </c>
    </row>
    <row r="307" spans="1:13" hidden="1">
      <c r="A307" s="27">
        <v>46012</v>
      </c>
      <c r="B307" s="73" t="s">
        <v>129</v>
      </c>
      <c r="C307" s="73"/>
      <c r="D307" s="73"/>
      <c r="E307" s="74"/>
      <c r="F307" s="71">
        <v>0</v>
      </c>
      <c r="G307" s="71">
        <v>69</v>
      </c>
      <c r="H307" s="71">
        <v>69</v>
      </c>
      <c r="I307" s="4">
        <v>60818</v>
      </c>
      <c r="J307" s="71">
        <v>0</v>
      </c>
      <c r="K307" s="71">
        <v>0</v>
      </c>
      <c r="L307" s="71">
        <f t="shared" si="30"/>
        <v>78424</v>
      </c>
      <c r="M307" s="71">
        <f t="shared" si="31"/>
        <v>68</v>
      </c>
    </row>
    <row r="308" spans="1:13" hidden="1">
      <c r="A308" s="27">
        <v>46012</v>
      </c>
      <c r="B308" s="73" t="s">
        <v>33</v>
      </c>
      <c r="C308" s="73"/>
      <c r="D308" s="73"/>
      <c r="E308" s="74"/>
      <c r="F308" s="71">
        <v>0</v>
      </c>
      <c r="G308" s="71">
        <v>26</v>
      </c>
      <c r="H308" s="71">
        <v>26</v>
      </c>
      <c r="I308" s="4">
        <v>60844</v>
      </c>
      <c r="J308" s="71">
        <v>0</v>
      </c>
      <c r="K308" s="71">
        <v>0</v>
      </c>
      <c r="L308" s="71">
        <f t="shared" si="30"/>
        <v>78424</v>
      </c>
      <c r="M308" s="71">
        <f t="shared" si="31"/>
        <v>68</v>
      </c>
    </row>
    <row r="309" spans="1:13" hidden="1">
      <c r="A309" s="27">
        <v>46013</v>
      </c>
      <c r="B309" s="73" t="s">
        <v>33</v>
      </c>
      <c r="C309" s="73"/>
      <c r="D309" s="73"/>
      <c r="E309" s="74"/>
      <c r="F309" s="71">
        <v>0</v>
      </c>
      <c r="G309" s="71">
        <v>13</v>
      </c>
      <c r="H309" s="71">
        <v>13</v>
      </c>
      <c r="I309" s="4">
        <v>60857</v>
      </c>
      <c r="J309" s="71">
        <v>0</v>
      </c>
      <c r="K309" s="71">
        <v>0</v>
      </c>
      <c r="L309" s="71">
        <f t="shared" si="30"/>
        <v>78424</v>
      </c>
      <c r="M309" s="71">
        <f t="shared" si="31"/>
        <v>68</v>
      </c>
    </row>
    <row r="310" spans="1:13" hidden="1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1">
        <v>425</v>
      </c>
      <c r="G310" s="28">
        <v>496</v>
      </c>
      <c r="H310" s="71">
        <v>921</v>
      </c>
      <c r="I310" s="4">
        <v>61778</v>
      </c>
      <c r="J310" s="4">
        <v>1050</v>
      </c>
      <c r="K310" s="71">
        <v>1</v>
      </c>
      <c r="L310" s="71">
        <f t="shared" si="30"/>
        <v>79474</v>
      </c>
      <c r="M310" s="71">
        <f t="shared" si="31"/>
        <v>69</v>
      </c>
    </row>
    <row r="311" spans="1:13" hidden="1">
      <c r="A311" s="27">
        <v>46014</v>
      </c>
      <c r="B311" s="73" t="s">
        <v>33</v>
      </c>
      <c r="C311" s="73"/>
      <c r="D311" s="73"/>
      <c r="E311" s="74"/>
      <c r="F311" s="71">
        <v>0</v>
      </c>
      <c r="G311" s="71">
        <v>10</v>
      </c>
      <c r="H311" s="71">
        <v>10</v>
      </c>
      <c r="I311" s="4">
        <v>61788</v>
      </c>
      <c r="J311" s="71">
        <v>0</v>
      </c>
      <c r="K311" s="71">
        <v>0</v>
      </c>
      <c r="L311" s="71">
        <f t="shared" si="30"/>
        <v>79474</v>
      </c>
      <c r="M311" s="71">
        <f t="shared" si="31"/>
        <v>69</v>
      </c>
    </row>
    <row r="312" spans="1:13" hidden="1">
      <c r="A312" s="27">
        <v>46015</v>
      </c>
      <c r="B312" s="73" t="s">
        <v>33</v>
      </c>
      <c r="C312" s="73"/>
      <c r="D312" s="73"/>
      <c r="E312" s="74"/>
      <c r="F312" s="71">
        <v>0</v>
      </c>
      <c r="G312" s="71">
        <v>9</v>
      </c>
      <c r="H312" s="71">
        <v>9</v>
      </c>
      <c r="I312" s="4">
        <v>61797</v>
      </c>
      <c r="J312" s="71">
        <v>0</v>
      </c>
      <c r="K312" s="71">
        <v>0</v>
      </c>
      <c r="L312" s="71">
        <f t="shared" si="30"/>
        <v>79474</v>
      </c>
      <c r="M312" s="71">
        <f t="shared" si="31"/>
        <v>69</v>
      </c>
    </row>
    <row r="313" spans="1:13" hidden="1">
      <c r="A313" s="27">
        <v>46016</v>
      </c>
      <c r="B313" s="73" t="s">
        <v>33</v>
      </c>
      <c r="C313" s="73"/>
      <c r="D313" s="73"/>
      <c r="E313" s="74"/>
      <c r="F313" s="71">
        <v>0</v>
      </c>
      <c r="G313" s="71">
        <v>12</v>
      </c>
      <c r="H313" s="71">
        <v>12</v>
      </c>
      <c r="I313" s="4">
        <v>61809</v>
      </c>
      <c r="J313" s="71">
        <v>0</v>
      </c>
      <c r="K313" s="71">
        <v>0</v>
      </c>
      <c r="L313" s="71">
        <f t="shared" si="30"/>
        <v>79474</v>
      </c>
      <c r="M313" s="71">
        <f t="shared" si="31"/>
        <v>69</v>
      </c>
    </row>
    <row r="314" spans="1:13" hidden="1">
      <c r="A314" s="27">
        <v>46017</v>
      </c>
      <c r="B314" s="73" t="s">
        <v>33</v>
      </c>
      <c r="C314" s="73"/>
      <c r="D314" s="73"/>
      <c r="E314" s="74"/>
      <c r="F314" s="71">
        <v>0</v>
      </c>
      <c r="G314" s="71">
        <v>7</v>
      </c>
      <c r="H314" s="71">
        <v>7</v>
      </c>
      <c r="I314" s="4">
        <v>61816</v>
      </c>
      <c r="J314" s="71">
        <v>0</v>
      </c>
      <c r="K314" s="71">
        <v>0</v>
      </c>
      <c r="L314" s="71">
        <f t="shared" si="30"/>
        <v>79474</v>
      </c>
      <c r="M314" s="71">
        <f t="shared" si="31"/>
        <v>69</v>
      </c>
    </row>
    <row r="315" spans="1:13" hidden="1">
      <c r="A315" s="27">
        <v>46018</v>
      </c>
      <c r="B315" s="73" t="s">
        <v>33</v>
      </c>
      <c r="C315" s="73"/>
      <c r="D315" s="73"/>
      <c r="E315" s="74"/>
      <c r="F315" s="71">
        <v>0</v>
      </c>
      <c r="G315" s="71">
        <v>8</v>
      </c>
      <c r="H315" s="71">
        <v>8</v>
      </c>
      <c r="I315" s="4">
        <v>61824</v>
      </c>
      <c r="J315" s="71">
        <v>0</v>
      </c>
      <c r="K315" s="71">
        <v>0</v>
      </c>
      <c r="L315" s="71">
        <f t="shared" si="30"/>
        <v>79474</v>
      </c>
      <c r="M315" s="71">
        <f t="shared" si="31"/>
        <v>69</v>
      </c>
    </row>
    <row r="316" spans="1:13" hidden="1">
      <c r="A316" s="27">
        <v>46019</v>
      </c>
      <c r="B316" s="73" t="s">
        <v>33</v>
      </c>
      <c r="C316" s="73"/>
      <c r="D316" s="73"/>
      <c r="E316" s="74"/>
      <c r="F316" s="71">
        <v>0</v>
      </c>
      <c r="G316" s="71">
        <v>19</v>
      </c>
      <c r="H316" s="71">
        <v>19</v>
      </c>
      <c r="I316" s="4">
        <v>61843</v>
      </c>
      <c r="J316" s="71">
        <v>0</v>
      </c>
      <c r="K316" s="71">
        <v>0</v>
      </c>
      <c r="L316" s="71">
        <f t="shared" si="30"/>
        <v>79474</v>
      </c>
      <c r="M316" s="71">
        <f t="shared" si="31"/>
        <v>69</v>
      </c>
    </row>
    <row r="317" spans="1:13" hidden="1">
      <c r="A317" s="27">
        <v>46020</v>
      </c>
      <c r="B317" s="73" t="s">
        <v>33</v>
      </c>
      <c r="C317" s="73"/>
      <c r="D317" s="73"/>
      <c r="E317" s="74"/>
      <c r="F317" s="71">
        <v>0</v>
      </c>
      <c r="G317" s="71">
        <v>8</v>
      </c>
      <c r="H317" s="71">
        <v>8</v>
      </c>
      <c r="I317" s="4">
        <v>61851</v>
      </c>
      <c r="J317" s="71">
        <v>0</v>
      </c>
      <c r="K317" s="71">
        <v>0</v>
      </c>
      <c r="L317" s="71">
        <f t="shared" si="30"/>
        <v>79474</v>
      </c>
      <c r="M317" s="71">
        <f t="shared" si="31"/>
        <v>69</v>
      </c>
    </row>
    <row r="318" spans="1:13" hidden="1">
      <c r="A318" s="27">
        <v>46021</v>
      </c>
      <c r="B318" s="73" t="s">
        <v>33</v>
      </c>
      <c r="C318" s="73"/>
      <c r="D318" s="73"/>
      <c r="E318" s="74"/>
      <c r="F318" s="71">
        <v>0</v>
      </c>
      <c r="G318" s="71">
        <v>17</v>
      </c>
      <c r="H318" s="71">
        <v>17</v>
      </c>
      <c r="I318" s="4">
        <v>61868</v>
      </c>
      <c r="J318" s="71">
        <v>0</v>
      </c>
      <c r="K318" s="71">
        <v>0</v>
      </c>
      <c r="L318" s="71">
        <f t="shared" si="30"/>
        <v>79474</v>
      </c>
      <c r="M318" s="71">
        <f t="shared" si="31"/>
        <v>69</v>
      </c>
    </row>
    <row r="319" spans="1:13" hidden="1">
      <c r="A319" s="29">
        <v>46022</v>
      </c>
      <c r="B319" s="75" t="s">
        <v>33</v>
      </c>
      <c r="C319" s="75"/>
      <c r="D319" s="75"/>
      <c r="E319" s="76"/>
      <c r="F319" s="72">
        <v>0</v>
      </c>
      <c r="G319" s="72">
        <v>57</v>
      </c>
      <c r="H319" s="72">
        <v>57</v>
      </c>
      <c r="I319" s="30">
        <v>61925</v>
      </c>
      <c r="J319" s="72">
        <v>0</v>
      </c>
      <c r="K319" s="72">
        <v>0</v>
      </c>
      <c r="L319" s="71">
        <f t="shared" si="30"/>
        <v>79474</v>
      </c>
      <c r="M319" s="71">
        <f t="shared" si="31"/>
        <v>69</v>
      </c>
    </row>
    <row r="320" spans="1:13">
      <c r="A320" s="27">
        <v>46023</v>
      </c>
      <c r="B320" s="73" t="s">
        <v>33</v>
      </c>
      <c r="C320" s="73"/>
      <c r="D320" s="73"/>
      <c r="E320" s="74"/>
      <c r="F320" s="71">
        <v>0</v>
      </c>
      <c r="G320" s="71">
        <v>20</v>
      </c>
      <c r="H320" s="71">
        <v>20</v>
      </c>
      <c r="I320" s="4">
        <v>62056</v>
      </c>
      <c r="J320" s="71">
        <v>0</v>
      </c>
      <c r="K320" s="71">
        <v>0</v>
      </c>
      <c r="L320" s="71">
        <f t="shared" ref="L320:L347" si="32">J320+L319</f>
        <v>79474</v>
      </c>
      <c r="M320" s="71">
        <f t="shared" ref="M320:M347" si="33">K320+M319</f>
        <v>69</v>
      </c>
    </row>
    <row r="321" spans="1:13">
      <c r="A321" s="27">
        <v>46024</v>
      </c>
      <c r="B321" s="73" t="s">
        <v>33</v>
      </c>
      <c r="C321" s="73"/>
      <c r="D321" s="73"/>
      <c r="E321" s="74"/>
      <c r="F321" s="71">
        <v>0</v>
      </c>
      <c r="G321" s="71">
        <v>10</v>
      </c>
      <c r="H321" s="71">
        <v>10</v>
      </c>
      <c r="I321" s="4">
        <v>62066</v>
      </c>
      <c r="J321" s="71">
        <v>0</v>
      </c>
      <c r="K321" s="71">
        <v>0</v>
      </c>
      <c r="L321" s="71">
        <f t="shared" si="32"/>
        <v>79474</v>
      </c>
      <c r="M321" s="71">
        <f t="shared" si="33"/>
        <v>69</v>
      </c>
    </row>
    <row r="322" spans="1:13">
      <c r="A322" s="27">
        <v>46025</v>
      </c>
      <c r="B322" s="73" t="s">
        <v>33</v>
      </c>
      <c r="C322" s="73"/>
      <c r="D322" s="73"/>
      <c r="E322" s="74"/>
      <c r="F322" s="71">
        <v>0</v>
      </c>
      <c r="G322" s="71">
        <v>57</v>
      </c>
      <c r="H322" s="71">
        <v>57</v>
      </c>
      <c r="I322" s="4">
        <v>62123</v>
      </c>
      <c r="J322" s="71">
        <v>0</v>
      </c>
      <c r="K322" s="71">
        <v>0</v>
      </c>
      <c r="L322" s="71">
        <f t="shared" si="32"/>
        <v>79474</v>
      </c>
      <c r="M322" s="71">
        <f t="shared" si="33"/>
        <v>69</v>
      </c>
    </row>
    <row r="323" spans="1:13">
      <c r="A323" s="27">
        <v>46026</v>
      </c>
      <c r="B323" s="73" t="s">
        <v>33</v>
      </c>
      <c r="C323" s="73"/>
      <c r="D323" s="73"/>
      <c r="E323" s="74"/>
      <c r="F323" s="71">
        <v>0</v>
      </c>
      <c r="G323" s="71">
        <v>24</v>
      </c>
      <c r="H323" s="71">
        <v>24</v>
      </c>
      <c r="I323" s="4">
        <v>62147</v>
      </c>
      <c r="J323" s="71">
        <v>0</v>
      </c>
      <c r="K323" s="71">
        <v>0</v>
      </c>
      <c r="L323" s="71">
        <f t="shared" si="32"/>
        <v>79474</v>
      </c>
      <c r="M323" s="71">
        <f t="shared" si="33"/>
        <v>69</v>
      </c>
    </row>
    <row r="324" spans="1:13">
      <c r="A324" s="27">
        <v>46027</v>
      </c>
      <c r="B324" s="73" t="s">
        <v>49</v>
      </c>
      <c r="C324" s="73"/>
      <c r="D324" s="73"/>
      <c r="E324" s="74"/>
      <c r="F324" s="71">
        <v>0</v>
      </c>
      <c r="G324" s="71">
        <v>4</v>
      </c>
      <c r="H324" s="71">
        <v>4</v>
      </c>
      <c r="I324" s="4">
        <v>62151</v>
      </c>
      <c r="J324" s="71">
        <v>0</v>
      </c>
      <c r="K324" s="71">
        <v>0</v>
      </c>
      <c r="L324" s="71">
        <f t="shared" si="32"/>
        <v>79474</v>
      </c>
      <c r="M324" s="71">
        <f t="shared" si="33"/>
        <v>69</v>
      </c>
    </row>
    <row r="325" spans="1:13">
      <c r="A325" s="27">
        <v>46027</v>
      </c>
      <c r="B325" s="73" t="s">
        <v>33</v>
      </c>
      <c r="C325" s="73"/>
      <c r="D325" s="73"/>
      <c r="E325" s="74"/>
      <c r="F325" s="71">
        <v>0</v>
      </c>
      <c r="G325" s="71">
        <v>12</v>
      </c>
      <c r="H325" s="71">
        <v>12</v>
      </c>
      <c r="I325" s="4">
        <v>62163</v>
      </c>
      <c r="J325" s="71">
        <v>0</v>
      </c>
      <c r="K325" s="71">
        <v>0</v>
      </c>
      <c r="L325" s="71">
        <f t="shared" si="32"/>
        <v>79474</v>
      </c>
      <c r="M325" s="71">
        <f t="shared" si="33"/>
        <v>69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1">
        <v>392</v>
      </c>
      <c r="G326" s="28">
        <v>462</v>
      </c>
      <c r="H326" s="71">
        <v>854</v>
      </c>
      <c r="I326" s="4">
        <v>63017</v>
      </c>
      <c r="J326" s="4">
        <v>1184</v>
      </c>
      <c r="K326" s="71">
        <v>1</v>
      </c>
      <c r="L326" s="71">
        <f t="shared" si="32"/>
        <v>80658</v>
      </c>
      <c r="M326" s="71">
        <f t="shared" si="33"/>
        <v>70</v>
      </c>
    </row>
    <row r="327" spans="1:13">
      <c r="A327" s="27">
        <v>46028</v>
      </c>
      <c r="B327" s="73" t="s">
        <v>33</v>
      </c>
      <c r="C327" s="73"/>
      <c r="D327" s="73"/>
      <c r="E327" s="74"/>
      <c r="F327" s="71">
        <v>0</v>
      </c>
      <c r="G327" s="71">
        <v>10</v>
      </c>
      <c r="H327" s="71">
        <v>10</v>
      </c>
      <c r="I327" s="4">
        <v>63027</v>
      </c>
      <c r="J327" s="71">
        <v>0</v>
      </c>
      <c r="K327" s="71">
        <v>0</v>
      </c>
      <c r="L327" s="71">
        <f t="shared" si="32"/>
        <v>80658</v>
      </c>
      <c r="M327" s="71">
        <f t="shared" si="33"/>
        <v>70</v>
      </c>
    </row>
    <row r="328" spans="1:13">
      <c r="A328" s="27">
        <v>46028</v>
      </c>
      <c r="B328" s="73" t="s">
        <v>132</v>
      </c>
      <c r="C328" s="73"/>
      <c r="D328" s="73"/>
      <c r="E328" s="74"/>
      <c r="F328" s="71">
        <v>0</v>
      </c>
      <c r="G328" s="4">
        <v>2000</v>
      </c>
      <c r="H328" s="4">
        <v>2000</v>
      </c>
      <c r="I328" s="4">
        <v>65027</v>
      </c>
      <c r="J328" s="71">
        <v>0</v>
      </c>
      <c r="K328" s="71">
        <v>0</v>
      </c>
      <c r="L328" s="71">
        <f t="shared" si="32"/>
        <v>80658</v>
      </c>
      <c r="M328" s="71">
        <f t="shared" si="33"/>
        <v>70</v>
      </c>
    </row>
    <row r="329" spans="1:13">
      <c r="A329" s="27">
        <v>46029</v>
      </c>
      <c r="B329" s="73" t="s">
        <v>33</v>
      </c>
      <c r="C329" s="73"/>
      <c r="D329" s="73"/>
      <c r="E329" s="74"/>
      <c r="F329" s="71">
        <v>0</v>
      </c>
      <c r="G329" s="71">
        <v>58</v>
      </c>
      <c r="H329" s="71">
        <v>58</v>
      </c>
      <c r="I329" s="4">
        <v>65085</v>
      </c>
      <c r="J329" s="71">
        <v>0</v>
      </c>
      <c r="K329" s="71">
        <v>0</v>
      </c>
      <c r="L329" s="71">
        <f t="shared" si="32"/>
        <v>80658</v>
      </c>
      <c r="M329" s="71">
        <f t="shared" si="33"/>
        <v>70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1">
        <v>284</v>
      </c>
      <c r="G330" s="28">
        <v>298</v>
      </c>
      <c r="H330" s="71">
        <v>582</v>
      </c>
      <c r="I330" s="4">
        <v>65667</v>
      </c>
      <c r="J330" s="71">
        <v>568</v>
      </c>
      <c r="K330" s="71">
        <v>1</v>
      </c>
      <c r="L330" s="71">
        <f t="shared" si="32"/>
        <v>81226</v>
      </c>
      <c r="M330" s="71">
        <f t="shared" si="33"/>
        <v>71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1">
        <v>392</v>
      </c>
      <c r="G331" s="28">
        <v>462</v>
      </c>
      <c r="H331" s="71">
        <v>854</v>
      </c>
      <c r="I331" s="4">
        <v>66521</v>
      </c>
      <c r="J331" s="4">
        <v>1184</v>
      </c>
      <c r="K331" s="71">
        <v>1</v>
      </c>
      <c r="L331" s="71">
        <f t="shared" si="32"/>
        <v>82410</v>
      </c>
      <c r="M331" s="71">
        <f t="shared" si="33"/>
        <v>72</v>
      </c>
    </row>
    <row r="332" spans="1:13">
      <c r="A332" s="27">
        <v>46030</v>
      </c>
      <c r="B332" s="73" t="s">
        <v>49</v>
      </c>
      <c r="C332" s="73"/>
      <c r="D332" s="73"/>
      <c r="E332" s="74"/>
      <c r="F332" s="71">
        <v>0</v>
      </c>
      <c r="G332" s="71">
        <v>2</v>
      </c>
      <c r="H332" s="71">
        <v>2</v>
      </c>
      <c r="I332" s="4">
        <v>66523</v>
      </c>
      <c r="J332" s="71">
        <v>0</v>
      </c>
      <c r="K332" s="71">
        <v>0</v>
      </c>
      <c r="L332" s="71">
        <f t="shared" si="32"/>
        <v>82410</v>
      </c>
      <c r="M332" s="71">
        <f t="shared" si="33"/>
        <v>72</v>
      </c>
    </row>
    <row r="333" spans="1:13">
      <c r="A333" s="27">
        <v>46030</v>
      </c>
      <c r="B333" s="73" t="s">
        <v>33</v>
      </c>
      <c r="C333" s="73"/>
      <c r="D333" s="73"/>
      <c r="E333" s="74"/>
      <c r="F333" s="71">
        <v>0</v>
      </c>
      <c r="G333" s="71">
        <v>11</v>
      </c>
      <c r="H333" s="71">
        <v>11</v>
      </c>
      <c r="I333" s="4">
        <v>66534</v>
      </c>
      <c r="J333" s="71">
        <v>0</v>
      </c>
      <c r="K333" s="71">
        <v>0</v>
      </c>
      <c r="L333" s="71">
        <f t="shared" si="32"/>
        <v>82410</v>
      </c>
      <c r="M333" s="71">
        <f t="shared" si="33"/>
        <v>72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1">
        <v>124</v>
      </c>
      <c r="G334" s="28">
        <v>130</v>
      </c>
      <c r="H334" s="71">
        <v>254</v>
      </c>
      <c r="I334" s="4">
        <v>66788</v>
      </c>
      <c r="J334" s="71">
        <v>248</v>
      </c>
      <c r="K334" s="71">
        <v>1</v>
      </c>
      <c r="L334" s="71">
        <f t="shared" si="32"/>
        <v>82658</v>
      </c>
      <c r="M334" s="71">
        <f t="shared" si="33"/>
        <v>73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1">
        <v>124</v>
      </c>
      <c r="G335" s="28">
        <v>130</v>
      </c>
      <c r="H335" s="71">
        <v>254</v>
      </c>
      <c r="I335" s="4">
        <v>67042</v>
      </c>
      <c r="J335" s="71">
        <v>248</v>
      </c>
      <c r="K335" s="71">
        <v>1</v>
      </c>
      <c r="L335" s="71">
        <f t="shared" si="32"/>
        <v>82906</v>
      </c>
      <c r="M335" s="71">
        <f t="shared" si="33"/>
        <v>74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1">
        <v>133</v>
      </c>
      <c r="G336" s="28">
        <v>190</v>
      </c>
      <c r="H336" s="71">
        <v>323</v>
      </c>
      <c r="I336" s="4">
        <v>67365</v>
      </c>
      <c r="J336" s="71">
        <v>466</v>
      </c>
      <c r="K336" s="71">
        <v>1</v>
      </c>
      <c r="L336" s="71">
        <f t="shared" si="32"/>
        <v>83372</v>
      </c>
      <c r="M336" s="71">
        <f t="shared" si="33"/>
        <v>75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1">
        <v>89</v>
      </c>
      <c r="G337" s="28">
        <v>93</v>
      </c>
      <c r="H337" s="71">
        <v>182</v>
      </c>
      <c r="I337" s="4">
        <v>67547</v>
      </c>
      <c r="J337" s="71">
        <v>178</v>
      </c>
      <c r="K337" s="71">
        <v>1</v>
      </c>
      <c r="L337" s="71">
        <f t="shared" si="32"/>
        <v>83550</v>
      </c>
      <c r="M337" s="71">
        <f t="shared" si="33"/>
        <v>76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1">
        <v>30</v>
      </c>
      <c r="G338" s="28">
        <v>32</v>
      </c>
      <c r="H338" s="71">
        <v>62</v>
      </c>
      <c r="I338" s="4">
        <v>67609</v>
      </c>
      <c r="J338" s="71">
        <v>60</v>
      </c>
      <c r="K338" s="71">
        <v>1</v>
      </c>
      <c r="L338" s="71">
        <f t="shared" si="32"/>
        <v>83610</v>
      </c>
      <c r="M338" s="71">
        <f t="shared" si="33"/>
        <v>77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1">
        <v>30</v>
      </c>
      <c r="G339" s="28">
        <v>32</v>
      </c>
      <c r="H339" s="71">
        <v>62</v>
      </c>
      <c r="I339" s="4">
        <v>67671</v>
      </c>
      <c r="J339" s="71">
        <v>60</v>
      </c>
      <c r="K339" s="71">
        <v>1</v>
      </c>
      <c r="L339" s="71">
        <f t="shared" si="32"/>
        <v>83670</v>
      </c>
      <c r="M339" s="71">
        <f t="shared" si="33"/>
        <v>78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1">
        <v>269</v>
      </c>
      <c r="G340" s="28">
        <v>282</v>
      </c>
      <c r="H340" s="71">
        <v>551</v>
      </c>
      <c r="I340" s="4">
        <v>68222</v>
      </c>
      <c r="J340" s="71">
        <v>538</v>
      </c>
      <c r="K340" s="71">
        <v>1</v>
      </c>
      <c r="L340" s="71">
        <f t="shared" si="32"/>
        <v>84208</v>
      </c>
      <c r="M340" s="71">
        <f t="shared" si="33"/>
        <v>79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1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1">
        <v>1</v>
      </c>
      <c r="L341" s="71">
        <f t="shared" si="32"/>
        <v>85214</v>
      </c>
      <c r="M341" s="71">
        <f t="shared" si="33"/>
        <v>80</v>
      </c>
    </row>
    <row r="342" spans="1:13">
      <c r="A342" s="27">
        <v>46031</v>
      </c>
      <c r="B342" s="73" t="s">
        <v>33</v>
      </c>
      <c r="C342" s="73"/>
      <c r="D342" s="73"/>
      <c r="E342" s="74"/>
      <c r="F342" s="71">
        <v>0</v>
      </c>
      <c r="G342" s="71">
        <v>9</v>
      </c>
      <c r="H342" s="71">
        <v>9</v>
      </c>
      <c r="I342" s="4">
        <v>69460</v>
      </c>
      <c r="J342" s="71">
        <v>0</v>
      </c>
      <c r="K342" s="71">
        <v>0</v>
      </c>
      <c r="L342" s="71">
        <f t="shared" si="32"/>
        <v>85214</v>
      </c>
      <c r="M342" s="71">
        <f t="shared" si="33"/>
        <v>80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1">
        <v>63</v>
      </c>
      <c r="G343" s="28">
        <v>66</v>
      </c>
      <c r="H343" s="71">
        <v>129</v>
      </c>
      <c r="I343" s="4">
        <v>69589</v>
      </c>
      <c r="J343" s="71">
        <v>126</v>
      </c>
      <c r="K343" s="71">
        <v>1</v>
      </c>
      <c r="L343" s="71">
        <f t="shared" si="32"/>
        <v>85340</v>
      </c>
      <c r="M343" s="71">
        <f t="shared" si="33"/>
        <v>81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1">
        <v>63</v>
      </c>
      <c r="G344" s="28">
        <v>66</v>
      </c>
      <c r="H344" s="71">
        <v>129</v>
      </c>
      <c r="I344" s="4">
        <v>69718</v>
      </c>
      <c r="J344" s="71">
        <v>126</v>
      </c>
      <c r="K344" s="71">
        <v>1</v>
      </c>
      <c r="L344" s="71">
        <f t="shared" si="32"/>
        <v>85466</v>
      </c>
      <c r="M344" s="71">
        <f t="shared" si="33"/>
        <v>82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1">
        <v>98</v>
      </c>
      <c r="G345" s="28">
        <v>153</v>
      </c>
      <c r="H345" s="71">
        <v>251</v>
      </c>
      <c r="I345" s="4">
        <v>69969</v>
      </c>
      <c r="J345" s="71">
        <v>396</v>
      </c>
      <c r="K345" s="71">
        <v>1</v>
      </c>
      <c r="L345" s="71">
        <f t="shared" si="32"/>
        <v>85862</v>
      </c>
      <c r="M345" s="71">
        <f t="shared" si="33"/>
        <v>83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1">
        <v>98</v>
      </c>
      <c r="G346" s="28">
        <v>153</v>
      </c>
      <c r="H346" s="71">
        <v>251</v>
      </c>
      <c r="I346" s="4">
        <v>70220</v>
      </c>
      <c r="J346" s="71">
        <v>396</v>
      </c>
      <c r="K346" s="71">
        <v>1</v>
      </c>
      <c r="L346" s="71">
        <f t="shared" si="32"/>
        <v>86258</v>
      </c>
      <c r="M346" s="71">
        <f t="shared" si="33"/>
        <v>84</v>
      </c>
    </row>
    <row r="347" spans="1:13">
      <c r="A347" s="27">
        <v>46032</v>
      </c>
      <c r="B347" s="73" t="s">
        <v>33</v>
      </c>
      <c r="C347" s="73"/>
      <c r="D347" s="73"/>
      <c r="E347" s="74"/>
      <c r="F347" s="71">
        <v>0</v>
      </c>
      <c r="G347" s="71">
        <v>9</v>
      </c>
      <c r="H347" s="71">
        <v>9</v>
      </c>
      <c r="I347" s="4">
        <v>70229</v>
      </c>
      <c r="J347" s="71">
        <v>0</v>
      </c>
      <c r="K347" s="71">
        <v>0</v>
      </c>
      <c r="L347" s="71">
        <f t="shared" si="32"/>
        <v>86258</v>
      </c>
      <c r="M347" s="71">
        <f t="shared" si="33"/>
        <v>84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1">
        <v>30</v>
      </c>
      <c r="G348" s="28">
        <v>32</v>
      </c>
      <c r="H348" s="71">
        <v>62</v>
      </c>
      <c r="I348" s="4">
        <v>70291</v>
      </c>
      <c r="J348" s="71">
        <v>60</v>
      </c>
      <c r="K348" s="71">
        <v>1</v>
      </c>
      <c r="L348" s="71">
        <f t="shared" ref="L348:L352" si="34">J348+L347</f>
        <v>86318</v>
      </c>
      <c r="M348" s="71">
        <f t="shared" ref="M348:M352" si="35">K348+M347</f>
        <v>85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1">
        <v>44</v>
      </c>
      <c r="G349" s="28">
        <v>96</v>
      </c>
      <c r="H349" s="71">
        <v>140</v>
      </c>
      <c r="I349" s="4">
        <v>70431</v>
      </c>
      <c r="J349" s="71">
        <v>288</v>
      </c>
      <c r="K349" s="71">
        <v>1</v>
      </c>
      <c r="L349" s="71">
        <f t="shared" si="34"/>
        <v>86606</v>
      </c>
      <c r="M349" s="71">
        <f t="shared" si="35"/>
        <v>86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1">
        <v>37</v>
      </c>
      <c r="G350" s="28">
        <v>39</v>
      </c>
      <c r="H350" s="71">
        <v>76</v>
      </c>
      <c r="I350" s="4">
        <v>70507</v>
      </c>
      <c r="J350" s="71">
        <v>74</v>
      </c>
      <c r="K350" s="71">
        <v>1</v>
      </c>
      <c r="L350" s="71">
        <f t="shared" si="34"/>
        <v>86680</v>
      </c>
      <c r="M350" s="71">
        <f t="shared" si="35"/>
        <v>87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1">
        <v>37</v>
      </c>
      <c r="G351" s="28">
        <v>39</v>
      </c>
      <c r="H351" s="71">
        <v>76</v>
      </c>
      <c r="I351" s="4">
        <v>70583</v>
      </c>
      <c r="J351" s="71">
        <v>74</v>
      </c>
      <c r="K351" s="71">
        <v>1</v>
      </c>
      <c r="L351" s="71">
        <f t="shared" si="34"/>
        <v>86754</v>
      </c>
      <c r="M351" s="71">
        <f t="shared" si="35"/>
        <v>88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1">
        <v>124</v>
      </c>
      <c r="G352" s="28">
        <v>130</v>
      </c>
      <c r="H352" s="71">
        <v>254</v>
      </c>
      <c r="I352" s="4">
        <v>70837</v>
      </c>
      <c r="J352" s="71">
        <v>248</v>
      </c>
      <c r="K352" s="71">
        <v>1</v>
      </c>
      <c r="L352" s="71">
        <f t="shared" si="34"/>
        <v>87002</v>
      </c>
      <c r="M352" s="71">
        <f t="shared" si="35"/>
        <v>89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1">
        <v>124</v>
      </c>
      <c r="G353" s="28">
        <v>130</v>
      </c>
      <c r="H353" s="71">
        <v>254</v>
      </c>
      <c r="I353" s="4">
        <v>71091</v>
      </c>
      <c r="J353" s="71">
        <v>248</v>
      </c>
      <c r="K353" s="71">
        <v>1</v>
      </c>
      <c r="L353" s="71">
        <f t="shared" ref="L353:L355" si="36">J353+L352</f>
        <v>87250</v>
      </c>
      <c r="M353" s="71">
        <f t="shared" ref="M353:M355" si="37">K353+M352</f>
        <v>90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1">
        <v>269</v>
      </c>
      <c r="G354" s="28">
        <v>282</v>
      </c>
      <c r="H354" s="71">
        <v>551</v>
      </c>
      <c r="I354" s="4">
        <v>71642</v>
      </c>
      <c r="J354" s="71">
        <v>538</v>
      </c>
      <c r="K354" s="71">
        <v>1</v>
      </c>
      <c r="L354" s="71">
        <f t="shared" si="36"/>
        <v>87788</v>
      </c>
      <c r="M354" s="71">
        <f t="shared" si="37"/>
        <v>91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1">
        <v>492</v>
      </c>
      <c r="G355" s="28">
        <v>517</v>
      </c>
      <c r="H355" s="4">
        <v>1009</v>
      </c>
      <c r="I355" s="4">
        <v>72651</v>
      </c>
      <c r="J355" s="71">
        <v>984</v>
      </c>
      <c r="K355" s="71">
        <v>1</v>
      </c>
      <c r="L355" s="71">
        <f t="shared" si="36"/>
        <v>88772</v>
      </c>
      <c r="M355" s="71">
        <f t="shared" si="37"/>
        <v>92</v>
      </c>
    </row>
    <row r="356" spans="1:13">
      <c r="A356" s="27">
        <v>46033</v>
      </c>
      <c r="B356" s="73" t="s">
        <v>49</v>
      </c>
      <c r="C356" s="73"/>
      <c r="D356" s="73"/>
      <c r="E356" s="74"/>
      <c r="F356" s="71">
        <v>0</v>
      </c>
      <c r="G356" s="71">
        <v>2</v>
      </c>
      <c r="H356" s="71">
        <v>2</v>
      </c>
      <c r="I356" s="4">
        <v>72653</v>
      </c>
      <c r="J356" s="71">
        <v>0</v>
      </c>
      <c r="K356" s="71">
        <v>0</v>
      </c>
      <c r="L356" s="71">
        <f t="shared" ref="L356:L366" si="38">J356+L355</f>
        <v>88772</v>
      </c>
      <c r="M356" s="71">
        <f t="shared" ref="M356:M366" si="39">K356+M355</f>
        <v>92</v>
      </c>
    </row>
    <row r="357" spans="1:13">
      <c r="A357" s="27">
        <v>46033</v>
      </c>
      <c r="B357" s="73" t="s">
        <v>33</v>
      </c>
      <c r="C357" s="73"/>
      <c r="D357" s="73"/>
      <c r="E357" s="74"/>
      <c r="F357" s="71">
        <v>0</v>
      </c>
      <c r="G357" s="71">
        <v>79</v>
      </c>
      <c r="H357" s="71">
        <v>79</v>
      </c>
      <c r="I357" s="4">
        <v>72732</v>
      </c>
      <c r="J357" s="71">
        <v>0</v>
      </c>
      <c r="K357" s="71">
        <v>0</v>
      </c>
      <c r="L357" s="71">
        <f t="shared" si="38"/>
        <v>88772</v>
      </c>
      <c r="M357" s="71">
        <f t="shared" si="39"/>
        <v>92</v>
      </c>
    </row>
    <row r="358" spans="1:13">
      <c r="A358" s="27">
        <v>46034</v>
      </c>
      <c r="B358" s="73" t="s">
        <v>33</v>
      </c>
      <c r="C358" s="73"/>
      <c r="D358" s="73"/>
      <c r="E358" s="74"/>
      <c r="F358" s="71">
        <v>0</v>
      </c>
      <c r="G358" s="71">
        <v>61</v>
      </c>
      <c r="H358" s="71">
        <v>61</v>
      </c>
      <c r="I358" s="4">
        <v>72793</v>
      </c>
      <c r="J358" s="71">
        <v>0</v>
      </c>
      <c r="K358" s="71">
        <v>0</v>
      </c>
      <c r="L358" s="71">
        <f t="shared" si="38"/>
        <v>88772</v>
      </c>
      <c r="M358" s="71">
        <f t="shared" si="39"/>
        <v>92</v>
      </c>
    </row>
    <row r="359" spans="1:13">
      <c r="A359" s="27">
        <v>46035</v>
      </c>
      <c r="B359" s="73" t="s">
        <v>65</v>
      </c>
      <c r="C359" s="73"/>
      <c r="D359" s="73"/>
      <c r="E359" s="74"/>
      <c r="F359" s="4">
        <v>12624</v>
      </c>
      <c r="G359" s="71">
        <v>0</v>
      </c>
      <c r="H359" s="4">
        <v>12624</v>
      </c>
      <c r="I359" s="4">
        <v>85417</v>
      </c>
      <c r="J359" s="71">
        <v>0</v>
      </c>
      <c r="K359" s="71">
        <v>0</v>
      </c>
      <c r="L359" s="71">
        <f t="shared" si="38"/>
        <v>88772</v>
      </c>
      <c r="M359" s="71">
        <f t="shared" si="39"/>
        <v>92</v>
      </c>
    </row>
    <row r="360" spans="1:13">
      <c r="A360" s="27">
        <v>46035</v>
      </c>
      <c r="B360" s="73" t="s">
        <v>33</v>
      </c>
      <c r="C360" s="73"/>
      <c r="D360" s="73"/>
      <c r="E360" s="74"/>
      <c r="F360" s="71">
        <v>0</v>
      </c>
      <c r="G360" s="71">
        <v>8</v>
      </c>
      <c r="H360" s="71">
        <v>8</v>
      </c>
      <c r="I360" s="4">
        <v>85425</v>
      </c>
      <c r="J360" s="71">
        <v>0</v>
      </c>
      <c r="K360" s="71">
        <v>0</v>
      </c>
      <c r="L360" s="71">
        <f t="shared" si="38"/>
        <v>88772</v>
      </c>
      <c r="M360" s="71">
        <f t="shared" si="39"/>
        <v>92</v>
      </c>
    </row>
    <row r="361" spans="1:13">
      <c r="A361" s="27">
        <v>46036</v>
      </c>
      <c r="B361" s="73" t="s">
        <v>154</v>
      </c>
      <c r="C361" s="73"/>
      <c r="D361" s="73"/>
      <c r="E361" s="74"/>
      <c r="F361" s="71">
        <v>0</v>
      </c>
      <c r="G361" s="4">
        <v>6000</v>
      </c>
      <c r="H361" s="4">
        <v>6000</v>
      </c>
      <c r="I361" s="4">
        <v>91425</v>
      </c>
      <c r="J361" s="71">
        <v>0</v>
      </c>
      <c r="K361" s="71">
        <v>0</v>
      </c>
      <c r="L361" s="71">
        <f t="shared" si="38"/>
        <v>88772</v>
      </c>
      <c r="M361" s="71">
        <f t="shared" si="39"/>
        <v>92</v>
      </c>
    </row>
    <row r="362" spans="1:13">
      <c r="A362" s="27">
        <v>46036</v>
      </c>
      <c r="B362" s="73" t="s">
        <v>33</v>
      </c>
      <c r="C362" s="73"/>
      <c r="D362" s="73"/>
      <c r="E362" s="74"/>
      <c r="F362" s="71">
        <v>0</v>
      </c>
      <c r="G362" s="71">
        <v>13</v>
      </c>
      <c r="H362" s="71">
        <v>13</v>
      </c>
      <c r="I362" s="4">
        <v>91438</v>
      </c>
      <c r="J362" s="71">
        <v>0</v>
      </c>
      <c r="K362" s="71">
        <v>0</v>
      </c>
      <c r="L362" s="71">
        <f t="shared" si="38"/>
        <v>88772</v>
      </c>
      <c r="M362" s="71">
        <f t="shared" si="39"/>
        <v>92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1">
        <v>232</v>
      </c>
      <c r="G363" s="28">
        <v>294</v>
      </c>
      <c r="H363" s="71">
        <v>526</v>
      </c>
      <c r="I363" s="4">
        <v>91964</v>
      </c>
      <c r="J363" s="71">
        <v>864</v>
      </c>
      <c r="K363" s="71">
        <v>1</v>
      </c>
      <c r="L363" s="71">
        <f t="shared" si="38"/>
        <v>89636</v>
      </c>
      <c r="M363" s="71">
        <f t="shared" si="39"/>
        <v>93</v>
      </c>
    </row>
    <row r="364" spans="1:13">
      <c r="A364" s="27">
        <v>46037</v>
      </c>
      <c r="B364" s="73" t="s">
        <v>49</v>
      </c>
      <c r="C364" s="73"/>
      <c r="D364" s="73"/>
      <c r="E364" s="74"/>
      <c r="F364" s="71">
        <v>0</v>
      </c>
      <c r="G364" s="71">
        <v>2</v>
      </c>
      <c r="H364" s="71">
        <v>2</v>
      </c>
      <c r="I364" s="4">
        <v>91966</v>
      </c>
      <c r="J364" s="71">
        <v>0</v>
      </c>
      <c r="K364" s="71">
        <v>0</v>
      </c>
      <c r="L364" s="71">
        <f t="shared" si="38"/>
        <v>89636</v>
      </c>
      <c r="M364" s="71">
        <f t="shared" si="39"/>
        <v>93</v>
      </c>
    </row>
    <row r="365" spans="1:13">
      <c r="A365" s="27">
        <v>46037</v>
      </c>
      <c r="B365" s="73" t="s">
        <v>33</v>
      </c>
      <c r="C365" s="73"/>
      <c r="D365" s="73"/>
      <c r="E365" s="74"/>
      <c r="F365" s="71">
        <v>0</v>
      </c>
      <c r="G365" s="71">
        <v>8</v>
      </c>
      <c r="H365" s="71">
        <v>8</v>
      </c>
      <c r="I365" s="4">
        <v>91974</v>
      </c>
      <c r="J365" s="71">
        <v>0</v>
      </c>
      <c r="K365" s="71">
        <v>0</v>
      </c>
      <c r="L365" s="71">
        <f t="shared" si="38"/>
        <v>89636</v>
      </c>
      <c r="M365" s="71">
        <f t="shared" si="39"/>
        <v>93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1">
        <v>232</v>
      </c>
      <c r="G366" s="28">
        <v>294</v>
      </c>
      <c r="H366" s="71">
        <v>526</v>
      </c>
      <c r="I366" s="4">
        <v>92500</v>
      </c>
      <c r="J366" s="71">
        <v>864</v>
      </c>
      <c r="K366" s="71">
        <v>1</v>
      </c>
      <c r="L366" s="71">
        <f t="shared" si="38"/>
        <v>90500</v>
      </c>
      <c r="M366" s="71">
        <f t="shared" si="39"/>
        <v>94</v>
      </c>
    </row>
    <row r="367" spans="1:13">
      <c r="A367" s="27">
        <v>46038</v>
      </c>
      <c r="B367" s="73" t="s">
        <v>33</v>
      </c>
      <c r="C367" s="73"/>
      <c r="D367" s="73"/>
      <c r="E367" s="74"/>
      <c r="F367" s="71">
        <v>0</v>
      </c>
      <c r="G367" s="71">
        <v>6</v>
      </c>
      <c r="H367" s="71">
        <v>6</v>
      </c>
      <c r="I367" s="4">
        <v>92506</v>
      </c>
      <c r="J367" s="71">
        <v>0</v>
      </c>
      <c r="K367" s="71">
        <v>0</v>
      </c>
      <c r="L367" s="71">
        <f t="shared" ref="L367:L373" si="40">J367+L366</f>
        <v>90500</v>
      </c>
      <c r="M367" s="71">
        <f t="shared" ref="M367:M373" si="41">K367+M366</f>
        <v>94</v>
      </c>
    </row>
    <row r="368" spans="1:13">
      <c r="A368" s="27">
        <v>46039</v>
      </c>
      <c r="B368" s="73" t="s">
        <v>33</v>
      </c>
      <c r="C368" s="73"/>
      <c r="D368" s="73"/>
      <c r="E368" s="74"/>
      <c r="F368" s="71">
        <v>0</v>
      </c>
      <c r="G368" s="71">
        <v>7</v>
      </c>
      <c r="H368" s="71">
        <v>7</v>
      </c>
      <c r="I368" s="4">
        <v>92513</v>
      </c>
      <c r="J368" s="71">
        <v>0</v>
      </c>
      <c r="K368" s="71">
        <v>0</v>
      </c>
      <c r="L368" s="71">
        <f t="shared" si="40"/>
        <v>90500</v>
      </c>
      <c r="M368" s="71">
        <f t="shared" si="41"/>
        <v>94</v>
      </c>
    </row>
    <row r="369" spans="1:13">
      <c r="A369" s="27">
        <v>46040</v>
      </c>
      <c r="B369" s="73" t="s">
        <v>33</v>
      </c>
      <c r="C369" s="73"/>
      <c r="D369" s="73"/>
      <c r="E369" s="74"/>
      <c r="F369" s="71">
        <v>0</v>
      </c>
      <c r="G369" s="71">
        <v>19</v>
      </c>
      <c r="H369" s="71">
        <v>19</v>
      </c>
      <c r="I369" s="4">
        <v>92532</v>
      </c>
      <c r="J369" s="71">
        <v>0</v>
      </c>
      <c r="K369" s="71">
        <v>0</v>
      </c>
      <c r="L369" s="71">
        <f t="shared" si="40"/>
        <v>90500</v>
      </c>
      <c r="M369" s="71">
        <f t="shared" si="41"/>
        <v>94</v>
      </c>
    </row>
    <row r="370" spans="1:13">
      <c r="A370" s="27">
        <v>46041</v>
      </c>
      <c r="B370" s="73" t="s">
        <v>49</v>
      </c>
      <c r="C370" s="73"/>
      <c r="D370" s="73"/>
      <c r="E370" s="74"/>
      <c r="F370" s="71">
        <v>0</v>
      </c>
      <c r="G370" s="71">
        <v>2</v>
      </c>
      <c r="H370" s="71">
        <v>2</v>
      </c>
      <c r="I370" s="4">
        <v>92534</v>
      </c>
      <c r="J370" s="71">
        <v>0</v>
      </c>
      <c r="K370" s="71">
        <v>0</v>
      </c>
      <c r="L370" s="71">
        <f t="shared" si="40"/>
        <v>90500</v>
      </c>
      <c r="M370" s="71">
        <f t="shared" si="41"/>
        <v>94</v>
      </c>
    </row>
    <row r="371" spans="1:13">
      <c r="A371" s="27">
        <v>46041</v>
      </c>
      <c r="B371" s="73" t="s">
        <v>33</v>
      </c>
      <c r="C371" s="73"/>
      <c r="D371" s="73"/>
      <c r="E371" s="74"/>
      <c r="F371" s="71">
        <v>0</v>
      </c>
      <c r="G371" s="71">
        <v>16</v>
      </c>
      <c r="H371" s="71">
        <v>16</v>
      </c>
      <c r="I371" s="4">
        <v>92550</v>
      </c>
      <c r="J371" s="71">
        <v>0</v>
      </c>
      <c r="K371" s="71">
        <v>0</v>
      </c>
      <c r="L371" s="71">
        <f t="shared" si="40"/>
        <v>90500</v>
      </c>
      <c r="M371" s="71">
        <f t="shared" si="41"/>
        <v>94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1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1">
        <v>1</v>
      </c>
      <c r="L372" s="71">
        <f t="shared" si="40"/>
        <v>92148</v>
      </c>
      <c r="M372" s="71">
        <f t="shared" si="41"/>
        <v>95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1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1">
        <v>1</v>
      </c>
      <c r="L373" s="71">
        <f t="shared" si="40"/>
        <v>93796</v>
      </c>
      <c r="M373" s="71">
        <f t="shared" si="41"/>
        <v>96</v>
      </c>
    </row>
    <row r="374" spans="1:13">
      <c r="A374" s="27">
        <v>46042</v>
      </c>
      <c r="B374" s="73" t="s">
        <v>33</v>
      </c>
      <c r="C374" s="73"/>
      <c r="D374" s="73"/>
      <c r="E374" s="74"/>
      <c r="F374" s="71">
        <v>0</v>
      </c>
      <c r="G374" s="71">
        <v>6</v>
      </c>
      <c r="H374" s="71">
        <v>6</v>
      </c>
      <c r="I374" s="4">
        <v>95214</v>
      </c>
      <c r="J374" s="71">
        <v>0</v>
      </c>
      <c r="K374" s="71">
        <v>0</v>
      </c>
      <c r="L374" s="71">
        <f t="shared" ref="L374:L375" si="42">J374+L373</f>
        <v>93796</v>
      </c>
      <c r="M374" s="71">
        <f t="shared" ref="M374:M375" si="43">K374+M373</f>
        <v>96</v>
      </c>
    </row>
    <row r="375" spans="1:13">
      <c r="A375" s="27">
        <v>46043</v>
      </c>
      <c r="B375" s="73" t="s">
        <v>33</v>
      </c>
      <c r="C375" s="73"/>
      <c r="D375" s="73"/>
      <c r="E375" s="74"/>
      <c r="F375" s="71">
        <v>0</v>
      </c>
      <c r="G375" s="71">
        <v>9</v>
      </c>
      <c r="H375" s="71">
        <v>9</v>
      </c>
      <c r="I375" s="4">
        <v>95223</v>
      </c>
      <c r="J375" s="71">
        <v>0</v>
      </c>
      <c r="K375" s="71">
        <v>0</v>
      </c>
      <c r="L375" s="71">
        <f t="shared" si="42"/>
        <v>93796</v>
      </c>
      <c r="M375" s="71">
        <f t="shared" si="43"/>
        <v>96</v>
      </c>
    </row>
    <row r="376" spans="1:13">
      <c r="A376" s="27">
        <v>46044</v>
      </c>
      <c r="B376" s="73" t="s">
        <v>33</v>
      </c>
      <c r="C376" s="73"/>
      <c r="D376" s="73"/>
      <c r="E376" s="74"/>
      <c r="F376" s="71">
        <v>0</v>
      </c>
      <c r="G376" s="71">
        <v>8</v>
      </c>
      <c r="H376" s="71">
        <v>8</v>
      </c>
      <c r="I376" s="4">
        <v>95231</v>
      </c>
      <c r="J376" s="71">
        <v>0</v>
      </c>
      <c r="K376" s="71">
        <v>0</v>
      </c>
      <c r="L376" s="71">
        <f t="shared" ref="L376:L383" si="44">J376+L375</f>
        <v>93796</v>
      </c>
      <c r="M376" s="71">
        <f t="shared" ref="M376:M383" si="45">K376+M375</f>
        <v>96</v>
      </c>
    </row>
    <row r="377" spans="1:13">
      <c r="A377" s="27">
        <v>46045</v>
      </c>
      <c r="B377" s="73" t="s">
        <v>49</v>
      </c>
      <c r="C377" s="73"/>
      <c r="D377" s="73"/>
      <c r="E377" s="74"/>
      <c r="F377" s="71">
        <v>0</v>
      </c>
      <c r="G377" s="71">
        <v>3</v>
      </c>
      <c r="H377" s="71">
        <v>3</v>
      </c>
      <c r="I377" s="4">
        <v>95234</v>
      </c>
      <c r="J377" s="71">
        <v>0</v>
      </c>
      <c r="K377" s="71">
        <v>0</v>
      </c>
      <c r="L377" s="71">
        <f t="shared" si="44"/>
        <v>93796</v>
      </c>
      <c r="M377" s="71">
        <f t="shared" si="45"/>
        <v>96</v>
      </c>
    </row>
    <row r="378" spans="1:13">
      <c r="A378" s="27">
        <v>46045</v>
      </c>
      <c r="B378" s="73" t="s">
        <v>154</v>
      </c>
      <c r="C378" s="73"/>
      <c r="D378" s="73"/>
      <c r="E378" s="74"/>
      <c r="F378" s="71">
        <v>0</v>
      </c>
      <c r="G378" s="4">
        <v>5500</v>
      </c>
      <c r="H378" s="4">
        <v>5500</v>
      </c>
      <c r="I378" s="4">
        <v>100734</v>
      </c>
      <c r="J378" s="71">
        <v>0</v>
      </c>
      <c r="K378" s="71">
        <v>0</v>
      </c>
      <c r="L378" s="71">
        <f t="shared" si="44"/>
        <v>93796</v>
      </c>
      <c r="M378" s="71">
        <f t="shared" si="45"/>
        <v>96</v>
      </c>
    </row>
    <row r="379" spans="1:13">
      <c r="A379" s="27">
        <v>46045</v>
      </c>
      <c r="B379" s="73" t="s">
        <v>33</v>
      </c>
      <c r="C379" s="73"/>
      <c r="D379" s="73"/>
      <c r="E379" s="74"/>
      <c r="F379" s="71">
        <v>0</v>
      </c>
      <c r="G379" s="71">
        <v>13</v>
      </c>
      <c r="H379" s="71">
        <v>13</v>
      </c>
      <c r="I379" s="4">
        <v>100747</v>
      </c>
      <c r="J379" s="71">
        <v>0</v>
      </c>
      <c r="K379" s="71">
        <v>0</v>
      </c>
      <c r="L379" s="71">
        <f t="shared" si="44"/>
        <v>93796</v>
      </c>
      <c r="M379" s="71">
        <f t="shared" si="45"/>
        <v>96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1">
        <v>113</v>
      </c>
      <c r="G380" s="28">
        <v>119</v>
      </c>
      <c r="H380" s="71">
        <v>232</v>
      </c>
      <c r="I380" s="4">
        <v>100979</v>
      </c>
      <c r="J380" s="71">
        <v>226</v>
      </c>
      <c r="K380" s="71">
        <v>1</v>
      </c>
      <c r="L380" s="71">
        <f t="shared" si="44"/>
        <v>94022</v>
      </c>
      <c r="M380" s="71">
        <f t="shared" si="45"/>
        <v>97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1">
        <v>113</v>
      </c>
      <c r="G381" s="28">
        <v>119</v>
      </c>
      <c r="H381" s="71">
        <v>232</v>
      </c>
      <c r="I381" s="4">
        <v>101211</v>
      </c>
      <c r="J381" s="71">
        <v>226</v>
      </c>
      <c r="K381" s="71">
        <v>1</v>
      </c>
      <c r="L381" s="71">
        <f t="shared" si="44"/>
        <v>94248</v>
      </c>
      <c r="M381" s="71">
        <f t="shared" si="45"/>
        <v>98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1">
        <v>89</v>
      </c>
      <c r="G382" s="28">
        <v>93</v>
      </c>
      <c r="H382" s="71">
        <v>182</v>
      </c>
      <c r="I382" s="4">
        <v>101393</v>
      </c>
      <c r="J382" s="71">
        <v>178</v>
      </c>
      <c r="K382" s="71">
        <v>1</v>
      </c>
      <c r="L382" s="71">
        <f t="shared" si="44"/>
        <v>94426</v>
      </c>
      <c r="M382" s="71">
        <f t="shared" si="45"/>
        <v>99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1">
        <v>89</v>
      </c>
      <c r="G383" s="28">
        <v>93</v>
      </c>
      <c r="H383" s="71">
        <v>182</v>
      </c>
      <c r="I383" s="4">
        <v>101575</v>
      </c>
      <c r="J383" s="71">
        <v>178</v>
      </c>
      <c r="K383" s="71">
        <v>1</v>
      </c>
      <c r="L383" s="71">
        <f t="shared" si="44"/>
        <v>94604</v>
      </c>
      <c r="M383" s="71">
        <f t="shared" si="45"/>
        <v>100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1">
        <v>492</v>
      </c>
      <c r="G384" s="28">
        <v>517</v>
      </c>
      <c r="H384" s="4">
        <v>1009</v>
      </c>
      <c r="I384" s="4">
        <v>102584</v>
      </c>
      <c r="J384" s="71">
        <v>984</v>
      </c>
      <c r="K384" s="71">
        <v>1</v>
      </c>
      <c r="L384" s="71">
        <f t="shared" ref="L384:L398" si="46">J384+L383</f>
        <v>95588</v>
      </c>
      <c r="M384" s="71">
        <f t="shared" ref="M384:M398" si="47">K384+M383</f>
        <v>101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1">
        <v>492</v>
      </c>
      <c r="G385" s="28">
        <v>517</v>
      </c>
      <c r="H385" s="4">
        <v>1009</v>
      </c>
      <c r="I385" s="4">
        <v>103593</v>
      </c>
      <c r="J385" s="71">
        <v>984</v>
      </c>
      <c r="K385" s="71">
        <v>1</v>
      </c>
      <c r="L385" s="71">
        <f t="shared" si="46"/>
        <v>96572</v>
      </c>
      <c r="M385" s="71">
        <f t="shared" si="47"/>
        <v>102</v>
      </c>
    </row>
    <row r="386" spans="1:13">
      <c r="A386" s="27">
        <v>46046</v>
      </c>
      <c r="B386" s="73" t="s">
        <v>33</v>
      </c>
      <c r="C386" s="73"/>
      <c r="D386" s="73"/>
      <c r="E386" s="74"/>
      <c r="F386" s="71">
        <v>0</v>
      </c>
      <c r="G386" s="71">
        <v>27</v>
      </c>
      <c r="H386" s="71">
        <v>27</v>
      </c>
      <c r="I386" s="4">
        <v>103620</v>
      </c>
      <c r="J386" s="71">
        <v>0</v>
      </c>
      <c r="K386" s="71">
        <v>0</v>
      </c>
      <c r="L386" s="71">
        <f t="shared" si="46"/>
        <v>96572</v>
      </c>
      <c r="M386" s="71">
        <f t="shared" si="47"/>
        <v>102</v>
      </c>
    </row>
    <row r="387" spans="1:13">
      <c r="A387" s="27">
        <v>46047</v>
      </c>
      <c r="B387" s="73" t="s">
        <v>129</v>
      </c>
      <c r="C387" s="73"/>
      <c r="D387" s="73"/>
      <c r="E387" s="74"/>
      <c r="F387" s="71">
        <v>0</v>
      </c>
      <c r="G387" s="71">
        <v>118</v>
      </c>
      <c r="H387" s="71">
        <v>118</v>
      </c>
      <c r="I387" s="4">
        <v>103738</v>
      </c>
      <c r="J387" s="71">
        <v>0</v>
      </c>
      <c r="K387" s="71">
        <v>0</v>
      </c>
      <c r="L387" s="71">
        <f t="shared" si="46"/>
        <v>96572</v>
      </c>
      <c r="M387" s="71">
        <f t="shared" si="47"/>
        <v>102</v>
      </c>
    </row>
    <row r="388" spans="1:13">
      <c r="A388" s="27">
        <v>46047</v>
      </c>
      <c r="B388" s="73" t="s">
        <v>33</v>
      </c>
      <c r="C388" s="73"/>
      <c r="D388" s="73"/>
      <c r="E388" s="74"/>
      <c r="F388" s="71">
        <v>0</v>
      </c>
      <c r="G388" s="71">
        <v>71</v>
      </c>
      <c r="H388" s="71">
        <v>71</v>
      </c>
      <c r="I388" s="4">
        <v>103809</v>
      </c>
      <c r="J388" s="71">
        <v>0</v>
      </c>
      <c r="K388" s="71">
        <v>0</v>
      </c>
      <c r="L388" s="71">
        <f t="shared" si="46"/>
        <v>96572</v>
      </c>
      <c r="M388" s="71">
        <f t="shared" si="47"/>
        <v>102</v>
      </c>
    </row>
    <row r="389" spans="1:13">
      <c r="A389" s="27">
        <v>46048</v>
      </c>
      <c r="B389" s="73" t="s">
        <v>163</v>
      </c>
      <c r="C389" s="73"/>
      <c r="D389" s="73"/>
      <c r="E389" s="74"/>
      <c r="F389" s="71">
        <v>0</v>
      </c>
      <c r="G389" s="71">
        <v>10</v>
      </c>
      <c r="H389" s="71">
        <v>10</v>
      </c>
      <c r="I389" s="4">
        <v>103819</v>
      </c>
      <c r="J389" s="71">
        <v>0</v>
      </c>
      <c r="K389" s="71">
        <v>0</v>
      </c>
      <c r="L389" s="71">
        <f t="shared" si="46"/>
        <v>96572</v>
      </c>
      <c r="M389" s="71">
        <f t="shared" si="47"/>
        <v>102</v>
      </c>
    </row>
    <row r="390" spans="1:13">
      <c r="A390" s="27">
        <v>46048</v>
      </c>
      <c r="B390" s="73" t="s">
        <v>33</v>
      </c>
      <c r="C390" s="73"/>
      <c r="D390" s="73"/>
      <c r="E390" s="74"/>
      <c r="F390" s="71">
        <v>0</v>
      </c>
      <c r="G390" s="71">
        <v>17</v>
      </c>
      <c r="H390" s="71">
        <v>17</v>
      </c>
      <c r="I390" s="4">
        <v>103836</v>
      </c>
      <c r="J390" s="71">
        <v>0</v>
      </c>
      <c r="K390" s="71">
        <v>0</v>
      </c>
      <c r="L390" s="71">
        <f t="shared" si="46"/>
        <v>96572</v>
      </c>
      <c r="M390" s="71">
        <f t="shared" si="47"/>
        <v>102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1">
        <v>1</v>
      </c>
      <c r="L391" s="71">
        <f t="shared" si="46"/>
        <v>99136</v>
      </c>
      <c r="M391" s="71">
        <f t="shared" si="47"/>
        <v>103</v>
      </c>
    </row>
    <row r="392" spans="1:13">
      <c r="A392" s="27">
        <v>46049</v>
      </c>
      <c r="B392" s="73" t="s">
        <v>49</v>
      </c>
      <c r="C392" s="73"/>
      <c r="D392" s="73"/>
      <c r="E392" s="74"/>
      <c r="F392" s="71">
        <v>0</v>
      </c>
      <c r="G392" s="71">
        <v>2</v>
      </c>
      <c r="H392" s="71">
        <v>2</v>
      </c>
      <c r="I392" s="4">
        <v>106106</v>
      </c>
      <c r="J392" s="71">
        <v>0</v>
      </c>
      <c r="K392" s="71">
        <v>0</v>
      </c>
      <c r="L392" s="71">
        <f t="shared" si="46"/>
        <v>99136</v>
      </c>
      <c r="M392" s="71">
        <f t="shared" si="47"/>
        <v>103</v>
      </c>
    </row>
    <row r="393" spans="1:13">
      <c r="A393" s="27">
        <v>46049</v>
      </c>
      <c r="B393" s="73" t="s">
        <v>33</v>
      </c>
      <c r="C393" s="73"/>
      <c r="D393" s="73"/>
      <c r="E393" s="74"/>
      <c r="F393" s="71">
        <v>0</v>
      </c>
      <c r="G393" s="71">
        <v>2</v>
      </c>
      <c r="H393" s="71">
        <v>2</v>
      </c>
      <c r="I393" s="4">
        <v>106108</v>
      </c>
      <c r="J393" s="71">
        <v>0</v>
      </c>
      <c r="K393" s="71">
        <v>0</v>
      </c>
      <c r="L393" s="71">
        <f t="shared" si="46"/>
        <v>99136</v>
      </c>
      <c r="M393" s="71">
        <f t="shared" si="47"/>
        <v>103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1">
        <v>1</v>
      </c>
      <c r="L394" s="71">
        <f t="shared" si="46"/>
        <v>101700</v>
      </c>
      <c r="M394" s="71">
        <f t="shared" si="47"/>
        <v>104</v>
      </c>
    </row>
    <row r="395" spans="1:13">
      <c r="A395" s="27">
        <v>46050</v>
      </c>
      <c r="B395" s="73" t="s">
        <v>33</v>
      </c>
      <c r="C395" s="73"/>
      <c r="D395" s="73"/>
      <c r="E395" s="74"/>
      <c r="F395" s="71">
        <v>0</v>
      </c>
      <c r="G395" s="71">
        <v>8</v>
      </c>
      <c r="H395" s="71">
        <v>8</v>
      </c>
      <c r="I395" s="4">
        <v>108384</v>
      </c>
      <c r="J395" s="71">
        <v>0</v>
      </c>
      <c r="K395" s="71">
        <v>0</v>
      </c>
      <c r="L395" s="71">
        <f t="shared" si="46"/>
        <v>101700</v>
      </c>
      <c r="M395" s="71">
        <f t="shared" si="47"/>
        <v>104</v>
      </c>
    </row>
    <row r="396" spans="1:13">
      <c r="A396" s="27">
        <v>46051</v>
      </c>
      <c r="B396" s="73" t="s">
        <v>33</v>
      </c>
      <c r="C396" s="73"/>
      <c r="D396" s="73"/>
      <c r="E396" s="74"/>
      <c r="F396" s="71">
        <v>0</v>
      </c>
      <c r="G396" s="71">
        <v>8</v>
      </c>
      <c r="H396" s="71">
        <v>8</v>
      </c>
      <c r="I396" s="4">
        <v>108392</v>
      </c>
      <c r="J396" s="71">
        <v>0</v>
      </c>
      <c r="K396" s="71">
        <v>0</v>
      </c>
      <c r="L396" s="71">
        <f t="shared" si="46"/>
        <v>101700</v>
      </c>
      <c r="M396" s="71">
        <f t="shared" si="47"/>
        <v>104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1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1">
        <v>1</v>
      </c>
      <c r="L397" s="71">
        <f t="shared" si="46"/>
        <v>103376</v>
      </c>
      <c r="M397" s="71">
        <f t="shared" si="47"/>
        <v>105</v>
      </c>
    </row>
    <row r="398" spans="1:13">
      <c r="A398" s="27">
        <v>46052</v>
      </c>
      <c r="B398" s="73" t="s">
        <v>49</v>
      </c>
      <c r="C398" s="73"/>
      <c r="D398" s="73"/>
      <c r="E398" s="74"/>
      <c r="F398" s="71">
        <v>0</v>
      </c>
      <c r="G398" s="71">
        <v>3</v>
      </c>
      <c r="H398" s="71">
        <v>3</v>
      </c>
      <c r="I398" s="4">
        <v>109958</v>
      </c>
      <c r="J398" s="71">
        <v>0</v>
      </c>
      <c r="K398" s="71">
        <v>0</v>
      </c>
      <c r="L398" s="71">
        <f t="shared" si="46"/>
        <v>103376</v>
      </c>
      <c r="M398" s="71">
        <f t="shared" si="47"/>
        <v>105</v>
      </c>
    </row>
    <row r="399" spans="1:13">
      <c r="A399" s="27">
        <v>46052</v>
      </c>
      <c r="B399" s="73" t="s">
        <v>33</v>
      </c>
      <c r="C399" s="73"/>
      <c r="D399" s="73"/>
      <c r="E399" s="74"/>
      <c r="F399" s="71">
        <v>0</v>
      </c>
      <c r="G399" s="71">
        <v>9</v>
      </c>
      <c r="H399" s="71">
        <v>9</v>
      </c>
      <c r="I399" s="4">
        <v>109967</v>
      </c>
      <c r="J399" s="71">
        <v>0</v>
      </c>
      <c r="K399" s="71">
        <v>0</v>
      </c>
      <c r="L399" s="71">
        <f t="shared" ref="L399:L426" si="48">J399+L398</f>
        <v>103376</v>
      </c>
      <c r="M399" s="71">
        <f t="shared" ref="M399:M426" si="49">K399+M398</f>
        <v>105</v>
      </c>
    </row>
    <row r="400" spans="1:13">
      <c r="A400" s="27">
        <v>46053</v>
      </c>
      <c r="B400" s="73" t="s">
        <v>166</v>
      </c>
      <c r="C400" s="73"/>
      <c r="D400" s="73"/>
      <c r="E400" s="74"/>
      <c r="F400" s="71">
        <v>0</v>
      </c>
      <c r="G400" s="71">
        <v>0</v>
      </c>
      <c r="H400" s="71">
        <v>0</v>
      </c>
      <c r="I400" s="4">
        <v>109967</v>
      </c>
      <c r="J400" s="4">
        <v>5000</v>
      </c>
      <c r="K400" s="71">
        <v>0</v>
      </c>
      <c r="L400" s="71">
        <f t="shared" si="48"/>
        <v>108376</v>
      </c>
      <c r="M400" s="71">
        <f t="shared" si="49"/>
        <v>105</v>
      </c>
    </row>
    <row r="401" spans="1:13">
      <c r="A401" s="27">
        <v>46053</v>
      </c>
      <c r="B401" s="73" t="s">
        <v>167</v>
      </c>
      <c r="C401" s="73"/>
      <c r="D401" s="73"/>
      <c r="E401" s="74"/>
      <c r="F401" s="71">
        <v>0</v>
      </c>
      <c r="G401" s="71">
        <v>98</v>
      </c>
      <c r="H401" s="71">
        <v>98</v>
      </c>
      <c r="I401" s="4">
        <v>110065</v>
      </c>
      <c r="J401" s="71">
        <v>0</v>
      </c>
      <c r="K401" s="71">
        <v>0</v>
      </c>
      <c r="L401" s="71">
        <f t="shared" si="48"/>
        <v>108376</v>
      </c>
      <c r="M401" s="71">
        <f t="shared" si="49"/>
        <v>105</v>
      </c>
    </row>
    <row r="402" spans="1:13">
      <c r="A402" s="27">
        <v>46053</v>
      </c>
      <c r="B402" s="73" t="s">
        <v>168</v>
      </c>
      <c r="C402" s="73"/>
      <c r="D402" s="73"/>
      <c r="E402" s="74"/>
      <c r="F402" s="71">
        <v>0</v>
      </c>
      <c r="G402" s="71">
        <v>5</v>
      </c>
      <c r="H402" s="71">
        <v>5</v>
      </c>
      <c r="I402" s="4">
        <v>110070</v>
      </c>
      <c r="J402" s="71">
        <v>0</v>
      </c>
      <c r="K402" s="71">
        <v>0</v>
      </c>
      <c r="L402" s="71">
        <f t="shared" si="48"/>
        <v>108376</v>
      </c>
      <c r="M402" s="71">
        <f t="shared" si="49"/>
        <v>105</v>
      </c>
    </row>
    <row r="403" spans="1:13">
      <c r="A403" s="27">
        <v>46053</v>
      </c>
      <c r="B403" s="73" t="s">
        <v>169</v>
      </c>
      <c r="C403" s="73"/>
      <c r="D403" s="73"/>
      <c r="E403" s="74"/>
      <c r="F403" s="71">
        <v>0</v>
      </c>
      <c r="G403" s="71">
        <v>27</v>
      </c>
      <c r="H403" s="71">
        <v>27</v>
      </c>
      <c r="I403" s="4">
        <v>110097</v>
      </c>
      <c r="J403" s="71">
        <v>0</v>
      </c>
      <c r="K403" s="71">
        <v>0</v>
      </c>
      <c r="L403" s="71">
        <f t="shared" si="48"/>
        <v>108376</v>
      </c>
      <c r="M403" s="71">
        <f t="shared" si="49"/>
        <v>105</v>
      </c>
    </row>
    <row r="404" spans="1:13">
      <c r="A404" s="27">
        <v>46053</v>
      </c>
      <c r="B404" s="73" t="s">
        <v>33</v>
      </c>
      <c r="C404" s="73"/>
      <c r="D404" s="73"/>
      <c r="E404" s="74"/>
      <c r="F404" s="71">
        <v>0</v>
      </c>
      <c r="G404" s="71">
        <v>11</v>
      </c>
      <c r="H404" s="71">
        <v>11</v>
      </c>
      <c r="I404" s="4">
        <v>110108</v>
      </c>
      <c r="J404" s="71">
        <v>0</v>
      </c>
      <c r="K404" s="71">
        <v>0</v>
      </c>
      <c r="L404" s="71">
        <f t="shared" si="48"/>
        <v>108376</v>
      </c>
      <c r="M404" s="71">
        <f t="shared" si="49"/>
        <v>105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1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1">
        <v>1</v>
      </c>
      <c r="L405" s="71">
        <f t="shared" si="48"/>
        <v>110052</v>
      </c>
      <c r="M405" s="71">
        <f t="shared" si="49"/>
        <v>106</v>
      </c>
    </row>
    <row r="406" spans="1:13" ht="22.5" customHeight="1">
      <c r="A406" s="27">
        <v>46054</v>
      </c>
      <c r="B406" s="73" t="s">
        <v>33</v>
      </c>
      <c r="C406" s="73"/>
      <c r="D406" s="73"/>
      <c r="E406" s="74"/>
      <c r="F406" s="71">
        <v>0</v>
      </c>
      <c r="G406" s="71">
        <v>40</v>
      </c>
      <c r="H406" s="71">
        <v>40</v>
      </c>
      <c r="I406" s="4">
        <v>111711</v>
      </c>
      <c r="J406" s="71">
        <v>0</v>
      </c>
      <c r="K406" s="71">
        <v>0</v>
      </c>
      <c r="L406" s="71">
        <f t="shared" si="48"/>
        <v>110052</v>
      </c>
      <c r="M406" s="71">
        <f t="shared" si="49"/>
        <v>106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1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1">
        <v>1</v>
      </c>
      <c r="L407" s="71">
        <f t="shared" si="48"/>
        <v>111728</v>
      </c>
      <c r="M407" s="71">
        <f t="shared" si="49"/>
        <v>107</v>
      </c>
    </row>
    <row r="408" spans="1:13">
      <c r="A408" s="27">
        <v>46055</v>
      </c>
      <c r="B408" s="73" t="s">
        <v>33</v>
      </c>
      <c r="C408" s="73"/>
      <c r="D408" s="73"/>
      <c r="E408" s="74"/>
      <c r="F408" s="71">
        <v>0</v>
      </c>
      <c r="G408" s="71">
        <v>5</v>
      </c>
      <c r="H408" s="71">
        <v>5</v>
      </c>
      <c r="I408" s="4">
        <v>113279</v>
      </c>
      <c r="J408" s="71">
        <v>0</v>
      </c>
      <c r="K408" s="71">
        <v>0</v>
      </c>
      <c r="L408" s="71">
        <f t="shared" si="48"/>
        <v>111728</v>
      </c>
      <c r="M408" s="71">
        <f t="shared" si="49"/>
        <v>107</v>
      </c>
    </row>
    <row r="409" spans="1:13">
      <c r="A409" s="27">
        <v>46056</v>
      </c>
      <c r="B409" s="73" t="s">
        <v>49</v>
      </c>
      <c r="C409" s="73"/>
      <c r="D409" s="73"/>
      <c r="E409" s="74"/>
      <c r="F409" s="71">
        <v>0</v>
      </c>
      <c r="G409" s="71">
        <v>2</v>
      </c>
      <c r="H409" s="71">
        <v>2</v>
      </c>
      <c r="I409" s="4">
        <v>113281</v>
      </c>
      <c r="J409" s="71">
        <v>0</v>
      </c>
      <c r="K409" s="71">
        <v>0</v>
      </c>
      <c r="L409" s="71">
        <f t="shared" si="48"/>
        <v>111728</v>
      </c>
      <c r="M409" s="71">
        <f t="shared" si="49"/>
        <v>107</v>
      </c>
    </row>
    <row r="410" spans="1:13">
      <c r="A410" s="27">
        <v>46056</v>
      </c>
      <c r="B410" s="73" t="s">
        <v>33</v>
      </c>
      <c r="C410" s="73"/>
      <c r="D410" s="73"/>
      <c r="E410" s="74"/>
      <c r="F410" s="71">
        <v>0</v>
      </c>
      <c r="G410" s="71">
        <v>2</v>
      </c>
      <c r="H410" s="71">
        <v>2</v>
      </c>
      <c r="I410" s="4">
        <v>113283</v>
      </c>
      <c r="J410" s="71">
        <v>0</v>
      </c>
      <c r="K410" s="71">
        <v>0</v>
      </c>
      <c r="L410" s="71">
        <f t="shared" si="48"/>
        <v>111728</v>
      </c>
      <c r="M410" s="71">
        <f t="shared" si="49"/>
        <v>107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1">
        <v>1</v>
      </c>
      <c r="L411" s="71">
        <f t="shared" si="48"/>
        <v>114292</v>
      </c>
      <c r="M411" s="71">
        <f t="shared" si="49"/>
        <v>108</v>
      </c>
    </row>
    <row r="412" spans="1:13">
      <c r="A412" s="27">
        <v>46058</v>
      </c>
      <c r="B412" s="73" t="s">
        <v>33</v>
      </c>
      <c r="C412" s="73"/>
      <c r="D412" s="73"/>
      <c r="E412" s="74"/>
      <c r="F412" s="71">
        <v>0</v>
      </c>
      <c r="G412" s="71">
        <v>10</v>
      </c>
      <c r="H412" s="71">
        <v>10</v>
      </c>
      <c r="I412" s="4">
        <v>115561</v>
      </c>
      <c r="J412" s="71">
        <v>0</v>
      </c>
      <c r="K412" s="71">
        <v>0</v>
      </c>
      <c r="L412" s="71">
        <f t="shared" si="48"/>
        <v>114292</v>
      </c>
      <c r="M412" s="71">
        <f t="shared" si="49"/>
        <v>108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1">
        <v>269</v>
      </c>
      <c r="G413" s="28">
        <v>282</v>
      </c>
      <c r="H413" s="71">
        <v>551</v>
      </c>
      <c r="I413" s="4">
        <v>116112</v>
      </c>
      <c r="J413" s="71">
        <v>538</v>
      </c>
      <c r="K413" s="71">
        <v>1</v>
      </c>
      <c r="L413" s="71">
        <f t="shared" si="48"/>
        <v>114830</v>
      </c>
      <c r="M413" s="71">
        <f t="shared" si="49"/>
        <v>109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1">
        <v>98</v>
      </c>
      <c r="G414" s="28">
        <v>153</v>
      </c>
      <c r="H414" s="71">
        <v>251</v>
      </c>
      <c r="I414" s="4">
        <v>116363</v>
      </c>
      <c r="J414" s="71">
        <v>396</v>
      </c>
      <c r="K414" s="71">
        <v>1</v>
      </c>
      <c r="L414" s="71">
        <f t="shared" si="48"/>
        <v>115226</v>
      </c>
      <c r="M414" s="71">
        <f t="shared" si="49"/>
        <v>110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1">
        <v>98</v>
      </c>
      <c r="G415" s="28">
        <v>153</v>
      </c>
      <c r="H415" s="71">
        <v>251</v>
      </c>
      <c r="I415" s="4">
        <v>116614</v>
      </c>
      <c r="J415" s="71">
        <v>396</v>
      </c>
      <c r="K415" s="71">
        <v>1</v>
      </c>
      <c r="L415" s="71">
        <f t="shared" si="48"/>
        <v>115622</v>
      </c>
      <c r="M415" s="71">
        <f t="shared" si="49"/>
        <v>111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1">
        <v>94</v>
      </c>
      <c r="G416" s="28">
        <v>99</v>
      </c>
      <c r="H416" s="71">
        <v>193</v>
      </c>
      <c r="I416" s="4">
        <v>116807</v>
      </c>
      <c r="J416" s="71">
        <v>188</v>
      </c>
      <c r="K416" s="71">
        <v>1</v>
      </c>
      <c r="L416" s="71">
        <f t="shared" si="48"/>
        <v>115810</v>
      </c>
      <c r="M416" s="71">
        <f t="shared" si="49"/>
        <v>112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1">
        <v>94</v>
      </c>
      <c r="G417" s="28">
        <v>99</v>
      </c>
      <c r="H417" s="71">
        <v>193</v>
      </c>
      <c r="I417" s="4">
        <v>117000</v>
      </c>
      <c r="J417" s="71">
        <v>188</v>
      </c>
      <c r="K417" s="71">
        <v>1</v>
      </c>
      <c r="L417" s="71">
        <f t="shared" si="48"/>
        <v>115998</v>
      </c>
      <c r="M417" s="71">
        <f t="shared" si="49"/>
        <v>113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1">
        <v>284</v>
      </c>
      <c r="G418" s="28">
        <v>298</v>
      </c>
      <c r="H418" s="71">
        <v>582</v>
      </c>
      <c r="I418" s="4">
        <v>117582</v>
      </c>
      <c r="J418" s="71">
        <v>568</v>
      </c>
      <c r="K418" s="71">
        <v>1</v>
      </c>
      <c r="L418" s="71">
        <f t="shared" si="48"/>
        <v>116566</v>
      </c>
      <c r="M418" s="71">
        <f t="shared" si="49"/>
        <v>114</v>
      </c>
    </row>
    <row r="419" spans="1:13">
      <c r="A419" s="27">
        <v>46059</v>
      </c>
      <c r="B419" s="73" t="s">
        <v>33</v>
      </c>
      <c r="C419" s="73"/>
      <c r="D419" s="73"/>
      <c r="E419" s="74"/>
      <c r="F419" s="71">
        <v>0</v>
      </c>
      <c r="G419" s="71">
        <v>10</v>
      </c>
      <c r="H419" s="71">
        <v>10</v>
      </c>
      <c r="I419" s="4">
        <v>117592</v>
      </c>
      <c r="J419" s="71">
        <v>0</v>
      </c>
      <c r="K419" s="71">
        <v>0</v>
      </c>
      <c r="L419" s="71">
        <f t="shared" si="48"/>
        <v>116566</v>
      </c>
      <c r="M419" s="71">
        <f t="shared" si="49"/>
        <v>114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1">
        <v>44</v>
      </c>
      <c r="G420" s="28">
        <v>96</v>
      </c>
      <c r="H420" s="71">
        <v>140</v>
      </c>
      <c r="I420" s="4">
        <v>117732</v>
      </c>
      <c r="J420" s="71">
        <v>288</v>
      </c>
      <c r="K420" s="71">
        <v>1</v>
      </c>
      <c r="L420" s="71">
        <f t="shared" si="48"/>
        <v>116854</v>
      </c>
      <c r="M420" s="71">
        <f t="shared" si="49"/>
        <v>115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1">
        <v>30</v>
      </c>
      <c r="G421" s="28">
        <v>32</v>
      </c>
      <c r="H421" s="71">
        <v>62</v>
      </c>
      <c r="I421" s="4">
        <v>117794</v>
      </c>
      <c r="J421" s="71">
        <v>60</v>
      </c>
      <c r="K421" s="71">
        <v>1</v>
      </c>
      <c r="L421" s="71">
        <f t="shared" si="48"/>
        <v>116914</v>
      </c>
      <c r="M421" s="71">
        <f t="shared" si="49"/>
        <v>116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1">
        <v>89</v>
      </c>
      <c r="G422" s="28">
        <v>93</v>
      </c>
      <c r="H422" s="71">
        <v>182</v>
      </c>
      <c r="I422" s="4">
        <v>117976</v>
      </c>
      <c r="J422" s="71">
        <v>178</v>
      </c>
      <c r="K422" s="71">
        <v>1</v>
      </c>
      <c r="L422" s="71">
        <f t="shared" si="48"/>
        <v>117092</v>
      </c>
      <c r="M422" s="71">
        <f t="shared" si="49"/>
        <v>117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1">
        <v>89</v>
      </c>
      <c r="G423" s="28">
        <v>93</v>
      </c>
      <c r="H423" s="71">
        <v>182</v>
      </c>
      <c r="I423" s="4">
        <v>118158</v>
      </c>
      <c r="J423" s="71">
        <v>178</v>
      </c>
      <c r="K423" s="71">
        <v>1</v>
      </c>
      <c r="L423" s="71">
        <f t="shared" si="48"/>
        <v>117270</v>
      </c>
      <c r="M423" s="71">
        <f t="shared" si="49"/>
        <v>118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1">
        <v>269</v>
      </c>
      <c r="G424" s="28">
        <v>282</v>
      </c>
      <c r="H424" s="71">
        <v>551</v>
      </c>
      <c r="I424" s="4">
        <v>118709</v>
      </c>
      <c r="J424" s="71">
        <v>538</v>
      </c>
      <c r="K424" s="71">
        <v>1</v>
      </c>
      <c r="L424" s="71">
        <f t="shared" si="48"/>
        <v>117808</v>
      </c>
      <c r="M424" s="71">
        <f t="shared" si="49"/>
        <v>119</v>
      </c>
    </row>
    <row r="425" spans="1:13">
      <c r="A425" s="27">
        <v>46060</v>
      </c>
      <c r="B425" s="73" t="s">
        <v>49</v>
      </c>
      <c r="C425" s="73"/>
      <c r="D425" s="73"/>
      <c r="E425" s="74"/>
      <c r="F425" s="71">
        <v>0</v>
      </c>
      <c r="G425" s="71">
        <v>1</v>
      </c>
      <c r="H425" s="71">
        <v>1</v>
      </c>
      <c r="I425" s="4">
        <v>118710</v>
      </c>
      <c r="J425" s="71">
        <v>0</v>
      </c>
      <c r="K425" s="71">
        <v>0</v>
      </c>
      <c r="L425" s="71">
        <f t="shared" si="48"/>
        <v>117808</v>
      </c>
      <c r="M425" s="71">
        <f t="shared" si="49"/>
        <v>119</v>
      </c>
    </row>
    <row r="426" spans="1:13">
      <c r="A426" s="27">
        <v>46060</v>
      </c>
      <c r="B426" s="73" t="s">
        <v>33</v>
      </c>
      <c r="C426" s="73"/>
      <c r="D426" s="73"/>
      <c r="E426" s="74"/>
      <c r="F426" s="71">
        <v>0</v>
      </c>
      <c r="G426" s="71">
        <v>6</v>
      </c>
      <c r="H426" s="71">
        <v>6</v>
      </c>
      <c r="I426" s="4">
        <v>118716</v>
      </c>
      <c r="J426" s="71">
        <v>0</v>
      </c>
      <c r="K426" s="71">
        <v>0</v>
      </c>
      <c r="L426" s="71">
        <f t="shared" si="48"/>
        <v>117808</v>
      </c>
      <c r="M426" s="71">
        <f t="shared" si="49"/>
        <v>119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1">
        <v>44</v>
      </c>
      <c r="G427" s="28">
        <v>96</v>
      </c>
      <c r="H427" s="71">
        <v>140</v>
      </c>
      <c r="I427" s="4">
        <v>118856</v>
      </c>
      <c r="J427" s="71">
        <v>288</v>
      </c>
      <c r="K427" s="71">
        <v>1</v>
      </c>
      <c r="L427" s="71">
        <f t="shared" ref="L427:L439" si="50">J427+L426</f>
        <v>118096</v>
      </c>
      <c r="M427" s="71">
        <f t="shared" ref="M427:M439" si="51">K427+M426</f>
        <v>120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1">
        <v>30</v>
      </c>
      <c r="G428" s="28">
        <v>32</v>
      </c>
      <c r="H428" s="71">
        <v>62</v>
      </c>
      <c r="I428" s="4">
        <v>118918</v>
      </c>
      <c r="J428" s="71">
        <v>60</v>
      </c>
      <c r="K428" s="71">
        <v>1</v>
      </c>
      <c r="L428" s="71">
        <f t="shared" si="50"/>
        <v>118156</v>
      </c>
      <c r="M428" s="71">
        <f t="shared" si="51"/>
        <v>121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1">
        <v>40</v>
      </c>
      <c r="G429" s="28">
        <v>42</v>
      </c>
      <c r="H429" s="71">
        <v>82</v>
      </c>
      <c r="I429" s="4">
        <v>119000</v>
      </c>
      <c r="J429" s="71">
        <v>80</v>
      </c>
      <c r="K429" s="71">
        <v>1</v>
      </c>
      <c r="L429" s="71">
        <f t="shared" si="50"/>
        <v>118236</v>
      </c>
      <c r="M429" s="71">
        <f t="shared" si="51"/>
        <v>122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1">
        <v>158</v>
      </c>
      <c r="G430" s="28">
        <v>166</v>
      </c>
      <c r="H430" s="71">
        <v>324</v>
      </c>
      <c r="I430" s="4">
        <v>119324</v>
      </c>
      <c r="J430" s="71">
        <v>316</v>
      </c>
      <c r="K430" s="71">
        <v>1</v>
      </c>
      <c r="L430" s="71">
        <f t="shared" si="50"/>
        <v>118552</v>
      </c>
      <c r="M430" s="71">
        <f t="shared" si="51"/>
        <v>123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1">
        <v>124</v>
      </c>
      <c r="G431" s="28">
        <v>130</v>
      </c>
      <c r="H431" s="71">
        <v>254</v>
      </c>
      <c r="I431" s="4">
        <v>119578</v>
      </c>
      <c r="J431" s="71">
        <v>248</v>
      </c>
      <c r="K431" s="71">
        <v>1</v>
      </c>
      <c r="L431" s="71">
        <f t="shared" si="50"/>
        <v>118800</v>
      </c>
      <c r="M431" s="71">
        <f t="shared" si="51"/>
        <v>124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1">
        <v>89</v>
      </c>
      <c r="G432" s="28">
        <v>93</v>
      </c>
      <c r="H432" s="71">
        <v>182</v>
      </c>
      <c r="I432" s="4">
        <v>119760</v>
      </c>
      <c r="J432" s="71">
        <v>178</v>
      </c>
      <c r="K432" s="71">
        <v>1</v>
      </c>
      <c r="L432" s="71">
        <f t="shared" si="50"/>
        <v>118978</v>
      </c>
      <c r="M432" s="71">
        <f t="shared" si="51"/>
        <v>125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1">
        <v>89</v>
      </c>
      <c r="G433" s="28">
        <v>93</v>
      </c>
      <c r="H433" s="71">
        <v>182</v>
      </c>
      <c r="I433" s="4">
        <v>119942</v>
      </c>
      <c r="J433" s="71">
        <v>178</v>
      </c>
      <c r="K433" s="71">
        <v>1</v>
      </c>
      <c r="L433" s="71">
        <f t="shared" si="50"/>
        <v>119156</v>
      </c>
      <c r="M433" s="71">
        <f t="shared" si="51"/>
        <v>126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1">
        <v>269</v>
      </c>
      <c r="G434" s="28">
        <v>282</v>
      </c>
      <c r="H434" s="71">
        <v>551</v>
      </c>
      <c r="I434" s="4">
        <v>120493</v>
      </c>
      <c r="J434" s="71">
        <v>538</v>
      </c>
      <c r="K434" s="71">
        <v>1</v>
      </c>
      <c r="L434" s="71">
        <f t="shared" si="50"/>
        <v>119694</v>
      </c>
      <c r="M434" s="71">
        <f t="shared" si="51"/>
        <v>127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1">
        <v>492</v>
      </c>
      <c r="G435" s="28">
        <v>517</v>
      </c>
      <c r="H435" s="4">
        <v>1009</v>
      </c>
      <c r="I435" s="4">
        <v>121502</v>
      </c>
      <c r="J435" s="71">
        <v>984</v>
      </c>
      <c r="K435" s="71">
        <v>1</v>
      </c>
      <c r="L435" s="71">
        <f t="shared" si="50"/>
        <v>120678</v>
      </c>
      <c r="M435" s="71">
        <f t="shared" si="51"/>
        <v>128</v>
      </c>
    </row>
    <row r="436" spans="1:13">
      <c r="A436" s="27">
        <v>46061</v>
      </c>
      <c r="B436" s="73" t="s">
        <v>33</v>
      </c>
      <c r="C436" s="73"/>
      <c r="D436" s="73"/>
      <c r="E436" s="74"/>
      <c r="F436" s="71">
        <v>0</v>
      </c>
      <c r="G436" s="71">
        <v>20</v>
      </c>
      <c r="H436" s="71">
        <v>20</v>
      </c>
      <c r="I436" s="4">
        <v>121522</v>
      </c>
      <c r="J436" s="71">
        <v>0</v>
      </c>
      <c r="K436" s="71">
        <v>0</v>
      </c>
      <c r="L436" s="71">
        <f t="shared" si="50"/>
        <v>120678</v>
      </c>
      <c r="M436" s="71">
        <f t="shared" si="51"/>
        <v>128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1">
        <v>389</v>
      </c>
      <c r="G437" s="28">
        <v>458</v>
      </c>
      <c r="H437" s="71">
        <v>847</v>
      </c>
      <c r="I437" s="4">
        <v>122369</v>
      </c>
      <c r="J437" s="4">
        <v>1178</v>
      </c>
      <c r="K437" s="71">
        <v>1</v>
      </c>
      <c r="L437" s="71">
        <f t="shared" si="50"/>
        <v>121856</v>
      </c>
      <c r="M437" s="71">
        <f t="shared" si="51"/>
        <v>129</v>
      </c>
    </row>
    <row r="438" spans="1:13">
      <c r="A438" s="27">
        <v>46062</v>
      </c>
      <c r="B438" s="73" t="s">
        <v>33</v>
      </c>
      <c r="C438" s="73"/>
      <c r="D438" s="73"/>
      <c r="E438" s="74"/>
      <c r="F438" s="71">
        <v>0</v>
      </c>
      <c r="G438" s="71">
        <v>11</v>
      </c>
      <c r="H438" s="71">
        <v>11</v>
      </c>
      <c r="I438" s="4">
        <v>122380</v>
      </c>
      <c r="J438" s="71">
        <v>0</v>
      </c>
      <c r="K438" s="71">
        <v>0</v>
      </c>
      <c r="L438" s="71">
        <f t="shared" si="50"/>
        <v>121856</v>
      </c>
      <c r="M438" s="71">
        <f t="shared" si="51"/>
        <v>129</v>
      </c>
    </row>
    <row r="439" spans="1:13">
      <c r="A439" s="27">
        <v>46063</v>
      </c>
      <c r="B439" s="73" t="s">
        <v>65</v>
      </c>
      <c r="C439" s="73"/>
      <c r="D439" s="73"/>
      <c r="E439" s="74"/>
      <c r="F439" s="4">
        <v>4117</v>
      </c>
      <c r="G439" s="71">
        <v>0</v>
      </c>
      <c r="H439" s="4">
        <v>4117</v>
      </c>
      <c r="I439" s="4">
        <v>126497</v>
      </c>
      <c r="J439" s="71">
        <v>0</v>
      </c>
      <c r="K439" s="71">
        <v>0</v>
      </c>
      <c r="L439" s="71">
        <f t="shared" si="50"/>
        <v>121856</v>
      </c>
      <c r="M439" s="71">
        <f t="shared" si="51"/>
        <v>129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1">
        <v>389</v>
      </c>
      <c r="G440" s="28">
        <v>458</v>
      </c>
      <c r="H440" s="71">
        <v>847</v>
      </c>
      <c r="I440" s="4">
        <v>127344</v>
      </c>
      <c r="J440" s="4">
        <v>1178</v>
      </c>
      <c r="K440" s="71">
        <v>1</v>
      </c>
      <c r="L440" s="71">
        <f t="shared" ref="L440:L441" si="52">J440+L439</f>
        <v>123034</v>
      </c>
      <c r="M440" s="71">
        <f t="shared" ref="M440:M441" si="53">K440+M439</f>
        <v>130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1">
        <v>284</v>
      </c>
      <c r="G441" s="28">
        <v>298</v>
      </c>
      <c r="H441" s="71">
        <v>582</v>
      </c>
      <c r="I441" s="4">
        <v>127926</v>
      </c>
      <c r="J441" s="71">
        <v>568</v>
      </c>
      <c r="K441" s="71">
        <v>1</v>
      </c>
      <c r="L441" s="71">
        <f t="shared" si="52"/>
        <v>123602</v>
      </c>
      <c r="M441" s="71">
        <f t="shared" si="53"/>
        <v>131</v>
      </c>
    </row>
    <row r="442" spans="1:13">
      <c r="A442" s="27">
        <v>46063</v>
      </c>
      <c r="B442" s="73" t="s">
        <v>33</v>
      </c>
      <c r="C442" s="73"/>
      <c r="D442" s="73"/>
      <c r="E442" s="74"/>
      <c r="F442" s="71">
        <v>0</v>
      </c>
      <c r="G442" s="71">
        <v>8</v>
      </c>
      <c r="H442" s="71">
        <v>8</v>
      </c>
      <c r="I442" s="4">
        <v>127934</v>
      </c>
      <c r="J442" s="71">
        <v>0</v>
      </c>
      <c r="K442" s="71">
        <v>0</v>
      </c>
      <c r="L442" s="71">
        <f t="shared" ref="L442:L457" si="54">J442+L441</f>
        <v>123602</v>
      </c>
      <c r="M442" s="71">
        <f t="shared" ref="M442:M457" si="55">K442+M441</f>
        <v>131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1">
        <v>60</v>
      </c>
      <c r="G443" s="28">
        <v>113</v>
      </c>
      <c r="H443" s="71">
        <v>173</v>
      </c>
      <c r="I443" s="4">
        <v>128107</v>
      </c>
      <c r="J443" s="71">
        <v>320</v>
      </c>
      <c r="K443" s="71">
        <v>1</v>
      </c>
      <c r="L443" s="71">
        <f t="shared" si="54"/>
        <v>123922</v>
      </c>
      <c r="M443" s="71">
        <f t="shared" si="55"/>
        <v>132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1">
        <v>158</v>
      </c>
      <c r="G444" s="28">
        <v>166</v>
      </c>
      <c r="H444" s="71">
        <v>324</v>
      </c>
      <c r="I444" s="4">
        <v>128431</v>
      </c>
      <c r="J444" s="71">
        <v>316</v>
      </c>
      <c r="K444" s="71">
        <v>1</v>
      </c>
      <c r="L444" s="71">
        <f t="shared" si="54"/>
        <v>124238</v>
      </c>
      <c r="M444" s="71">
        <f t="shared" si="55"/>
        <v>133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1">
        <v>124</v>
      </c>
      <c r="G445" s="28">
        <v>130</v>
      </c>
      <c r="H445" s="71">
        <v>254</v>
      </c>
      <c r="I445" s="4">
        <v>128685</v>
      </c>
      <c r="J445" s="71">
        <v>248</v>
      </c>
      <c r="K445" s="71">
        <v>1</v>
      </c>
      <c r="L445" s="71">
        <f t="shared" si="54"/>
        <v>124486</v>
      </c>
      <c r="M445" s="71">
        <f t="shared" si="55"/>
        <v>134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1">
        <v>124</v>
      </c>
      <c r="G446" s="28">
        <v>130</v>
      </c>
      <c r="H446" s="71">
        <v>254</v>
      </c>
      <c r="I446" s="4">
        <v>128939</v>
      </c>
      <c r="J446" s="71">
        <v>248</v>
      </c>
      <c r="K446" s="71">
        <v>1</v>
      </c>
      <c r="L446" s="71">
        <f t="shared" si="54"/>
        <v>124734</v>
      </c>
      <c r="M446" s="71">
        <f t="shared" si="55"/>
        <v>135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1">
        <v>403</v>
      </c>
      <c r="G447" s="28">
        <v>473</v>
      </c>
      <c r="H447" s="71">
        <v>876</v>
      </c>
      <c r="I447" s="4">
        <v>129815</v>
      </c>
      <c r="J447" s="4">
        <v>1006</v>
      </c>
      <c r="K447" s="71">
        <v>1</v>
      </c>
      <c r="L447" s="71">
        <f t="shared" si="54"/>
        <v>125740</v>
      </c>
      <c r="M447" s="71">
        <f t="shared" si="55"/>
        <v>136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1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1">
        <v>1</v>
      </c>
      <c r="L448" s="71">
        <f t="shared" si="54"/>
        <v>126964</v>
      </c>
      <c r="M448" s="71">
        <f t="shared" si="55"/>
        <v>137</v>
      </c>
    </row>
    <row r="449" spans="1:13">
      <c r="A449" s="27">
        <v>46064</v>
      </c>
      <c r="B449" s="73" t="s">
        <v>33</v>
      </c>
      <c r="C449" s="73"/>
      <c r="D449" s="73"/>
      <c r="E449" s="74"/>
      <c r="F449" s="71">
        <v>0</v>
      </c>
      <c r="G449" s="71">
        <v>17</v>
      </c>
      <c r="H449" s="71">
        <v>17</v>
      </c>
      <c r="I449" s="4">
        <v>131087</v>
      </c>
      <c r="J449" s="71">
        <v>0</v>
      </c>
      <c r="K449" s="71">
        <v>0</v>
      </c>
      <c r="L449" s="71">
        <f t="shared" si="54"/>
        <v>126964</v>
      </c>
      <c r="M449" s="71">
        <f t="shared" si="55"/>
        <v>137</v>
      </c>
    </row>
    <row r="450" spans="1:13">
      <c r="A450" s="27">
        <v>46065</v>
      </c>
      <c r="B450" s="73" t="s">
        <v>49</v>
      </c>
      <c r="C450" s="73"/>
      <c r="D450" s="73"/>
      <c r="E450" s="74"/>
      <c r="F450" s="71">
        <v>0</v>
      </c>
      <c r="G450" s="71">
        <v>4</v>
      </c>
      <c r="H450" s="71">
        <v>4</v>
      </c>
      <c r="I450" s="4">
        <v>131091</v>
      </c>
      <c r="J450" s="71">
        <v>0</v>
      </c>
      <c r="K450" s="71">
        <v>0</v>
      </c>
      <c r="L450" s="71">
        <f t="shared" si="54"/>
        <v>126964</v>
      </c>
      <c r="M450" s="71">
        <f t="shared" si="55"/>
        <v>137</v>
      </c>
    </row>
    <row r="451" spans="1:13">
      <c r="A451" s="27">
        <v>46065</v>
      </c>
      <c r="B451" s="73" t="s">
        <v>33</v>
      </c>
      <c r="C451" s="73"/>
      <c r="D451" s="73"/>
      <c r="E451" s="74"/>
      <c r="F451" s="71">
        <v>0</v>
      </c>
      <c r="G451" s="71">
        <v>10</v>
      </c>
      <c r="H451" s="71">
        <v>10</v>
      </c>
      <c r="I451" s="4">
        <v>131101</v>
      </c>
      <c r="J451" s="71">
        <v>0</v>
      </c>
      <c r="K451" s="71">
        <v>0</v>
      </c>
      <c r="L451" s="71">
        <f t="shared" si="54"/>
        <v>126964</v>
      </c>
      <c r="M451" s="71">
        <f t="shared" si="55"/>
        <v>137</v>
      </c>
    </row>
    <row r="452" spans="1:13">
      <c r="A452" s="27">
        <v>46066</v>
      </c>
      <c r="B452" s="73" t="s">
        <v>33</v>
      </c>
      <c r="C452" s="73"/>
      <c r="D452" s="73"/>
      <c r="E452" s="74"/>
      <c r="F452" s="71">
        <v>0</v>
      </c>
      <c r="G452" s="71">
        <v>10</v>
      </c>
      <c r="H452" s="71">
        <v>10</v>
      </c>
      <c r="I452" s="4">
        <v>131111</v>
      </c>
      <c r="J452" s="71">
        <v>0</v>
      </c>
      <c r="K452" s="71">
        <v>0</v>
      </c>
      <c r="L452" s="71">
        <f t="shared" si="54"/>
        <v>126964</v>
      </c>
      <c r="M452" s="71">
        <f t="shared" si="55"/>
        <v>137</v>
      </c>
    </row>
    <row r="453" spans="1:13">
      <c r="A453" s="27">
        <v>46067</v>
      </c>
      <c r="B453" s="73" t="s">
        <v>33</v>
      </c>
      <c r="C453" s="73"/>
      <c r="D453" s="73"/>
      <c r="E453" s="74"/>
      <c r="F453" s="71">
        <v>0</v>
      </c>
      <c r="G453" s="71">
        <v>9</v>
      </c>
      <c r="H453" s="71">
        <v>9</v>
      </c>
      <c r="I453" s="4">
        <v>131120</v>
      </c>
      <c r="J453" s="71">
        <v>0</v>
      </c>
      <c r="K453" s="71">
        <v>0</v>
      </c>
      <c r="L453" s="71">
        <f t="shared" si="54"/>
        <v>126964</v>
      </c>
      <c r="M453" s="71">
        <f t="shared" si="55"/>
        <v>137</v>
      </c>
    </row>
    <row r="454" spans="1:13">
      <c r="A454" s="27">
        <v>46068</v>
      </c>
      <c r="B454" s="73" t="s">
        <v>33</v>
      </c>
      <c r="C454" s="73"/>
      <c r="D454" s="73"/>
      <c r="E454" s="74"/>
      <c r="F454" s="71">
        <v>0</v>
      </c>
      <c r="G454" s="71">
        <v>18</v>
      </c>
      <c r="H454" s="71">
        <v>18</v>
      </c>
      <c r="I454" s="4">
        <v>131138</v>
      </c>
      <c r="J454" s="71">
        <v>0</v>
      </c>
      <c r="K454" s="71">
        <v>0</v>
      </c>
      <c r="L454" s="71">
        <f t="shared" si="54"/>
        <v>126964</v>
      </c>
      <c r="M454" s="71">
        <f t="shared" si="55"/>
        <v>137</v>
      </c>
    </row>
    <row r="455" spans="1:13">
      <c r="A455" s="27">
        <v>46069</v>
      </c>
      <c r="B455" s="73" t="s">
        <v>49</v>
      </c>
      <c r="C455" s="73"/>
      <c r="D455" s="73"/>
      <c r="E455" s="74"/>
      <c r="F455" s="71">
        <v>0</v>
      </c>
      <c r="G455" s="71">
        <v>3</v>
      </c>
      <c r="H455" s="71">
        <v>3</v>
      </c>
      <c r="I455" s="4">
        <v>131141</v>
      </c>
      <c r="J455" s="71">
        <v>0</v>
      </c>
      <c r="K455" s="71">
        <v>0</v>
      </c>
      <c r="L455" s="71">
        <f t="shared" si="54"/>
        <v>126964</v>
      </c>
      <c r="M455" s="71">
        <f t="shared" si="55"/>
        <v>137</v>
      </c>
    </row>
    <row r="456" spans="1:13">
      <c r="A456" s="27">
        <v>46069</v>
      </c>
      <c r="B456" s="73" t="s">
        <v>33</v>
      </c>
      <c r="C456" s="73"/>
      <c r="D456" s="73"/>
      <c r="E456" s="74"/>
      <c r="F456" s="71">
        <v>0</v>
      </c>
      <c r="G456" s="71">
        <v>18</v>
      </c>
      <c r="H456" s="71">
        <v>18</v>
      </c>
      <c r="I456" s="4">
        <v>131159</v>
      </c>
      <c r="J456" s="71">
        <v>0</v>
      </c>
      <c r="K456" s="71">
        <v>0</v>
      </c>
      <c r="L456" s="71">
        <f t="shared" si="54"/>
        <v>126964</v>
      </c>
      <c r="M456" s="71">
        <f t="shared" si="55"/>
        <v>137</v>
      </c>
    </row>
    <row r="457" spans="1:13">
      <c r="A457" s="27">
        <v>46070</v>
      </c>
      <c r="B457" s="73" t="s">
        <v>33</v>
      </c>
      <c r="C457" s="73"/>
      <c r="D457" s="73"/>
      <c r="E457" s="74"/>
      <c r="F457" s="71">
        <v>0</v>
      </c>
      <c r="G457" s="71">
        <v>7</v>
      </c>
      <c r="H457" s="71">
        <v>7</v>
      </c>
      <c r="I457" s="4">
        <v>131166</v>
      </c>
      <c r="J457" s="71">
        <v>0</v>
      </c>
      <c r="K457" s="71">
        <v>0</v>
      </c>
      <c r="L457" s="71">
        <f t="shared" si="54"/>
        <v>126964</v>
      </c>
      <c r="M457" s="71">
        <f t="shared" si="55"/>
        <v>137</v>
      </c>
    </row>
    <row r="458" spans="1:13">
      <c r="A458" s="27">
        <v>46071</v>
      </c>
      <c r="B458" s="73" t="s">
        <v>33</v>
      </c>
      <c r="C458" s="73"/>
      <c r="D458" s="73"/>
      <c r="E458" s="74"/>
      <c r="F458" s="71">
        <v>0</v>
      </c>
      <c r="G458" s="71">
        <v>11</v>
      </c>
      <c r="H458" s="71">
        <v>11</v>
      </c>
      <c r="I458" s="4">
        <v>131177</v>
      </c>
      <c r="J458" s="71">
        <v>0</v>
      </c>
      <c r="K458" s="71">
        <v>0</v>
      </c>
      <c r="L458" s="71">
        <f t="shared" ref="L458:N471" si="56">J458+L457</f>
        <v>126964</v>
      </c>
      <c r="M458" s="71">
        <f t="shared" ref="M458:M471" si="57">K458+M457</f>
        <v>137</v>
      </c>
    </row>
    <row r="459" spans="1:13">
      <c r="A459" s="27">
        <v>46072</v>
      </c>
      <c r="B459" s="73" t="s">
        <v>33</v>
      </c>
      <c r="C459" s="73"/>
      <c r="D459" s="73"/>
      <c r="E459" s="74"/>
      <c r="F459" s="71">
        <v>0</v>
      </c>
      <c r="G459" s="71">
        <v>17</v>
      </c>
      <c r="H459" s="71">
        <v>17</v>
      </c>
      <c r="I459" s="4">
        <v>131194</v>
      </c>
      <c r="J459" s="71">
        <v>0</v>
      </c>
      <c r="K459" s="71">
        <v>0</v>
      </c>
      <c r="L459" s="71">
        <f t="shared" si="56"/>
        <v>126964</v>
      </c>
      <c r="M459" s="71">
        <f t="shared" si="57"/>
        <v>137</v>
      </c>
    </row>
    <row r="460" spans="1:13">
      <c r="A460" s="27">
        <v>46073</v>
      </c>
      <c r="B460" s="73" t="s">
        <v>49</v>
      </c>
      <c r="C460" s="73"/>
      <c r="D460" s="73"/>
      <c r="E460" s="74"/>
      <c r="F460" s="71">
        <v>0</v>
      </c>
      <c r="G460" s="71">
        <v>4</v>
      </c>
      <c r="H460" s="71">
        <v>4</v>
      </c>
      <c r="I460" s="4">
        <v>131198</v>
      </c>
      <c r="J460" s="71">
        <v>0</v>
      </c>
      <c r="K460" s="71">
        <v>0</v>
      </c>
      <c r="L460" s="71">
        <f t="shared" si="56"/>
        <v>126964</v>
      </c>
      <c r="M460" s="71">
        <f t="shared" si="57"/>
        <v>137</v>
      </c>
    </row>
    <row r="461" spans="1:13">
      <c r="A461" s="27">
        <v>46073</v>
      </c>
      <c r="B461" s="73" t="s">
        <v>33</v>
      </c>
      <c r="C461" s="73"/>
      <c r="D461" s="73"/>
      <c r="E461" s="74"/>
      <c r="F461" s="71">
        <v>0</v>
      </c>
      <c r="G461" s="71">
        <v>25</v>
      </c>
      <c r="H461" s="71">
        <v>25</v>
      </c>
      <c r="I461" s="4">
        <v>131223</v>
      </c>
      <c r="J461" s="71">
        <v>0</v>
      </c>
      <c r="K461" s="71">
        <v>0</v>
      </c>
      <c r="L461" s="71">
        <f t="shared" si="56"/>
        <v>126964</v>
      </c>
      <c r="M461" s="71">
        <f t="shared" si="57"/>
        <v>137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1">
        <v>98</v>
      </c>
      <c r="G462" s="28">
        <v>153</v>
      </c>
      <c r="H462" s="71">
        <v>251</v>
      </c>
      <c r="I462" s="4">
        <v>131474</v>
      </c>
      <c r="J462" s="71">
        <v>396</v>
      </c>
      <c r="K462" s="71">
        <v>1</v>
      </c>
      <c r="L462" s="71">
        <f t="shared" si="56"/>
        <v>127360</v>
      </c>
      <c r="M462" s="71">
        <f t="shared" si="57"/>
        <v>138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1">
        <v>98</v>
      </c>
      <c r="G463" s="28">
        <v>153</v>
      </c>
      <c r="H463" s="71">
        <v>251</v>
      </c>
      <c r="I463" s="4">
        <v>131725</v>
      </c>
      <c r="J463" s="71">
        <v>396</v>
      </c>
      <c r="K463" s="71">
        <v>1</v>
      </c>
      <c r="L463" s="71">
        <f t="shared" si="56"/>
        <v>127756</v>
      </c>
      <c r="M463" s="71">
        <f t="shared" si="57"/>
        <v>139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1">
        <v>425</v>
      </c>
      <c r="G464" s="28">
        <v>496</v>
      </c>
      <c r="H464" s="71">
        <v>921</v>
      </c>
      <c r="I464" s="4">
        <v>132646</v>
      </c>
      <c r="J464" s="4">
        <v>1050</v>
      </c>
      <c r="K464" s="71">
        <v>1</v>
      </c>
      <c r="L464" s="71">
        <f t="shared" si="56"/>
        <v>128806</v>
      </c>
      <c r="M464" s="71">
        <f t="shared" si="57"/>
        <v>140</v>
      </c>
    </row>
    <row r="465" spans="1:13">
      <c r="A465" s="27">
        <v>46074</v>
      </c>
      <c r="B465" s="73" t="s">
        <v>199</v>
      </c>
      <c r="C465" s="73"/>
      <c r="D465" s="73"/>
      <c r="E465" s="74"/>
      <c r="F465" s="71">
        <v>0</v>
      </c>
      <c r="G465" s="4">
        <v>3326</v>
      </c>
      <c r="H465" s="4">
        <v>3326</v>
      </c>
      <c r="I465" s="4">
        <v>135972</v>
      </c>
      <c r="J465" s="71">
        <v>0</v>
      </c>
      <c r="K465" s="71">
        <v>0</v>
      </c>
      <c r="L465" s="71">
        <f t="shared" si="56"/>
        <v>128806</v>
      </c>
      <c r="M465" s="71">
        <f t="shared" si="57"/>
        <v>140</v>
      </c>
    </row>
    <row r="466" spans="1:13">
      <c r="A466" s="27">
        <v>46074</v>
      </c>
      <c r="B466" s="73" t="s">
        <v>200</v>
      </c>
      <c r="C466" s="73"/>
      <c r="D466" s="73"/>
      <c r="E466" s="74"/>
      <c r="F466" s="71">
        <v>0</v>
      </c>
      <c r="G466" s="4">
        <v>3326</v>
      </c>
      <c r="H466" s="4">
        <v>3326</v>
      </c>
      <c r="I466" s="4">
        <v>139298</v>
      </c>
      <c r="J466" s="71">
        <v>0</v>
      </c>
      <c r="K466" s="71">
        <v>0</v>
      </c>
      <c r="L466" s="71">
        <f t="shared" si="56"/>
        <v>128806</v>
      </c>
      <c r="M466" s="71">
        <f t="shared" si="57"/>
        <v>140</v>
      </c>
    </row>
    <row r="467" spans="1:13">
      <c r="A467" s="27">
        <v>46074</v>
      </c>
      <c r="B467" s="73" t="s">
        <v>201</v>
      </c>
      <c r="C467" s="73"/>
      <c r="D467" s="73"/>
      <c r="E467" s="74"/>
      <c r="F467" s="71">
        <v>0</v>
      </c>
      <c r="G467" s="4">
        <v>8012</v>
      </c>
      <c r="H467" s="4">
        <v>8012</v>
      </c>
      <c r="I467" s="4">
        <v>147310</v>
      </c>
      <c r="J467" s="71">
        <v>0</v>
      </c>
      <c r="K467" s="71">
        <v>0</v>
      </c>
      <c r="L467" s="71">
        <f t="shared" si="56"/>
        <v>128806</v>
      </c>
      <c r="M467" s="71">
        <f t="shared" si="57"/>
        <v>140</v>
      </c>
    </row>
    <row r="468" spans="1:13">
      <c r="A468" s="27">
        <v>46074</v>
      </c>
      <c r="B468" s="73" t="s">
        <v>33</v>
      </c>
      <c r="C468" s="73"/>
      <c r="D468" s="73"/>
      <c r="E468" s="74"/>
      <c r="F468" s="71">
        <v>0</v>
      </c>
      <c r="G468" s="71">
        <v>8</v>
      </c>
      <c r="H468" s="71">
        <v>8</v>
      </c>
      <c r="I468" s="4">
        <v>147318</v>
      </c>
      <c r="J468" s="71">
        <v>0</v>
      </c>
      <c r="K468" s="71">
        <v>0</v>
      </c>
      <c r="L468" s="71">
        <f t="shared" si="56"/>
        <v>128806</v>
      </c>
      <c r="M468" s="71">
        <f t="shared" si="57"/>
        <v>140</v>
      </c>
    </row>
    <row r="469" spans="1:13">
      <c r="A469" s="27">
        <v>46074</v>
      </c>
      <c r="B469" s="73" t="s">
        <v>202</v>
      </c>
      <c r="C469" s="73"/>
      <c r="D469" s="73"/>
      <c r="E469" s="74"/>
      <c r="F469" s="4">
        <v>-70000</v>
      </c>
      <c r="G469" s="71">
        <v>0</v>
      </c>
      <c r="H469" s="4">
        <v>-70000</v>
      </c>
      <c r="I469" s="4">
        <v>77318</v>
      </c>
      <c r="J469" s="71">
        <v>0</v>
      </c>
      <c r="K469" s="71">
        <v>0</v>
      </c>
      <c r="L469" s="71">
        <f t="shared" si="56"/>
        <v>128806</v>
      </c>
      <c r="M469" s="71">
        <f t="shared" si="57"/>
        <v>140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1">
        <v>20</v>
      </c>
      <c r="G470" s="28">
        <v>21</v>
      </c>
      <c r="H470" s="71">
        <v>41</v>
      </c>
      <c r="I470" s="4">
        <v>77359</v>
      </c>
      <c r="J470" s="71">
        <v>40</v>
      </c>
      <c r="K470" s="71">
        <v>1</v>
      </c>
      <c r="L470" s="71">
        <f t="shared" si="56"/>
        <v>128846</v>
      </c>
      <c r="M470" s="71">
        <f t="shared" si="57"/>
        <v>141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1">
        <v>29</v>
      </c>
      <c r="G471" s="28">
        <v>80</v>
      </c>
      <c r="H471" s="71">
        <v>109</v>
      </c>
      <c r="I471" s="4">
        <v>77468</v>
      </c>
      <c r="J471" s="71">
        <v>258</v>
      </c>
      <c r="K471" s="71">
        <v>1</v>
      </c>
      <c r="L471" s="71">
        <f t="shared" si="56"/>
        <v>129104</v>
      </c>
      <c r="M471" s="71">
        <f t="shared" si="57"/>
        <v>142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1">
        <v>72</v>
      </c>
      <c r="G472" s="28">
        <v>126</v>
      </c>
      <c r="H472" s="71">
        <v>198</v>
      </c>
      <c r="I472" s="4">
        <v>77666</v>
      </c>
      <c r="J472" s="71">
        <v>544</v>
      </c>
      <c r="K472" s="71">
        <v>1</v>
      </c>
      <c r="L472" s="71">
        <f t="shared" ref="L472:L474" si="58">J472+L471</f>
        <v>129648</v>
      </c>
      <c r="M472" s="71">
        <f t="shared" ref="M472:M474" si="59">K472+M471</f>
        <v>143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1">
        <v>124</v>
      </c>
      <c r="G473" s="28">
        <v>130</v>
      </c>
      <c r="H473" s="71">
        <v>254</v>
      </c>
      <c r="I473" s="4">
        <v>77920</v>
      </c>
      <c r="J473" s="71">
        <v>248</v>
      </c>
      <c r="K473" s="71">
        <v>1</v>
      </c>
      <c r="L473" s="71">
        <f t="shared" si="58"/>
        <v>129896</v>
      </c>
      <c r="M473" s="71">
        <f t="shared" si="59"/>
        <v>144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1">
        <v>124</v>
      </c>
      <c r="G474" s="28">
        <v>130</v>
      </c>
      <c r="H474" s="71">
        <v>254</v>
      </c>
      <c r="I474" s="4">
        <v>78174</v>
      </c>
      <c r="J474" s="71">
        <v>248</v>
      </c>
      <c r="K474" s="71">
        <v>1</v>
      </c>
      <c r="L474" s="71">
        <f t="shared" si="58"/>
        <v>130144</v>
      </c>
      <c r="M474" s="71">
        <f t="shared" si="59"/>
        <v>145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1">
        <v>89</v>
      </c>
      <c r="G475" s="28">
        <v>93</v>
      </c>
      <c r="H475" s="71">
        <v>182</v>
      </c>
      <c r="I475" s="4">
        <v>78356</v>
      </c>
      <c r="J475" s="71">
        <v>178</v>
      </c>
      <c r="K475" s="71">
        <v>1</v>
      </c>
      <c r="L475" s="71">
        <f t="shared" ref="L475:L496" si="60">J475+L474</f>
        <v>130322</v>
      </c>
      <c r="M475" s="71">
        <f t="shared" ref="M475:M496" si="61">K475+M474</f>
        <v>146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1">
        <v>403</v>
      </c>
      <c r="G476" s="28">
        <v>473</v>
      </c>
      <c r="H476" s="71">
        <v>876</v>
      </c>
      <c r="I476" s="4">
        <v>79232</v>
      </c>
      <c r="J476" s="4">
        <v>1006</v>
      </c>
      <c r="K476" s="71">
        <v>1</v>
      </c>
      <c r="L476" s="71">
        <f t="shared" si="60"/>
        <v>131328</v>
      </c>
      <c r="M476" s="71">
        <f t="shared" si="61"/>
        <v>147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1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1">
        <v>1</v>
      </c>
      <c r="L477" s="71">
        <f t="shared" si="60"/>
        <v>132552</v>
      </c>
      <c r="M477" s="71">
        <f t="shared" si="61"/>
        <v>148</v>
      </c>
    </row>
    <row r="478" spans="1:13">
      <c r="A478" s="27">
        <v>46075</v>
      </c>
      <c r="B478" s="73" t="s">
        <v>129</v>
      </c>
      <c r="C478" s="73"/>
      <c r="D478" s="73"/>
      <c r="E478" s="74"/>
      <c r="F478" s="71">
        <v>0</v>
      </c>
      <c r="G478" s="71">
        <v>34</v>
      </c>
      <c r="H478" s="71">
        <v>34</v>
      </c>
      <c r="I478" s="4">
        <v>80521</v>
      </c>
      <c r="J478" s="71">
        <v>0</v>
      </c>
      <c r="K478" s="71">
        <v>0</v>
      </c>
      <c r="L478" s="71">
        <f t="shared" si="60"/>
        <v>132552</v>
      </c>
      <c r="M478" s="71">
        <f t="shared" si="61"/>
        <v>148</v>
      </c>
    </row>
    <row r="479" spans="1:13">
      <c r="A479" s="27">
        <v>46075</v>
      </c>
      <c r="B479" s="73" t="s">
        <v>33</v>
      </c>
      <c r="C479" s="73"/>
      <c r="D479" s="73"/>
      <c r="E479" s="74"/>
      <c r="F479" s="71">
        <v>0</v>
      </c>
      <c r="G479" s="71">
        <v>30</v>
      </c>
      <c r="H479" s="71">
        <v>30</v>
      </c>
      <c r="I479" s="4">
        <v>80551</v>
      </c>
      <c r="J479" s="71">
        <v>0</v>
      </c>
      <c r="K479" s="71">
        <v>0</v>
      </c>
      <c r="L479" s="71">
        <f t="shared" si="60"/>
        <v>132552</v>
      </c>
      <c r="M479" s="71">
        <f t="shared" si="61"/>
        <v>148</v>
      </c>
    </row>
    <row r="480" spans="1:13">
      <c r="A480" s="27">
        <v>46076</v>
      </c>
      <c r="B480" s="73" t="s">
        <v>33</v>
      </c>
      <c r="C480" s="73"/>
      <c r="D480" s="73"/>
      <c r="E480" s="74"/>
      <c r="F480" s="71">
        <v>0</v>
      </c>
      <c r="G480" s="71">
        <v>24</v>
      </c>
      <c r="H480" s="71">
        <v>24</v>
      </c>
      <c r="I480" s="4">
        <v>80575</v>
      </c>
      <c r="J480" s="71">
        <v>0</v>
      </c>
      <c r="K480" s="71">
        <v>0</v>
      </c>
      <c r="L480" s="71">
        <f t="shared" si="60"/>
        <v>132552</v>
      </c>
      <c r="M480" s="71">
        <f t="shared" si="61"/>
        <v>148</v>
      </c>
    </row>
    <row r="481" spans="1:13">
      <c r="A481" s="27">
        <v>46077</v>
      </c>
      <c r="B481" s="73" t="s">
        <v>33</v>
      </c>
      <c r="C481" s="73"/>
      <c r="D481" s="73"/>
      <c r="E481" s="74"/>
      <c r="F481" s="71">
        <v>0</v>
      </c>
      <c r="G481" s="71">
        <v>10</v>
      </c>
      <c r="H481" s="71">
        <v>10</v>
      </c>
      <c r="I481" s="4">
        <v>80585</v>
      </c>
      <c r="J481" s="71">
        <v>0</v>
      </c>
      <c r="K481" s="71">
        <v>0</v>
      </c>
      <c r="L481" s="71">
        <f t="shared" si="60"/>
        <v>132552</v>
      </c>
      <c r="M481" s="71">
        <f t="shared" si="61"/>
        <v>148</v>
      </c>
    </row>
    <row r="482" spans="1:13">
      <c r="A482" s="27">
        <v>46078</v>
      </c>
      <c r="B482" s="1" t="s">
        <v>207</v>
      </c>
      <c r="C482" s="1" t="s">
        <v>138</v>
      </c>
      <c r="D482" s="1" t="s">
        <v>42</v>
      </c>
      <c r="E482" s="1" t="s">
        <v>50</v>
      </c>
      <c r="F482" s="71">
        <v>89</v>
      </c>
      <c r="G482" s="28">
        <v>93</v>
      </c>
      <c r="H482" s="71">
        <v>182</v>
      </c>
      <c r="I482" s="4">
        <v>80767</v>
      </c>
      <c r="J482" s="71">
        <v>178</v>
      </c>
      <c r="K482" s="71">
        <v>1</v>
      </c>
      <c r="L482" s="71">
        <f t="shared" si="60"/>
        <v>132730</v>
      </c>
      <c r="M482" s="71">
        <f t="shared" si="61"/>
        <v>149</v>
      </c>
    </row>
    <row r="483" spans="1:13">
      <c r="A483" s="27">
        <v>46078</v>
      </c>
      <c r="B483" s="1" t="s">
        <v>98</v>
      </c>
      <c r="C483" s="1" t="s">
        <v>93</v>
      </c>
      <c r="D483" s="1" t="s">
        <v>42</v>
      </c>
      <c r="E483" s="1" t="s">
        <v>50</v>
      </c>
      <c r="F483" s="71">
        <v>89</v>
      </c>
      <c r="G483" s="28">
        <v>93</v>
      </c>
      <c r="H483" s="71">
        <v>182</v>
      </c>
      <c r="I483" s="4">
        <v>80949</v>
      </c>
      <c r="J483" s="71">
        <v>178</v>
      </c>
      <c r="K483" s="71">
        <v>1</v>
      </c>
      <c r="L483" s="71">
        <f t="shared" si="60"/>
        <v>132908</v>
      </c>
      <c r="M483" s="71">
        <f t="shared" si="61"/>
        <v>150</v>
      </c>
    </row>
    <row r="484" spans="1:13">
      <c r="A484" s="27">
        <v>46078</v>
      </c>
      <c r="B484" s="1" t="s">
        <v>208</v>
      </c>
      <c r="C484" s="1" t="s">
        <v>69</v>
      </c>
      <c r="D484" s="1" t="s">
        <v>42</v>
      </c>
      <c r="E484" s="1" t="s">
        <v>50</v>
      </c>
      <c r="F484" s="71">
        <v>269</v>
      </c>
      <c r="G484" s="28">
        <v>282</v>
      </c>
      <c r="H484" s="71">
        <v>551</v>
      </c>
      <c r="I484" s="4">
        <v>81500</v>
      </c>
      <c r="J484" s="71">
        <v>538</v>
      </c>
      <c r="K484" s="71">
        <v>1</v>
      </c>
      <c r="L484" s="71">
        <f t="shared" si="60"/>
        <v>133446</v>
      </c>
      <c r="M484" s="71">
        <f t="shared" si="61"/>
        <v>151</v>
      </c>
    </row>
    <row r="485" spans="1:13">
      <c r="A485" s="27">
        <v>46078</v>
      </c>
      <c r="B485" s="1" t="s">
        <v>174</v>
      </c>
      <c r="C485" s="1" t="s">
        <v>175</v>
      </c>
      <c r="D485" s="1" t="s">
        <v>42</v>
      </c>
      <c r="E485" s="1" t="s">
        <v>50</v>
      </c>
      <c r="F485" s="71">
        <v>94</v>
      </c>
      <c r="G485" s="28">
        <v>99</v>
      </c>
      <c r="H485" s="71">
        <v>193</v>
      </c>
      <c r="I485" s="4">
        <v>81693</v>
      </c>
      <c r="J485" s="71">
        <v>188</v>
      </c>
      <c r="K485" s="71">
        <v>1</v>
      </c>
      <c r="L485" s="71">
        <f t="shared" si="60"/>
        <v>133634</v>
      </c>
      <c r="M485" s="71">
        <f t="shared" si="61"/>
        <v>152</v>
      </c>
    </row>
    <row r="486" spans="1:13">
      <c r="A486" s="27">
        <v>46078</v>
      </c>
      <c r="B486" s="1" t="s">
        <v>176</v>
      </c>
      <c r="C486" s="1" t="s">
        <v>177</v>
      </c>
      <c r="D486" s="1" t="s">
        <v>42</v>
      </c>
      <c r="E486" s="1" t="s">
        <v>50</v>
      </c>
      <c r="F486" s="71">
        <v>94</v>
      </c>
      <c r="G486" s="28">
        <v>99</v>
      </c>
      <c r="H486" s="71">
        <v>193</v>
      </c>
      <c r="I486" s="4">
        <v>81886</v>
      </c>
      <c r="J486" s="71">
        <v>188</v>
      </c>
      <c r="K486" s="71">
        <v>1</v>
      </c>
      <c r="L486" s="71">
        <f t="shared" si="60"/>
        <v>133822</v>
      </c>
      <c r="M486" s="71">
        <f t="shared" si="61"/>
        <v>153</v>
      </c>
    </row>
    <row r="487" spans="1:13">
      <c r="A487" s="27">
        <v>46078</v>
      </c>
      <c r="B487" s="1" t="s">
        <v>99</v>
      </c>
      <c r="C487" s="1" t="s">
        <v>100</v>
      </c>
      <c r="D487" s="1" t="s">
        <v>42</v>
      </c>
      <c r="E487" s="1" t="s">
        <v>50</v>
      </c>
      <c r="F487" s="71">
        <v>492</v>
      </c>
      <c r="G487" s="28">
        <v>517</v>
      </c>
      <c r="H487" s="4">
        <v>1009</v>
      </c>
      <c r="I487" s="4">
        <v>82895</v>
      </c>
      <c r="J487" s="71">
        <v>984</v>
      </c>
      <c r="K487" s="71">
        <v>1</v>
      </c>
      <c r="L487" s="71">
        <f t="shared" si="60"/>
        <v>134806</v>
      </c>
      <c r="M487" s="71">
        <f t="shared" si="61"/>
        <v>154</v>
      </c>
    </row>
    <row r="488" spans="1:13">
      <c r="A488" s="27">
        <v>46078</v>
      </c>
      <c r="B488" s="1" t="s">
        <v>178</v>
      </c>
      <c r="C488" s="1" t="s">
        <v>13</v>
      </c>
      <c r="D488" s="1" t="s">
        <v>42</v>
      </c>
      <c r="E488" s="1" t="s">
        <v>50</v>
      </c>
      <c r="F488" s="71">
        <v>284</v>
      </c>
      <c r="G488" s="28">
        <v>298</v>
      </c>
      <c r="H488" s="71">
        <v>582</v>
      </c>
      <c r="I488" s="4">
        <v>83477</v>
      </c>
      <c r="J488" s="71">
        <v>568</v>
      </c>
      <c r="K488" s="71">
        <v>1</v>
      </c>
      <c r="L488" s="71">
        <f t="shared" si="60"/>
        <v>135374</v>
      </c>
      <c r="M488" s="71">
        <f t="shared" si="61"/>
        <v>155</v>
      </c>
    </row>
    <row r="489" spans="1:13">
      <c r="A489" s="27">
        <v>46078</v>
      </c>
      <c r="B489" s="73" t="s">
        <v>33</v>
      </c>
      <c r="C489" s="73"/>
      <c r="D489" s="73"/>
      <c r="E489" s="74"/>
      <c r="F489" s="71">
        <v>0</v>
      </c>
      <c r="G489" s="71">
        <v>13</v>
      </c>
      <c r="H489" s="71">
        <v>13</v>
      </c>
      <c r="I489" s="4">
        <v>83490</v>
      </c>
      <c r="J489" s="71">
        <v>0</v>
      </c>
      <c r="K489" s="71">
        <v>0</v>
      </c>
      <c r="L489" s="71">
        <f t="shared" si="60"/>
        <v>135374</v>
      </c>
      <c r="M489" s="71">
        <f t="shared" si="61"/>
        <v>155</v>
      </c>
    </row>
    <row r="490" spans="1:13">
      <c r="A490" s="27">
        <v>46079</v>
      </c>
      <c r="B490" s="73" t="s">
        <v>33</v>
      </c>
      <c r="C490" s="73"/>
      <c r="D490" s="73"/>
      <c r="E490" s="74"/>
      <c r="F490" s="71">
        <v>0</v>
      </c>
      <c r="G490" s="71">
        <v>29</v>
      </c>
      <c r="H490" s="71">
        <v>29</v>
      </c>
      <c r="I490" s="4">
        <v>83519</v>
      </c>
      <c r="J490" s="71">
        <v>0</v>
      </c>
      <c r="K490" s="71">
        <v>0</v>
      </c>
      <c r="L490" s="71">
        <f t="shared" si="60"/>
        <v>135374</v>
      </c>
      <c r="M490" s="71">
        <f t="shared" si="61"/>
        <v>155</v>
      </c>
    </row>
    <row r="491" spans="1:13">
      <c r="A491" s="27">
        <v>46080</v>
      </c>
      <c r="B491" s="73" t="s">
        <v>33</v>
      </c>
      <c r="C491" s="73"/>
      <c r="D491" s="73"/>
      <c r="E491" s="74"/>
      <c r="F491" s="71">
        <v>0</v>
      </c>
      <c r="G491" s="71">
        <v>9</v>
      </c>
      <c r="H491" s="71">
        <v>9</v>
      </c>
      <c r="I491" s="4">
        <v>83528</v>
      </c>
      <c r="J491" s="71">
        <v>0</v>
      </c>
      <c r="K491" s="71">
        <v>0</v>
      </c>
      <c r="L491" s="71">
        <f t="shared" si="60"/>
        <v>135374</v>
      </c>
      <c r="M491" s="71">
        <f t="shared" si="61"/>
        <v>155</v>
      </c>
    </row>
    <row r="492" spans="1:13">
      <c r="A492" s="27">
        <v>46080</v>
      </c>
      <c r="B492" s="73" t="s">
        <v>202</v>
      </c>
      <c r="C492" s="73"/>
      <c r="D492" s="73"/>
      <c r="E492" s="74"/>
      <c r="F492" s="4">
        <v>-18000</v>
      </c>
      <c r="G492" s="71">
        <v>0</v>
      </c>
      <c r="H492" s="4">
        <v>-18000</v>
      </c>
      <c r="I492" s="4">
        <v>65528</v>
      </c>
      <c r="J492" s="71">
        <v>0</v>
      </c>
      <c r="K492" s="71">
        <v>0</v>
      </c>
      <c r="L492" s="71">
        <f t="shared" si="60"/>
        <v>135374</v>
      </c>
      <c r="M492" s="71">
        <f t="shared" si="61"/>
        <v>155</v>
      </c>
    </row>
    <row r="493" spans="1:13">
      <c r="A493" s="27">
        <v>46080</v>
      </c>
      <c r="B493" s="73" t="s">
        <v>202</v>
      </c>
      <c r="C493" s="73"/>
      <c r="D493" s="73"/>
      <c r="E493" s="74"/>
      <c r="F493" s="4">
        <v>-18000</v>
      </c>
      <c r="G493" s="71">
        <v>0</v>
      </c>
      <c r="H493" s="4">
        <v>-18000</v>
      </c>
      <c r="I493" s="4">
        <v>47528</v>
      </c>
      <c r="J493" s="71">
        <v>0</v>
      </c>
      <c r="K493" s="71">
        <v>0</v>
      </c>
      <c r="L493" s="71">
        <f t="shared" si="60"/>
        <v>135374</v>
      </c>
      <c r="M493" s="71">
        <f t="shared" si="61"/>
        <v>155</v>
      </c>
    </row>
    <row r="494" spans="1:13">
      <c r="A494" s="27">
        <v>46080</v>
      </c>
      <c r="B494" s="73" t="s">
        <v>202</v>
      </c>
      <c r="C494" s="73"/>
      <c r="D494" s="73"/>
      <c r="E494" s="74"/>
      <c r="F494" s="4">
        <v>-18000</v>
      </c>
      <c r="G494" s="71">
        <v>0</v>
      </c>
      <c r="H494" s="4">
        <v>-18000</v>
      </c>
      <c r="I494" s="4">
        <v>29528</v>
      </c>
      <c r="J494" s="71">
        <v>0</v>
      </c>
      <c r="K494" s="71">
        <v>0</v>
      </c>
      <c r="L494" s="71">
        <f t="shared" si="60"/>
        <v>135374</v>
      </c>
      <c r="M494" s="71">
        <f t="shared" si="61"/>
        <v>155</v>
      </c>
    </row>
    <row r="495" spans="1:13">
      <c r="A495" s="27">
        <v>46081</v>
      </c>
      <c r="B495" s="73" t="s">
        <v>33</v>
      </c>
      <c r="C495" s="73"/>
      <c r="D495" s="73"/>
      <c r="E495" s="74"/>
      <c r="F495" s="71">
        <v>0</v>
      </c>
      <c r="G495" s="71">
        <v>8</v>
      </c>
      <c r="H495" s="71">
        <v>8</v>
      </c>
      <c r="I495" s="4">
        <v>29536</v>
      </c>
      <c r="J495" s="71">
        <v>0</v>
      </c>
      <c r="K495" s="71">
        <v>0</v>
      </c>
      <c r="L495" s="71">
        <f t="shared" si="60"/>
        <v>135374</v>
      </c>
      <c r="M495" s="71">
        <f t="shared" si="61"/>
        <v>155</v>
      </c>
    </row>
    <row r="496" spans="1:13">
      <c r="A496" s="29">
        <v>46082</v>
      </c>
      <c r="B496" s="75" t="s">
        <v>33</v>
      </c>
      <c r="C496" s="75"/>
      <c r="D496" s="75"/>
      <c r="E496" s="76"/>
      <c r="F496" s="72">
        <v>0</v>
      </c>
      <c r="G496" s="72">
        <v>39</v>
      </c>
      <c r="H496" s="72">
        <v>39</v>
      </c>
      <c r="I496" s="30">
        <v>29575</v>
      </c>
      <c r="J496" s="72">
        <v>0</v>
      </c>
      <c r="K496" s="72">
        <v>0</v>
      </c>
      <c r="L496" s="71">
        <f t="shared" si="60"/>
        <v>135374</v>
      </c>
      <c r="M496" s="71">
        <f t="shared" si="61"/>
        <v>155</v>
      </c>
    </row>
  </sheetData>
  <autoFilter ref="A1:O496" xr:uid="{2A57836D-5153-486D-8B76-48FAFDDE1EA1}">
    <filterColumn colId="0">
      <filters>
        <dateGroupItem year="2026" dateTimeGrouping="year"/>
      </filters>
    </filterColumn>
  </autoFilter>
  <mergeCells count="318">
    <mergeCell ref="B481:E481"/>
    <mergeCell ref="B489:E489"/>
    <mergeCell ref="B490:E490"/>
    <mergeCell ref="B491:E491"/>
    <mergeCell ref="B492:E492"/>
    <mergeCell ref="B493:E493"/>
    <mergeCell ref="B494:E494"/>
    <mergeCell ref="B495:E495"/>
    <mergeCell ref="B496:E496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480:E480"/>
    <mergeCell ref="B325:E325"/>
    <mergeCell ref="B329:E329"/>
    <mergeCell ref="B333:E333"/>
    <mergeCell ref="B342:E342"/>
    <mergeCell ref="B347:E347"/>
    <mergeCell ref="B361:E361"/>
    <mergeCell ref="B368:E368"/>
    <mergeCell ref="B369:E369"/>
    <mergeCell ref="B374:E374"/>
    <mergeCell ref="B375:E375"/>
    <mergeCell ref="B376:E376"/>
    <mergeCell ref="B377:E377"/>
    <mergeCell ref="B378:E378"/>
    <mergeCell ref="B379:E379"/>
    <mergeCell ref="B388:E388"/>
    <mergeCell ref="B395:E395"/>
    <mergeCell ref="B400:E400"/>
    <mergeCell ref="B402:E402"/>
    <mergeCell ref="B403:E403"/>
    <mergeCell ref="B404:E404"/>
    <mergeCell ref="B406:E406"/>
    <mergeCell ref="B409:E409"/>
    <mergeCell ref="B410:E410"/>
    <mergeCell ref="B458:E458"/>
    <mergeCell ref="B466:E466"/>
    <mergeCell ref="B467:E467"/>
    <mergeCell ref="B468:E468"/>
    <mergeCell ref="B469:E469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393:E393"/>
    <mergeCell ref="B396:E396"/>
    <mergeCell ref="B398:E398"/>
    <mergeCell ref="B399:E399"/>
    <mergeCell ref="B401:E401"/>
    <mergeCell ref="B408:E408"/>
    <mergeCell ref="B412:E412"/>
    <mergeCell ref="B419:E419"/>
    <mergeCell ref="B425:E425"/>
    <mergeCell ref="B386:E386"/>
    <mergeCell ref="B387:E387"/>
    <mergeCell ref="B389:E389"/>
    <mergeCell ref="B390:E390"/>
    <mergeCell ref="B392:E392"/>
    <mergeCell ref="B262:E262"/>
    <mergeCell ref="B264:E264"/>
    <mergeCell ref="B266:E266"/>
    <mergeCell ref="B276:E276"/>
    <mergeCell ref="B277:E277"/>
    <mergeCell ref="B278:E278"/>
    <mergeCell ref="B279:E279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14:E314"/>
    <mergeCell ref="B315:E315"/>
    <mergeCell ref="B316:E316"/>
    <mergeCell ref="B317:E317"/>
    <mergeCell ref="B318:E318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20:E320"/>
    <mergeCell ref="B321:E321"/>
    <mergeCell ref="B322:E322"/>
    <mergeCell ref="B323:E323"/>
    <mergeCell ref="B324:E324"/>
    <mergeCell ref="B327:E327"/>
    <mergeCell ref="B328:E328"/>
    <mergeCell ref="B450:E450"/>
    <mergeCell ref="B451:E451"/>
    <mergeCell ref="B452:E452"/>
    <mergeCell ref="B332:E332"/>
    <mergeCell ref="B356:E356"/>
    <mergeCell ref="B357:E357"/>
    <mergeCell ref="B358:E358"/>
    <mergeCell ref="B359:E359"/>
    <mergeCell ref="B367:E367"/>
    <mergeCell ref="B370:E370"/>
    <mergeCell ref="B360:E360"/>
    <mergeCell ref="B362:E362"/>
    <mergeCell ref="B364:E364"/>
    <mergeCell ref="B365:E365"/>
    <mergeCell ref="B371:E371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27A48EE-B38B-4D7F-9989-284F0D1C9286}"/>
    <hyperlink ref="G330" r:id="rId63" display="298" xr:uid="{3317809F-8507-4C4F-8C31-3EB03FB73BA2}"/>
    <hyperlink ref="G331" r:id="rId64" display="462" xr:uid="{C7096AC0-B2AA-485F-8725-8D4D038AEF32}"/>
    <hyperlink ref="G334" r:id="rId65" display="130" xr:uid="{CA9407C8-E7CA-4660-A17A-6FC7846D2AD3}"/>
    <hyperlink ref="G335" r:id="rId66" display="130" xr:uid="{0E464B51-472E-4E70-85DA-FFF244953565}"/>
    <hyperlink ref="G336" r:id="rId67" display="190" xr:uid="{A5DD70FF-669D-49AE-A7C3-53BCD06DEFB6}"/>
    <hyperlink ref="G337" r:id="rId68" display="93" xr:uid="{83898D64-07E8-4610-8B48-DE3FF64FC5E0}"/>
    <hyperlink ref="G338" r:id="rId69" display="32" xr:uid="{66919A7B-9E68-48AD-954A-6B9E4404EECC}"/>
    <hyperlink ref="G339" r:id="rId70" display="32" xr:uid="{6A536421-798C-4449-9EEA-25EF2D4E8743}"/>
    <hyperlink ref="G340" r:id="rId71" display="282" xr:uid="{5B023F03-02AC-4B00-BFFB-C1E05EDE2FB7}"/>
    <hyperlink ref="G341" r:id="rId72" display="826" xr:uid="{B453EA52-7155-4A2F-966D-A221EB945CAF}"/>
    <hyperlink ref="G343" r:id="rId73" display="66" xr:uid="{971276AB-B9FD-4CC9-A707-DD950315AABE}"/>
    <hyperlink ref="G344" r:id="rId74" display="66" xr:uid="{A31831F2-A7C1-4DE4-942D-AE8900C4BA68}"/>
    <hyperlink ref="G345" r:id="rId75" display="153" xr:uid="{A5C2F243-C6F0-4448-9E31-37185460CCBC}"/>
    <hyperlink ref="G346" r:id="rId76" display="153" xr:uid="{E8354A7B-C3C2-4E7B-89DA-87D217FFE57D}"/>
    <hyperlink ref="G348" r:id="rId77" display="32" xr:uid="{D4674947-E14E-47D9-87D6-DFE3A2D8AA6A}"/>
    <hyperlink ref="G349" r:id="rId78" display="96" xr:uid="{429077FC-6F3D-44DA-BB1B-9517965E00AB}"/>
    <hyperlink ref="G350" r:id="rId79" display="39" xr:uid="{5A374B00-0820-40F2-9070-385DA4EDF5A2}"/>
    <hyperlink ref="G351" r:id="rId80" display="39" xr:uid="{921736D9-B7DD-48E4-BCDC-7CE9FBA5B25B}"/>
    <hyperlink ref="G352" r:id="rId81" display="130" xr:uid="{8B304396-38C6-464E-A0CC-A290FBE1D287}"/>
    <hyperlink ref="G353" r:id="rId82" display="130" xr:uid="{43D48E7A-F3CD-4FAD-B97C-69718952F99E}"/>
    <hyperlink ref="G354" r:id="rId83" display="282" xr:uid="{FC84C279-A549-459B-87B7-7B4EB625BB7E}"/>
    <hyperlink ref="G355" r:id="rId84" display="517" xr:uid="{743FA6F3-D8A6-492F-9420-9F2E19CEDAC6}"/>
    <hyperlink ref="G363" r:id="rId85" display="294" xr:uid="{F0B9858D-DD40-4DE9-80F2-0C5514B47045}"/>
    <hyperlink ref="G366" r:id="rId86" display="294" xr:uid="{0CA06B15-97D6-42C8-BA89-95E35309B912}"/>
    <hyperlink ref="G372" r:id="rId87" display="705" xr:uid="{76F0B442-F841-4897-AD1A-72CADC997C16}"/>
    <hyperlink ref="G373" r:id="rId88" display="705" xr:uid="{179E174A-C0C2-423C-B111-7FA411AB1427}"/>
    <hyperlink ref="G380" r:id="rId89" display="119" xr:uid="{4ACB2585-1109-4802-84D8-5918208F9C6D}"/>
    <hyperlink ref="G381" r:id="rId90" display="119" xr:uid="{C7CFCCCB-167D-47EB-97A1-345B2AB1849D}"/>
    <hyperlink ref="G382" r:id="rId91" display="93" xr:uid="{B9EEA887-9544-46B0-8BBB-89F177526EA2}"/>
    <hyperlink ref="G383" r:id="rId92" display="93" xr:uid="{D9F15912-9BB3-4A9F-9462-EB8A6908CA1E}"/>
    <hyperlink ref="G384" r:id="rId93" display="517" xr:uid="{9F36E77D-5969-4C01-B7BA-BDFCC2933765}"/>
    <hyperlink ref="G385" r:id="rId94" display="517" xr:uid="{F03AD2C7-C866-4F46-AC65-ACA5759DAB71}"/>
    <hyperlink ref="G391" r:id="rId95" display="1,186" xr:uid="{AEEA121B-7226-426B-8523-C521811FDC23}"/>
    <hyperlink ref="G394" r:id="rId96" display="1,186" xr:uid="{A82791CC-EC8E-45FD-A303-FD4E21C75C4E}"/>
    <hyperlink ref="G397" r:id="rId97" display="825" xr:uid="{486D3A39-BCB8-49DB-A967-69820DE2DA8D}"/>
    <hyperlink ref="G405" r:id="rId98" display="825" xr:uid="{01B5F57D-2ACE-4648-B082-82DF12D7AC32}"/>
    <hyperlink ref="G407" r:id="rId99" display="825" xr:uid="{4452E32F-C54F-44EB-94F5-F0FB253A0ADB}"/>
    <hyperlink ref="G411" r:id="rId100" display="1,186" xr:uid="{3632B878-1080-498A-895C-8F1582554A51}"/>
    <hyperlink ref="G413" r:id="rId101" display="282" xr:uid="{F3880305-499B-4B1B-B801-83D72F8E71CC}"/>
    <hyperlink ref="G414" r:id="rId102" display="153" xr:uid="{DA9B2605-358F-436D-A7F5-293AE09EDD85}"/>
    <hyperlink ref="G415" r:id="rId103" display="153" xr:uid="{8F5D83F2-1E82-4145-9502-CCE3C2D436A9}"/>
    <hyperlink ref="G416" r:id="rId104" display="99" xr:uid="{0EE67411-DA4C-4847-B029-058E4AD04E5A}"/>
    <hyperlink ref="G417" r:id="rId105" display="99" xr:uid="{725F1269-1A4A-4211-8313-1F9F0400F44D}"/>
    <hyperlink ref="G418" r:id="rId106" display="298" xr:uid="{82E0839A-73DD-41E1-851A-6A57D637E5C5}"/>
    <hyperlink ref="G420" r:id="rId107" display="96" xr:uid="{3B3A2EA3-9B83-4E7D-B831-4549CE8D79F7}"/>
    <hyperlink ref="G421" r:id="rId108" display="32" xr:uid="{1CEA3CA0-1366-44A9-9E74-66A6DAA73413}"/>
    <hyperlink ref="G422" r:id="rId109" display="93" xr:uid="{366A43B8-EA69-4EFB-B25E-FA4BADF4BE34}"/>
    <hyperlink ref="G423" r:id="rId110" display="93" xr:uid="{EB47E33A-DBA5-441E-BBC0-71BAF7D80B14}"/>
    <hyperlink ref="G424" r:id="rId111" display="282" xr:uid="{8B46D1A3-B638-48BA-8DCA-47818E1F67DC}"/>
    <hyperlink ref="G427" r:id="rId112" display="96" xr:uid="{BE576DF2-1BB2-401F-BFFB-CCB89A91E0BA}"/>
    <hyperlink ref="G428" r:id="rId113" display="32" xr:uid="{9B90122B-9701-41DC-B95E-5752C6E734BA}"/>
    <hyperlink ref="G429" r:id="rId114" display="42" xr:uid="{F86B3EC6-31B6-457A-B7BF-62BD217EA7DD}"/>
    <hyperlink ref="G430" r:id="rId115" display="166" xr:uid="{93E2B2B2-3B1E-474D-B265-E255D1565B11}"/>
    <hyperlink ref="G431" r:id="rId116" display="130" xr:uid="{4BC03F0F-86C5-4A4A-BC40-66E7A4A8FECD}"/>
    <hyperlink ref="G432" r:id="rId117" display="93" xr:uid="{A02181D5-8BA8-476B-9D42-F7F6EBE9824E}"/>
    <hyperlink ref="G433" r:id="rId118" display="93" xr:uid="{04D4D74B-57E4-4358-BA66-2E31E81C85C9}"/>
    <hyperlink ref="G434" r:id="rId119" display="282" xr:uid="{80DFEDDD-8C8E-4E6D-A0B9-6E18216FBF75}"/>
    <hyperlink ref="G435" r:id="rId120" display="517" xr:uid="{09BDB1CA-9DB6-4115-AE8E-28C6F89AB249}"/>
    <hyperlink ref="G437" r:id="rId121" display="458" xr:uid="{8AEE55E2-6AB6-48FA-A8DA-032338E3B122}"/>
    <hyperlink ref="G440" r:id="rId122" display="458" xr:uid="{C1ABE667-476B-4D78-94C8-2DB11579C770}"/>
    <hyperlink ref="G441" r:id="rId123" display="298" xr:uid="{53C939CF-08B1-4C6F-9460-F69C838AA1CC}"/>
    <hyperlink ref="G443" r:id="rId124" display="113" xr:uid="{7FE0BB36-8B40-4B56-AD14-F18DA0AEBB4F}"/>
    <hyperlink ref="G444" r:id="rId125" display="166" xr:uid="{63EEE2D5-A408-4A68-B46A-2E8284D86F3B}"/>
    <hyperlink ref="G445" r:id="rId126" display="130" xr:uid="{AE6EE821-935F-48A2-8BC7-A9429BB02A42}"/>
    <hyperlink ref="G446" r:id="rId127" display="130" xr:uid="{635F27F6-A60F-45E4-B999-A80B3A645614}"/>
    <hyperlink ref="G447" r:id="rId128" display="473" xr:uid="{0FC9517D-FA14-42A0-816F-6F1CD458EC72}"/>
    <hyperlink ref="G448" r:id="rId129" display="643" xr:uid="{5E071432-FEA8-4256-90E9-5AA227F45F54}"/>
    <hyperlink ref="G462" r:id="rId130" display="153" xr:uid="{31A2B84C-23E8-467B-AD02-AA046DC851C7}"/>
    <hyperlink ref="G463" r:id="rId131" display="153" xr:uid="{27F4401E-5CEA-4362-B254-F6BD456E49CF}"/>
    <hyperlink ref="G464" r:id="rId132" display="496" xr:uid="{A0206EA0-458A-45D2-AC4C-597BACE06D3A}"/>
    <hyperlink ref="G470" r:id="rId133" display="21" xr:uid="{F2A64D44-575F-4188-BFD9-8F373A29FBA3}"/>
    <hyperlink ref="G471" r:id="rId134" display="80" xr:uid="{FAA6A263-08DF-4C79-901D-B8F8F8FADB1E}"/>
    <hyperlink ref="G472" r:id="rId135" display="126" xr:uid="{FA3212DE-F259-4165-A7AE-712009EE85DE}"/>
    <hyperlink ref="G473" r:id="rId136" display="130" xr:uid="{21C79527-45C9-4056-B9F9-90945130B6A7}"/>
    <hyperlink ref="G474" r:id="rId137" display="130" xr:uid="{02368647-7D4D-4B3C-A74A-318D3C4B85A4}"/>
    <hyperlink ref="G475" r:id="rId138" display="93" xr:uid="{01C36CF8-8FF3-41C9-9A59-70C94A4D4705}"/>
    <hyperlink ref="G476" r:id="rId139" display="473" xr:uid="{830D9B02-010E-4C7D-B8DD-C739C53E3C84}"/>
    <hyperlink ref="G477" r:id="rId140" display="643" xr:uid="{3F18EB8E-9824-4BBD-908F-F8A9574A08A0}"/>
    <hyperlink ref="G482" r:id="rId141" display="93" xr:uid="{7011E316-05C8-4182-9114-6E7EE813B72F}"/>
    <hyperlink ref="G483" r:id="rId142" display="93" xr:uid="{4472DF79-6726-4345-BA4F-0FD9BF9D11AF}"/>
    <hyperlink ref="G484" r:id="rId143" display="282" xr:uid="{B3A2DE04-1221-4CBC-B676-51305FEC8BE8}"/>
    <hyperlink ref="G485" r:id="rId144" display="99" xr:uid="{BA9B3EFE-7E8A-4F87-9161-E71F4FF23C04}"/>
    <hyperlink ref="G486" r:id="rId145" display="99" xr:uid="{62141D5A-BDE2-4F1F-B76F-DC1F9306AC97}"/>
    <hyperlink ref="G487" r:id="rId146" display="517" xr:uid="{0CBC2480-232F-4FDC-9190-6B553F4FD464}"/>
    <hyperlink ref="G488" r:id="rId147" display="298" xr:uid="{BF879D5E-A91E-45A4-B29F-6CEEB08AE2BA}"/>
  </hyperlinks>
  <pageMargins left="0.7" right="0.7" top="0.75" bottom="0.75" header="0.3" footer="0.3"/>
  <drawing r:id="rId14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83"/>
  <sheetViews>
    <sheetView workbookViewId="0">
      <pane xSplit="1" ySplit="2" topLeftCell="B46" activePane="bottomRight" state="frozen"/>
      <selection pane="bottomRight" activeCell="G54" sqref="G54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209</v>
      </c>
      <c r="C2" s="32" t="s">
        <v>210</v>
      </c>
      <c r="D2" s="32" t="s">
        <v>211</v>
      </c>
      <c r="E2" s="32" t="s">
        <v>1</v>
      </c>
      <c r="F2" s="32" t="s">
        <v>212</v>
      </c>
      <c r="G2" s="34" t="s">
        <v>213</v>
      </c>
    </row>
    <row r="3" spans="2:10" ht="15.75">
      <c r="B3" s="35"/>
      <c r="C3" s="32"/>
      <c r="D3" s="32"/>
      <c r="E3" s="32"/>
      <c r="F3" s="32"/>
      <c r="G3" s="34">
        <f t="shared" ref="G3:G161" si="0">G4+F3</f>
        <v>1113</v>
      </c>
    </row>
    <row r="4" spans="2:10" ht="15">
      <c r="B4" s="44"/>
      <c r="C4" s="45"/>
      <c r="D4" s="45"/>
      <c r="E4" s="45"/>
      <c r="F4" s="45"/>
      <c r="G4" s="34">
        <f t="shared" si="0"/>
        <v>1113</v>
      </c>
      <c r="I4" t="s">
        <v>214</v>
      </c>
      <c r="J4">
        <f>SUMIFS(F3:F30115,D3:D30115, "*JAL国内線*")</f>
        <v>895</v>
      </c>
    </row>
    <row r="5" spans="2:10" ht="15">
      <c r="B5" s="44"/>
      <c r="C5" s="45"/>
      <c r="D5" s="45"/>
      <c r="E5" s="45"/>
      <c r="F5" s="45"/>
      <c r="G5" s="34">
        <f t="shared" si="0"/>
        <v>1113</v>
      </c>
      <c r="I5" t="s">
        <v>215</v>
      </c>
      <c r="J5">
        <f>SUMIFS(F3:F30115,D3:D30115,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1113</v>
      </c>
      <c r="I6" t="s">
        <v>216</v>
      </c>
      <c r="J6">
        <f>SUMIFS(F3:F30115,D3:D30115, "*JALカード*")</f>
        <v>90</v>
      </c>
    </row>
    <row r="7" spans="2:10" ht="15">
      <c r="B7" s="44"/>
      <c r="C7" s="45"/>
      <c r="D7" s="45"/>
      <c r="E7" s="45"/>
      <c r="F7" s="45"/>
      <c r="G7" s="34">
        <f t="shared" si="0"/>
        <v>1113</v>
      </c>
      <c r="I7" t="s">
        <v>217</v>
      </c>
      <c r="J7">
        <f>SUMIFS(F3:F30115,D3:D30115, "*JALモバイル*")</f>
        <v>7</v>
      </c>
    </row>
    <row r="8" spans="2:10" ht="15">
      <c r="B8" s="44"/>
      <c r="C8" s="45"/>
      <c r="D8" s="45"/>
      <c r="E8" s="45"/>
      <c r="F8" s="45"/>
      <c r="G8" s="34">
        <f t="shared" si="0"/>
        <v>1113</v>
      </c>
      <c r="I8" s="31" t="s">
        <v>218</v>
      </c>
      <c r="J8">
        <f>SUMIFS(F3:F30115,D3:D30115, "*JAL Wellness &amp; Travel*")</f>
        <v>7</v>
      </c>
    </row>
    <row r="9" spans="2:10" ht="15">
      <c r="B9" s="44"/>
      <c r="C9" s="45"/>
      <c r="D9" s="45"/>
      <c r="E9" s="45"/>
      <c r="F9" s="45"/>
      <c r="G9" s="34">
        <f t="shared" si="0"/>
        <v>1113</v>
      </c>
      <c r="I9" s="31" t="s">
        <v>219</v>
      </c>
      <c r="J9">
        <f>SUMIFS(F3:F30115,D3:D30115, "*JALマイレージパーク*")</f>
        <v>6</v>
      </c>
    </row>
    <row r="10" spans="2:10" ht="15">
      <c r="B10" s="44"/>
      <c r="C10" s="45"/>
      <c r="D10" s="45"/>
      <c r="E10" s="45"/>
      <c r="F10" s="45"/>
      <c r="G10" s="34">
        <f t="shared" si="0"/>
        <v>1113</v>
      </c>
      <c r="I10" s="31" t="s">
        <v>220</v>
      </c>
      <c r="J10">
        <f>SUMIFS(F3:F30115,D3:D30115, "*その他*")</f>
        <v>38</v>
      </c>
    </row>
    <row r="11" spans="2:10" ht="15">
      <c r="B11" s="44"/>
      <c r="C11" s="45"/>
      <c r="D11" s="45"/>
      <c r="E11" s="45"/>
      <c r="F11" s="45"/>
      <c r="G11" s="34">
        <f t="shared" si="0"/>
        <v>1113</v>
      </c>
      <c r="I11" s="31" t="s">
        <v>221</v>
      </c>
      <c r="J11">
        <f>SUM(J4:J10)</f>
        <v>1113</v>
      </c>
    </row>
    <row r="12" spans="2:10" ht="15">
      <c r="B12" s="44"/>
      <c r="C12" s="45"/>
      <c r="D12" s="45"/>
      <c r="E12" s="45"/>
      <c r="F12" s="45"/>
      <c r="G12" s="34">
        <f t="shared" si="0"/>
        <v>1113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1113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1113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1113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1113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1113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1113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1113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1113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1113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1113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1113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1113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1113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1113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1113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1113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1113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1113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1113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1113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1113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1113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1113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1113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1113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1113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1113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1113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1113</v>
      </c>
      <c r="I41" s="31"/>
    </row>
    <row r="42" spans="2:9" ht="15">
      <c r="B42" s="44"/>
      <c r="C42" s="45"/>
      <c r="D42" s="45"/>
      <c r="E42" s="45"/>
      <c r="F42" s="45"/>
      <c r="G42" s="34">
        <f t="shared" si="0"/>
        <v>1113</v>
      </c>
      <c r="I42" s="31"/>
    </row>
    <row r="43" spans="2:9" ht="15">
      <c r="B43" s="44"/>
      <c r="C43" s="45"/>
      <c r="D43" s="45"/>
      <c r="E43" s="45"/>
      <c r="F43" s="45"/>
      <c r="G43" s="34">
        <f t="shared" si="0"/>
        <v>1113</v>
      </c>
      <c r="I43" s="31"/>
    </row>
    <row r="44" spans="2:9" ht="15">
      <c r="B44" s="44"/>
      <c r="C44" s="45"/>
      <c r="D44" s="45"/>
      <c r="E44" s="45"/>
      <c r="F44" s="45"/>
      <c r="G44" s="34">
        <f t="shared" si="0"/>
        <v>1113</v>
      </c>
      <c r="I44" s="31"/>
    </row>
    <row r="45" spans="2:9" ht="15">
      <c r="B45" s="44"/>
      <c r="C45" s="45"/>
      <c r="D45" s="45"/>
      <c r="E45" s="45"/>
      <c r="F45" s="45"/>
      <c r="G45" s="34">
        <f t="shared" si="0"/>
        <v>1113</v>
      </c>
      <c r="I45" s="31"/>
    </row>
    <row r="46" spans="2:9" ht="15">
      <c r="B46" s="44"/>
      <c r="C46" s="45"/>
      <c r="D46" s="45"/>
      <c r="E46" s="45"/>
      <c r="F46" s="45"/>
      <c r="G46" s="34">
        <f t="shared" si="0"/>
        <v>1113</v>
      </c>
      <c r="I46" s="31"/>
    </row>
    <row r="47" spans="2:9" ht="15">
      <c r="B47" s="44"/>
      <c r="C47" s="45"/>
      <c r="D47" s="45"/>
      <c r="E47" s="45"/>
      <c r="F47" s="45"/>
      <c r="G47" s="34">
        <f t="shared" si="0"/>
        <v>1113</v>
      </c>
      <c r="I47" s="31"/>
    </row>
    <row r="48" spans="2:9" ht="15">
      <c r="B48" s="44"/>
      <c r="C48" s="45"/>
      <c r="D48" s="45"/>
      <c r="E48" s="45"/>
      <c r="F48" s="45"/>
      <c r="G48" s="34">
        <f t="shared" si="0"/>
        <v>1113</v>
      </c>
      <c r="I48" s="31"/>
    </row>
    <row r="49" spans="2:9" ht="15">
      <c r="B49" s="44"/>
      <c r="C49" s="45"/>
      <c r="D49" s="45"/>
      <c r="E49" s="45"/>
      <c r="F49" s="45"/>
      <c r="G49" s="34">
        <f t="shared" si="0"/>
        <v>1113</v>
      </c>
      <c r="I49" s="31"/>
    </row>
    <row r="50" spans="2:9" ht="15">
      <c r="B50" s="44"/>
      <c r="C50" s="45"/>
      <c r="D50" s="45"/>
      <c r="E50" s="45"/>
      <c r="F50" s="45"/>
      <c r="G50" s="34">
        <f t="shared" si="0"/>
        <v>1113</v>
      </c>
      <c r="I50" s="31"/>
    </row>
    <row r="51" spans="2:9" ht="15">
      <c r="B51" s="44"/>
      <c r="C51" s="45"/>
      <c r="D51" s="45"/>
      <c r="E51" s="45"/>
      <c r="F51" s="45"/>
      <c r="G51" s="34">
        <f t="shared" si="0"/>
        <v>1113</v>
      </c>
      <c r="I51" s="31"/>
    </row>
    <row r="52" spans="2:9" ht="15">
      <c r="B52" s="44"/>
      <c r="C52" s="45"/>
      <c r="D52" s="45"/>
      <c r="E52" s="45"/>
      <c r="F52" s="45"/>
      <c r="G52" s="34">
        <f t="shared" si="0"/>
        <v>1113</v>
      </c>
      <c r="I52" s="31"/>
    </row>
    <row r="53" spans="2:9" ht="15">
      <c r="B53" s="44"/>
      <c r="C53" s="45"/>
      <c r="D53" s="45"/>
      <c r="E53" s="45"/>
      <c r="F53" s="45"/>
      <c r="G53" s="34">
        <f t="shared" si="0"/>
        <v>1113</v>
      </c>
      <c r="I53" s="31"/>
    </row>
    <row r="54" spans="2:9" ht="15">
      <c r="B54" s="44"/>
      <c r="C54" s="45"/>
      <c r="D54" s="45"/>
      <c r="E54" s="45"/>
      <c r="F54" s="45"/>
      <c r="G54" s="34">
        <f t="shared" si="0"/>
        <v>1113</v>
      </c>
      <c r="I54" s="31"/>
    </row>
    <row r="55" spans="2:9" ht="15">
      <c r="B55" s="44"/>
      <c r="C55" s="45"/>
      <c r="D55" s="45"/>
      <c r="E55" s="45"/>
      <c r="F55" s="45"/>
      <c r="G55" s="34">
        <f t="shared" si="0"/>
        <v>1113</v>
      </c>
      <c r="I55" s="31"/>
    </row>
    <row r="56" spans="2:9" ht="17.25">
      <c r="B56" s="44">
        <v>46080</v>
      </c>
      <c r="C56" s="45" t="s">
        <v>222</v>
      </c>
      <c r="D56" s="45" t="s">
        <v>214</v>
      </c>
      <c r="E56" s="45" t="s">
        <v>223</v>
      </c>
      <c r="F56" s="45">
        <v>35</v>
      </c>
      <c r="G56" s="34">
        <f t="shared" si="0"/>
        <v>1113</v>
      </c>
      <c r="I56" s="31"/>
    </row>
    <row r="57" spans="2:9" ht="17.25">
      <c r="B57" s="44">
        <v>46077</v>
      </c>
      <c r="C57" s="45" t="s">
        <v>222</v>
      </c>
      <c r="D57" s="45" t="s">
        <v>214</v>
      </c>
      <c r="E57" s="45" t="s">
        <v>223</v>
      </c>
      <c r="F57" s="45">
        <v>40</v>
      </c>
      <c r="G57" s="34">
        <f t="shared" si="0"/>
        <v>1078</v>
      </c>
      <c r="I57" s="31"/>
    </row>
    <row r="58" spans="2:9" ht="17.25">
      <c r="B58" s="44">
        <v>46076</v>
      </c>
      <c r="C58" s="45" t="s">
        <v>222</v>
      </c>
      <c r="D58" s="45" t="s">
        <v>214</v>
      </c>
      <c r="E58" s="45" t="s">
        <v>223</v>
      </c>
      <c r="F58" s="45">
        <v>15</v>
      </c>
      <c r="G58" s="34">
        <f t="shared" si="0"/>
        <v>1038</v>
      </c>
      <c r="I58" s="31"/>
    </row>
    <row r="59" spans="2:9" ht="17.25">
      <c r="B59" s="44">
        <v>46074</v>
      </c>
      <c r="C59" s="45" t="s">
        <v>224</v>
      </c>
      <c r="D59" s="45" t="s">
        <v>219</v>
      </c>
      <c r="E59" s="45" t="s">
        <v>225</v>
      </c>
      <c r="F59" s="45">
        <v>1</v>
      </c>
      <c r="G59" s="34">
        <f t="shared" si="0"/>
        <v>1023</v>
      </c>
      <c r="I59" s="31"/>
    </row>
    <row r="60" spans="2:9" ht="17.25">
      <c r="B60" s="44">
        <v>46071</v>
      </c>
      <c r="C60" s="45" t="s">
        <v>224</v>
      </c>
      <c r="D60" s="45" t="s">
        <v>217</v>
      </c>
      <c r="E60" s="45" t="s">
        <v>217</v>
      </c>
      <c r="F60" s="45">
        <v>1</v>
      </c>
      <c r="G60" s="34">
        <f t="shared" si="0"/>
        <v>1022</v>
      </c>
      <c r="I60" s="31"/>
    </row>
    <row r="61" spans="2:9" ht="17.25">
      <c r="B61" s="44">
        <v>46068</v>
      </c>
      <c r="C61" s="45" t="s">
        <v>224</v>
      </c>
      <c r="D61" s="45" t="s">
        <v>218</v>
      </c>
      <c r="E61" s="45" t="s">
        <v>226</v>
      </c>
      <c r="F61" s="45">
        <v>1</v>
      </c>
      <c r="G61" s="34">
        <f t="shared" si="0"/>
        <v>1021</v>
      </c>
      <c r="I61" s="31"/>
    </row>
    <row r="62" spans="2:9" ht="17.25">
      <c r="B62" s="44">
        <v>46066</v>
      </c>
      <c r="C62" s="45" t="s">
        <v>222</v>
      </c>
      <c r="D62" s="45" t="s">
        <v>214</v>
      </c>
      <c r="E62" s="45" t="s">
        <v>223</v>
      </c>
      <c r="F62" s="45">
        <v>30</v>
      </c>
      <c r="G62" s="34">
        <f t="shared" si="0"/>
        <v>1020</v>
      </c>
      <c r="I62" s="31"/>
    </row>
    <row r="63" spans="2:9" ht="17.25">
      <c r="B63" s="44">
        <v>46065</v>
      </c>
      <c r="C63" s="45" t="s">
        <v>222</v>
      </c>
      <c r="D63" s="45" t="s">
        <v>214</v>
      </c>
      <c r="E63" s="45" t="s">
        <v>223</v>
      </c>
      <c r="F63" s="45">
        <v>10</v>
      </c>
      <c r="G63" s="34">
        <f t="shared" si="0"/>
        <v>990</v>
      </c>
      <c r="I63" s="31"/>
    </row>
    <row r="64" spans="2:9" ht="17.25">
      <c r="B64" s="44">
        <v>46064</v>
      </c>
      <c r="C64" s="45" t="s">
        <v>224</v>
      </c>
      <c r="D64" s="45" t="s">
        <v>216</v>
      </c>
      <c r="E64" s="45" t="s">
        <v>227</v>
      </c>
      <c r="F64" s="45">
        <v>10</v>
      </c>
      <c r="G64" s="34">
        <f t="shared" si="0"/>
        <v>980</v>
      </c>
      <c r="I64" s="31"/>
    </row>
    <row r="65" spans="2:9" ht="17.25">
      <c r="B65" s="44">
        <v>46064</v>
      </c>
      <c r="C65" s="45" t="s">
        <v>222</v>
      </c>
      <c r="D65" s="45" t="s">
        <v>214</v>
      </c>
      <c r="E65" s="45" t="s">
        <v>223</v>
      </c>
      <c r="F65" s="45">
        <v>5</v>
      </c>
      <c r="G65" s="34">
        <f t="shared" si="0"/>
        <v>970</v>
      </c>
      <c r="I65" s="31"/>
    </row>
    <row r="66" spans="2:9" ht="17.25">
      <c r="B66" s="44">
        <v>46063</v>
      </c>
      <c r="C66" s="45" t="s">
        <v>222</v>
      </c>
      <c r="D66" s="45" t="s">
        <v>214</v>
      </c>
      <c r="E66" s="45" t="s">
        <v>223</v>
      </c>
      <c r="F66" s="45">
        <v>45</v>
      </c>
      <c r="G66" s="34">
        <f t="shared" si="0"/>
        <v>965</v>
      </c>
      <c r="I66" s="31"/>
    </row>
    <row r="67" spans="2:9" ht="17.25">
      <c r="B67" s="44">
        <v>46062</v>
      </c>
      <c r="C67" s="45" t="s">
        <v>222</v>
      </c>
      <c r="D67" s="45" t="s">
        <v>214</v>
      </c>
      <c r="E67" s="45" t="s">
        <v>223</v>
      </c>
      <c r="F67" s="45">
        <v>25</v>
      </c>
      <c r="G67" s="34">
        <f t="shared" si="0"/>
        <v>920</v>
      </c>
      <c r="I67" s="31"/>
    </row>
    <row r="68" spans="2:9" ht="17.25">
      <c r="B68" s="44">
        <v>46061</v>
      </c>
      <c r="C68" s="45" t="s">
        <v>222</v>
      </c>
      <c r="D68" s="45" t="s">
        <v>214</v>
      </c>
      <c r="E68" s="45" t="s">
        <v>223</v>
      </c>
      <c r="F68" s="45">
        <v>30</v>
      </c>
      <c r="G68" s="34">
        <f t="shared" si="0"/>
        <v>895</v>
      </c>
      <c r="I68" s="31"/>
    </row>
    <row r="69" spans="2:9" ht="17.25">
      <c r="B69" s="44">
        <v>46059</v>
      </c>
      <c r="C69" s="45" t="s">
        <v>222</v>
      </c>
      <c r="D69" s="45" t="s">
        <v>214</v>
      </c>
      <c r="E69" s="45" t="s">
        <v>223</v>
      </c>
      <c r="F69" s="45">
        <v>5</v>
      </c>
      <c r="G69" s="34">
        <f t="shared" si="0"/>
        <v>865</v>
      </c>
      <c r="I69" s="31"/>
    </row>
    <row r="70" spans="2:9" ht="17.25">
      <c r="B70" s="44">
        <v>46057</v>
      </c>
      <c r="C70" s="45" t="s">
        <v>222</v>
      </c>
      <c r="D70" s="45" t="s">
        <v>214</v>
      </c>
      <c r="E70" s="45" t="s">
        <v>223</v>
      </c>
      <c r="F70" s="45">
        <v>5</v>
      </c>
      <c r="G70" s="34">
        <f t="shared" si="0"/>
        <v>860</v>
      </c>
      <c r="I70" s="31"/>
    </row>
    <row r="71" spans="2:9" ht="17.25">
      <c r="B71" s="44">
        <v>46056</v>
      </c>
      <c r="C71" s="45" t="s">
        <v>222</v>
      </c>
      <c r="D71" s="45" t="s">
        <v>214</v>
      </c>
      <c r="E71" s="45" t="s">
        <v>223</v>
      </c>
      <c r="F71" s="45">
        <v>5</v>
      </c>
      <c r="G71" s="34">
        <f t="shared" si="0"/>
        <v>855</v>
      </c>
      <c r="I71" s="31"/>
    </row>
    <row r="72" spans="2:9" ht="17.25">
      <c r="B72" s="44">
        <v>46055</v>
      </c>
      <c r="C72" s="45" t="s">
        <v>220</v>
      </c>
      <c r="D72" s="45" t="s">
        <v>220</v>
      </c>
      <c r="E72" s="45" t="s">
        <v>228</v>
      </c>
      <c r="F72" s="45">
        <v>10</v>
      </c>
      <c r="G72" s="34">
        <f t="shared" si="0"/>
        <v>850</v>
      </c>
      <c r="I72" s="31"/>
    </row>
    <row r="73" spans="2:9" ht="17.25">
      <c r="B73" s="44">
        <v>46054</v>
      </c>
      <c r="C73" s="45" t="s">
        <v>222</v>
      </c>
      <c r="D73" s="45" t="s">
        <v>214</v>
      </c>
      <c r="E73" s="45" t="s">
        <v>223</v>
      </c>
      <c r="F73" s="45">
        <v>5</v>
      </c>
      <c r="G73" s="34">
        <f t="shared" si="0"/>
        <v>840</v>
      </c>
      <c r="I73" s="31"/>
    </row>
    <row r="74" spans="2:9" ht="17.25">
      <c r="B74" s="44">
        <v>46052</v>
      </c>
      <c r="C74" s="45" t="s">
        <v>222</v>
      </c>
      <c r="D74" s="45" t="s">
        <v>214</v>
      </c>
      <c r="E74" s="45" t="s">
        <v>223</v>
      </c>
      <c r="F74" s="45">
        <v>5</v>
      </c>
      <c r="G74" s="34">
        <f t="shared" si="0"/>
        <v>835</v>
      </c>
      <c r="I74" s="31"/>
    </row>
    <row r="75" spans="2:9" ht="17.25">
      <c r="B75" s="44">
        <v>46051</v>
      </c>
      <c r="C75" s="45" t="s">
        <v>222</v>
      </c>
      <c r="D75" s="45" t="s">
        <v>214</v>
      </c>
      <c r="E75" s="45" t="s">
        <v>223</v>
      </c>
      <c r="F75" s="45">
        <v>5</v>
      </c>
      <c r="G75" s="34">
        <f t="shared" si="0"/>
        <v>830</v>
      </c>
      <c r="I75" s="31"/>
    </row>
    <row r="76" spans="2:9" ht="17.25">
      <c r="B76" s="44">
        <v>46048</v>
      </c>
      <c r="C76" s="45" t="s">
        <v>222</v>
      </c>
      <c r="D76" s="45" t="s">
        <v>214</v>
      </c>
      <c r="E76" s="45" t="s">
        <v>223</v>
      </c>
      <c r="F76" s="45">
        <v>30</v>
      </c>
      <c r="G76" s="34">
        <f t="shared" si="0"/>
        <v>825</v>
      </c>
      <c r="I76" s="31"/>
    </row>
    <row r="77" spans="2:9" ht="17.25">
      <c r="B77" s="44">
        <v>46047</v>
      </c>
      <c r="C77" s="45" t="s">
        <v>224</v>
      </c>
      <c r="D77" s="45" t="s">
        <v>219</v>
      </c>
      <c r="E77" s="45" t="s">
        <v>225</v>
      </c>
      <c r="F77" s="45">
        <v>2</v>
      </c>
      <c r="G77" s="34">
        <f t="shared" si="0"/>
        <v>795</v>
      </c>
      <c r="I77" s="31"/>
    </row>
    <row r="78" spans="2:9" ht="17.25">
      <c r="B78" s="44">
        <v>46044</v>
      </c>
      <c r="C78" s="45" t="s">
        <v>222</v>
      </c>
      <c r="D78" s="45" t="s">
        <v>214</v>
      </c>
      <c r="E78" s="45" t="s">
        <v>223</v>
      </c>
      <c r="F78" s="45">
        <v>10</v>
      </c>
      <c r="G78" s="34">
        <f t="shared" si="0"/>
        <v>793</v>
      </c>
      <c r="I78" s="31"/>
    </row>
    <row r="79" spans="2:9" ht="17.25">
      <c r="B79" s="44">
        <v>46041</v>
      </c>
      <c r="C79" s="45" t="s">
        <v>224</v>
      </c>
      <c r="D79" s="45" t="s">
        <v>217</v>
      </c>
      <c r="E79" s="45" t="s">
        <v>217</v>
      </c>
      <c r="F79" s="45">
        <v>1</v>
      </c>
      <c r="G79" s="34">
        <f t="shared" si="0"/>
        <v>783</v>
      </c>
      <c r="I79" s="31"/>
    </row>
    <row r="80" spans="2:9" ht="17.25">
      <c r="B80" s="44">
        <v>46040</v>
      </c>
      <c r="C80" s="45" t="s">
        <v>222</v>
      </c>
      <c r="D80" s="45" t="s">
        <v>214</v>
      </c>
      <c r="E80" s="45" t="s">
        <v>223</v>
      </c>
      <c r="F80" s="45">
        <v>5</v>
      </c>
      <c r="G80" s="34">
        <f t="shared" si="0"/>
        <v>782</v>
      </c>
      <c r="I80" s="31"/>
    </row>
    <row r="81" spans="2:10" ht="17.25">
      <c r="B81" s="44">
        <v>46039</v>
      </c>
      <c r="C81" s="45" t="s">
        <v>222</v>
      </c>
      <c r="D81" s="45" t="s">
        <v>214</v>
      </c>
      <c r="E81" s="45" t="s">
        <v>223</v>
      </c>
      <c r="F81" s="45">
        <v>5</v>
      </c>
      <c r="G81" s="34">
        <f t="shared" si="0"/>
        <v>777</v>
      </c>
      <c r="I81" s="31"/>
    </row>
    <row r="82" spans="2:10" ht="17.25">
      <c r="B82" s="44">
        <v>46037</v>
      </c>
      <c r="C82" s="45" t="s">
        <v>224</v>
      </c>
      <c r="D82" s="45" t="s">
        <v>218</v>
      </c>
      <c r="E82" s="45" t="s">
        <v>226</v>
      </c>
      <c r="F82" s="45">
        <v>1</v>
      </c>
      <c r="G82" s="34">
        <f t="shared" si="0"/>
        <v>772</v>
      </c>
      <c r="I82" s="31"/>
    </row>
    <row r="83" spans="2:10" ht="17.25">
      <c r="B83" s="44">
        <v>46035</v>
      </c>
      <c r="C83" s="45" t="s">
        <v>222</v>
      </c>
      <c r="D83" s="45" t="s">
        <v>214</v>
      </c>
      <c r="E83" s="45" t="s">
        <v>223</v>
      </c>
      <c r="F83" s="45">
        <v>40</v>
      </c>
      <c r="G83" s="34">
        <f t="shared" si="0"/>
        <v>771</v>
      </c>
      <c r="I83" s="31"/>
    </row>
    <row r="84" spans="2:10" ht="17.25">
      <c r="B84" s="44">
        <v>46034</v>
      </c>
      <c r="C84" s="45" t="s">
        <v>222</v>
      </c>
      <c r="D84" s="45" t="s">
        <v>214</v>
      </c>
      <c r="E84" s="45" t="s">
        <v>223</v>
      </c>
      <c r="F84" s="45">
        <v>20</v>
      </c>
      <c r="G84" s="34">
        <f t="shared" si="0"/>
        <v>731</v>
      </c>
      <c r="I84" s="31"/>
    </row>
    <row r="85" spans="2:10" ht="17.25">
      <c r="B85" s="44">
        <v>46033</v>
      </c>
      <c r="C85" s="45" t="s">
        <v>224</v>
      </c>
      <c r="D85" s="45" t="s">
        <v>216</v>
      </c>
      <c r="E85" s="45" t="s">
        <v>227</v>
      </c>
      <c r="F85" s="45">
        <v>30</v>
      </c>
      <c r="G85" s="34">
        <f t="shared" si="0"/>
        <v>711</v>
      </c>
      <c r="J85">
        <f>SUM(J4:J11)</f>
        <v>2226</v>
      </c>
    </row>
    <row r="86" spans="2:10" ht="17.25">
      <c r="B86" s="44">
        <v>46033</v>
      </c>
      <c r="C86" s="45" t="s">
        <v>222</v>
      </c>
      <c r="D86" s="45" t="s">
        <v>214</v>
      </c>
      <c r="E86" s="45" t="s">
        <v>223</v>
      </c>
      <c r="F86" s="45">
        <v>40</v>
      </c>
      <c r="G86" s="34">
        <f t="shared" si="0"/>
        <v>681</v>
      </c>
    </row>
    <row r="87" spans="2:10" ht="17.25">
      <c r="B87" s="44">
        <v>46032</v>
      </c>
      <c r="C87" s="45" t="s">
        <v>222</v>
      </c>
      <c r="D87" s="45" t="s">
        <v>214</v>
      </c>
      <c r="E87" s="45" t="s">
        <v>223</v>
      </c>
      <c r="F87" s="45">
        <v>10</v>
      </c>
      <c r="G87" s="34">
        <f t="shared" si="0"/>
        <v>641</v>
      </c>
    </row>
    <row r="88" spans="2:10" ht="17.25">
      <c r="B88" s="44">
        <v>46030</v>
      </c>
      <c r="C88" s="45" t="s">
        <v>222</v>
      </c>
      <c r="D88" s="45" t="s">
        <v>214</v>
      </c>
      <c r="E88" s="45" t="s">
        <v>223</v>
      </c>
      <c r="F88" s="45">
        <v>5</v>
      </c>
      <c r="G88" s="34">
        <f t="shared" si="0"/>
        <v>631</v>
      </c>
    </row>
    <row r="89" spans="2:10" ht="17.25">
      <c r="B89" s="44">
        <v>46016</v>
      </c>
      <c r="C89" s="45" t="s">
        <v>222</v>
      </c>
      <c r="D89" s="45" t="s">
        <v>214</v>
      </c>
      <c r="E89" s="45" t="s">
        <v>223</v>
      </c>
      <c r="F89" s="45">
        <v>5</v>
      </c>
      <c r="G89" s="34">
        <f t="shared" si="0"/>
        <v>626</v>
      </c>
    </row>
    <row r="90" spans="2:10" ht="17.25">
      <c r="B90" s="44">
        <v>46014</v>
      </c>
      <c r="C90" s="45" t="s">
        <v>222</v>
      </c>
      <c r="D90" s="45" t="s">
        <v>214</v>
      </c>
      <c r="E90" s="45" t="s">
        <v>223</v>
      </c>
      <c r="F90" s="45">
        <v>5</v>
      </c>
      <c r="G90" s="34">
        <f t="shared" si="0"/>
        <v>621</v>
      </c>
    </row>
    <row r="91" spans="2:10" ht="17.25">
      <c r="B91" s="44">
        <v>46012</v>
      </c>
      <c r="C91" s="45" t="s">
        <v>224</v>
      </c>
      <c r="D91" s="45" t="s">
        <v>219</v>
      </c>
      <c r="E91" s="45" t="s">
        <v>225</v>
      </c>
      <c r="F91" s="45">
        <v>1</v>
      </c>
      <c r="G91" s="34">
        <f t="shared" si="0"/>
        <v>616</v>
      </c>
    </row>
    <row r="92" spans="2:10" ht="17.25">
      <c r="B92" s="44">
        <v>46012</v>
      </c>
      <c r="C92" s="45" t="s">
        <v>222</v>
      </c>
      <c r="D92" s="45" t="s">
        <v>214</v>
      </c>
      <c r="E92" s="45" t="s">
        <v>223</v>
      </c>
      <c r="F92" s="45">
        <v>5</v>
      </c>
      <c r="G92" s="34">
        <f t="shared" si="0"/>
        <v>615</v>
      </c>
    </row>
    <row r="93" spans="2:10" ht="17.25">
      <c r="B93" s="44">
        <v>46011</v>
      </c>
      <c r="C93" s="45" t="s">
        <v>222</v>
      </c>
      <c r="D93" s="45" t="s">
        <v>214</v>
      </c>
      <c r="E93" s="45" t="s">
        <v>223</v>
      </c>
      <c r="F93" s="45">
        <v>5</v>
      </c>
      <c r="G93" s="34">
        <f t="shared" si="0"/>
        <v>610</v>
      </c>
    </row>
    <row r="94" spans="2:10" ht="17.25">
      <c r="B94" s="44">
        <v>46008</v>
      </c>
      <c r="C94" s="45" t="s">
        <v>224</v>
      </c>
      <c r="D94" s="45" t="s">
        <v>217</v>
      </c>
      <c r="E94" s="45" t="s">
        <v>217</v>
      </c>
      <c r="F94" s="45">
        <v>1</v>
      </c>
      <c r="G94" s="34">
        <f t="shared" si="0"/>
        <v>605</v>
      </c>
    </row>
    <row r="95" spans="2:10" ht="17.25">
      <c r="B95" s="44">
        <v>46006</v>
      </c>
      <c r="C95" s="45" t="s">
        <v>224</v>
      </c>
      <c r="D95" s="45" t="s">
        <v>218</v>
      </c>
      <c r="E95" s="45" t="s">
        <v>226</v>
      </c>
      <c r="F95" s="45">
        <v>1</v>
      </c>
      <c r="G95" s="34">
        <f t="shared" si="0"/>
        <v>604</v>
      </c>
    </row>
    <row r="96" spans="2:10" ht="17.25">
      <c r="B96" s="44">
        <v>46002</v>
      </c>
      <c r="C96" s="45" t="s">
        <v>224</v>
      </c>
      <c r="D96" s="45" t="s">
        <v>216</v>
      </c>
      <c r="E96" s="45" t="s">
        <v>227</v>
      </c>
      <c r="F96" s="45">
        <v>10</v>
      </c>
      <c r="G96" s="34">
        <f t="shared" si="0"/>
        <v>603</v>
      </c>
    </row>
    <row r="97" spans="2:7" ht="17.25">
      <c r="B97" s="44">
        <v>45996</v>
      </c>
      <c r="C97" s="45" t="s">
        <v>222</v>
      </c>
      <c r="D97" s="45" t="s">
        <v>214</v>
      </c>
      <c r="E97" s="45" t="s">
        <v>223</v>
      </c>
      <c r="F97" s="45">
        <v>45</v>
      </c>
      <c r="G97" s="34">
        <f t="shared" si="0"/>
        <v>593</v>
      </c>
    </row>
    <row r="98" spans="2:7" ht="17.25">
      <c r="B98" s="44">
        <v>45995</v>
      </c>
      <c r="C98" s="45" t="s">
        <v>222</v>
      </c>
      <c r="D98" s="45" t="s">
        <v>214</v>
      </c>
      <c r="E98" s="45" t="s">
        <v>223</v>
      </c>
      <c r="F98" s="45">
        <v>5</v>
      </c>
      <c r="G98" s="34">
        <f t="shared" si="0"/>
        <v>548</v>
      </c>
    </row>
    <row r="99" spans="2:7" ht="17.25">
      <c r="B99" s="44">
        <v>45994</v>
      </c>
      <c r="C99" s="45" t="s">
        <v>222</v>
      </c>
      <c r="D99" s="45" t="s">
        <v>214</v>
      </c>
      <c r="E99" s="45" t="s">
        <v>223</v>
      </c>
      <c r="F99" s="45">
        <v>5</v>
      </c>
      <c r="G99" s="34">
        <f t="shared" si="0"/>
        <v>543</v>
      </c>
    </row>
    <row r="100" spans="2:7" ht="17.25">
      <c r="B100" s="44">
        <v>45990</v>
      </c>
      <c r="C100" s="45" t="s">
        <v>222</v>
      </c>
      <c r="D100" s="45" t="s">
        <v>214</v>
      </c>
      <c r="E100" s="45" t="s">
        <v>223</v>
      </c>
      <c r="F100" s="45">
        <v>5</v>
      </c>
      <c r="G100" s="34">
        <f t="shared" si="0"/>
        <v>538</v>
      </c>
    </row>
    <row r="101" spans="2:7" ht="17.25">
      <c r="B101" s="44">
        <v>45989</v>
      </c>
      <c r="C101" s="45" t="s">
        <v>222</v>
      </c>
      <c r="D101" s="45" t="s">
        <v>214</v>
      </c>
      <c r="E101" s="45" t="s">
        <v>223</v>
      </c>
      <c r="F101" s="45">
        <v>5</v>
      </c>
      <c r="G101" s="34">
        <f t="shared" si="0"/>
        <v>533</v>
      </c>
    </row>
    <row r="102" spans="2:7" ht="17.25">
      <c r="B102" s="44">
        <v>45988</v>
      </c>
      <c r="C102" s="45" t="s">
        <v>220</v>
      </c>
      <c r="D102" s="45" t="s">
        <v>220</v>
      </c>
      <c r="E102" s="45" t="s">
        <v>229</v>
      </c>
      <c r="F102" s="45">
        <v>18</v>
      </c>
      <c r="G102" s="34">
        <f t="shared" si="0"/>
        <v>528</v>
      </c>
    </row>
    <row r="103" spans="2:7" ht="17.25">
      <c r="B103" s="44">
        <v>45988</v>
      </c>
      <c r="C103" s="45" t="s">
        <v>222</v>
      </c>
      <c r="D103" s="45" t="s">
        <v>214</v>
      </c>
      <c r="E103" s="45" t="s">
        <v>223</v>
      </c>
      <c r="F103" s="45">
        <v>5</v>
      </c>
      <c r="G103" s="34">
        <f t="shared" si="0"/>
        <v>510</v>
      </c>
    </row>
    <row r="104" spans="2:7" ht="17.25">
      <c r="B104" s="44">
        <v>45987</v>
      </c>
      <c r="C104" s="45" t="s">
        <v>222</v>
      </c>
      <c r="D104" s="45" t="s">
        <v>214</v>
      </c>
      <c r="E104" s="45" t="s">
        <v>223</v>
      </c>
      <c r="F104" s="45">
        <v>5</v>
      </c>
      <c r="G104" s="34">
        <f>G105+F104</f>
        <v>505</v>
      </c>
    </row>
    <row r="105" spans="2:7" ht="17.25">
      <c r="B105" s="44">
        <v>45985</v>
      </c>
      <c r="C105" s="45" t="s">
        <v>222</v>
      </c>
      <c r="D105" s="45" t="s">
        <v>214</v>
      </c>
      <c r="E105" s="45" t="s">
        <v>223</v>
      </c>
      <c r="F105" s="45">
        <v>5</v>
      </c>
      <c r="G105" s="34">
        <f t="shared" si="0"/>
        <v>500</v>
      </c>
    </row>
    <row r="106" spans="2:7" ht="17.25">
      <c r="B106" s="44">
        <v>45983</v>
      </c>
      <c r="C106" s="45" t="s">
        <v>222</v>
      </c>
      <c r="D106" s="45" t="s">
        <v>214</v>
      </c>
      <c r="E106" s="45" t="s">
        <v>223</v>
      </c>
      <c r="F106" s="45">
        <v>5</v>
      </c>
      <c r="G106" s="34">
        <f t="shared" si="0"/>
        <v>495</v>
      </c>
    </row>
    <row r="107" spans="2:7" ht="17.25">
      <c r="B107" s="44">
        <v>45982</v>
      </c>
      <c r="C107" s="45" t="s">
        <v>224</v>
      </c>
      <c r="D107" s="45" t="s">
        <v>219</v>
      </c>
      <c r="E107" s="45" t="s">
        <v>225</v>
      </c>
      <c r="F107" s="45">
        <v>1</v>
      </c>
      <c r="G107" s="34">
        <f t="shared" si="0"/>
        <v>490</v>
      </c>
    </row>
    <row r="108" spans="2:7" ht="17.25">
      <c r="B108" s="44">
        <v>45978</v>
      </c>
      <c r="C108" s="45" t="s">
        <v>224</v>
      </c>
      <c r="D108" s="45" t="s">
        <v>217</v>
      </c>
      <c r="E108" s="45" t="s">
        <v>217</v>
      </c>
      <c r="F108" s="45">
        <v>1</v>
      </c>
      <c r="G108" s="34">
        <f t="shared" si="0"/>
        <v>489</v>
      </c>
    </row>
    <row r="109" spans="2:7" ht="17.25">
      <c r="B109" s="44">
        <v>45976</v>
      </c>
      <c r="C109" s="45" t="s">
        <v>224</v>
      </c>
      <c r="D109" s="45" t="s">
        <v>218</v>
      </c>
      <c r="E109" s="45" t="s">
        <v>226</v>
      </c>
      <c r="F109" s="45">
        <v>1</v>
      </c>
      <c r="G109" s="34">
        <f>G110+F109</f>
        <v>488</v>
      </c>
    </row>
    <row r="110" spans="2:7" ht="17.25">
      <c r="B110" s="44">
        <v>45972</v>
      </c>
      <c r="C110" s="45" t="s">
        <v>224</v>
      </c>
      <c r="D110" s="45" t="s">
        <v>216</v>
      </c>
      <c r="E110" s="45" t="s">
        <v>227</v>
      </c>
      <c r="F110" s="45">
        <v>20</v>
      </c>
      <c r="G110" s="34">
        <f t="shared" si="0"/>
        <v>487</v>
      </c>
    </row>
    <row r="111" spans="2:7" ht="17.25">
      <c r="B111" s="44">
        <v>45960</v>
      </c>
      <c r="C111" s="45" t="s">
        <v>220</v>
      </c>
      <c r="D111" s="45" t="s">
        <v>220</v>
      </c>
      <c r="E111" s="45" t="s">
        <v>230</v>
      </c>
      <c r="F111" s="45">
        <v>10</v>
      </c>
      <c r="G111" s="34">
        <f t="shared" si="0"/>
        <v>467</v>
      </c>
    </row>
    <row r="112" spans="2:7" ht="17.25">
      <c r="B112" s="44">
        <v>45956</v>
      </c>
      <c r="C112" s="45" t="s">
        <v>222</v>
      </c>
      <c r="D112" s="45" t="s">
        <v>214</v>
      </c>
      <c r="E112" s="45" t="s">
        <v>223</v>
      </c>
      <c r="F112" s="45">
        <v>5</v>
      </c>
      <c r="G112" s="34">
        <f t="shared" si="0"/>
        <v>457</v>
      </c>
    </row>
    <row r="113" spans="2:7" ht="17.25">
      <c r="B113" s="44">
        <v>45955</v>
      </c>
      <c r="C113" s="45" t="s">
        <v>222</v>
      </c>
      <c r="D113" s="45" t="s">
        <v>214</v>
      </c>
      <c r="E113" s="45" t="s">
        <v>223</v>
      </c>
      <c r="F113" s="45">
        <v>5</v>
      </c>
      <c r="G113" s="34">
        <f t="shared" si="0"/>
        <v>452</v>
      </c>
    </row>
    <row r="114" spans="2:7" ht="17.25">
      <c r="B114" s="44">
        <v>45953</v>
      </c>
      <c r="C114" s="45" t="s">
        <v>222</v>
      </c>
      <c r="D114" s="45" t="s">
        <v>214</v>
      </c>
      <c r="E114" s="45" t="s">
        <v>223</v>
      </c>
      <c r="F114" s="45">
        <v>5</v>
      </c>
      <c r="G114" s="34">
        <f t="shared" si="0"/>
        <v>447</v>
      </c>
    </row>
    <row r="115" spans="2:7" ht="17.25">
      <c r="B115" s="44">
        <v>45952</v>
      </c>
      <c r="C115" s="45" t="s">
        <v>224</v>
      </c>
      <c r="D115" s="45" t="s">
        <v>219</v>
      </c>
      <c r="E115" s="45" t="s">
        <v>225</v>
      </c>
      <c r="F115" s="45">
        <v>1</v>
      </c>
      <c r="G115" s="34">
        <f t="shared" si="0"/>
        <v>442</v>
      </c>
    </row>
    <row r="116" spans="2:7" ht="17.25">
      <c r="B116" s="44">
        <v>45951</v>
      </c>
      <c r="C116" s="45" t="s">
        <v>222</v>
      </c>
      <c r="D116" s="45" t="s">
        <v>214</v>
      </c>
      <c r="E116" s="45" t="s">
        <v>223</v>
      </c>
      <c r="F116" s="45">
        <v>10</v>
      </c>
      <c r="G116" s="34">
        <f t="shared" si="0"/>
        <v>441</v>
      </c>
    </row>
    <row r="117" spans="2:7" ht="17.25">
      <c r="B117" s="44">
        <v>45947</v>
      </c>
      <c r="C117" s="45" t="s">
        <v>224</v>
      </c>
      <c r="D117" s="45" t="s">
        <v>217</v>
      </c>
      <c r="E117" s="45" t="s">
        <v>217</v>
      </c>
      <c r="F117" s="45">
        <v>1</v>
      </c>
      <c r="G117" s="34">
        <f t="shared" si="0"/>
        <v>431</v>
      </c>
    </row>
    <row r="118" spans="2:7" ht="17.25">
      <c r="B118" s="44">
        <v>45945</v>
      </c>
      <c r="C118" s="45" t="s">
        <v>224</v>
      </c>
      <c r="D118" s="45" t="s">
        <v>218</v>
      </c>
      <c r="E118" s="45" t="s">
        <v>226</v>
      </c>
      <c r="F118" s="45">
        <v>1</v>
      </c>
      <c r="G118" s="34">
        <f t="shared" si="0"/>
        <v>430</v>
      </c>
    </row>
    <row r="119" spans="2:7" ht="17.25">
      <c r="B119" s="44">
        <v>45943</v>
      </c>
      <c r="C119" s="45" t="s">
        <v>222</v>
      </c>
      <c r="D119" s="45" t="s">
        <v>214</v>
      </c>
      <c r="E119" s="45" t="s">
        <v>223</v>
      </c>
      <c r="F119" s="45">
        <v>5</v>
      </c>
      <c r="G119" s="34">
        <f t="shared" si="0"/>
        <v>429</v>
      </c>
    </row>
    <row r="120" spans="2:7" ht="17.25">
      <c r="B120" s="44">
        <v>45941</v>
      </c>
      <c r="C120" s="45" t="s">
        <v>224</v>
      </c>
      <c r="D120" s="45" t="s">
        <v>216</v>
      </c>
      <c r="E120" s="45" t="s">
        <v>227</v>
      </c>
      <c r="F120" s="45">
        <v>15</v>
      </c>
      <c r="G120" s="34">
        <f t="shared" si="0"/>
        <v>424</v>
      </c>
    </row>
    <row r="121" spans="2:7" ht="17.25">
      <c r="B121" s="44">
        <v>45941</v>
      </c>
      <c r="C121" s="45" t="s">
        <v>222</v>
      </c>
      <c r="D121" s="45" t="s">
        <v>214</v>
      </c>
      <c r="E121" s="45" t="s">
        <v>223</v>
      </c>
      <c r="F121" s="45">
        <v>5</v>
      </c>
      <c r="G121" s="34">
        <f t="shared" si="0"/>
        <v>409</v>
      </c>
    </row>
    <row r="122" spans="2:7" ht="17.25">
      <c r="B122" s="44">
        <v>45937</v>
      </c>
      <c r="C122" s="45" t="s">
        <v>222</v>
      </c>
      <c r="D122" s="45" t="s">
        <v>214</v>
      </c>
      <c r="E122" s="45" t="s">
        <v>223</v>
      </c>
      <c r="F122" s="45">
        <v>35</v>
      </c>
      <c r="G122" s="34">
        <f t="shared" si="0"/>
        <v>404</v>
      </c>
    </row>
    <row r="123" spans="2:7" ht="17.25">
      <c r="B123" s="44">
        <v>45936</v>
      </c>
      <c r="C123" s="45" t="s">
        <v>222</v>
      </c>
      <c r="D123" s="45" t="s">
        <v>214</v>
      </c>
      <c r="E123" s="45" t="s">
        <v>223</v>
      </c>
      <c r="F123" s="45">
        <v>5</v>
      </c>
      <c r="G123" s="34">
        <f t="shared" si="0"/>
        <v>369</v>
      </c>
    </row>
    <row r="124" spans="2:7" ht="17.25">
      <c r="B124" s="44">
        <v>45934</v>
      </c>
      <c r="C124" s="45" t="s">
        <v>222</v>
      </c>
      <c r="D124" s="45" t="s">
        <v>214</v>
      </c>
      <c r="E124" s="45" t="s">
        <v>223</v>
      </c>
      <c r="F124" s="45">
        <v>5</v>
      </c>
      <c r="G124" s="34">
        <f t="shared" si="0"/>
        <v>364</v>
      </c>
    </row>
    <row r="125" spans="2:7" ht="17.25">
      <c r="B125" s="44">
        <v>45930</v>
      </c>
      <c r="C125" s="45" t="s">
        <v>222</v>
      </c>
      <c r="D125" s="45" t="s">
        <v>214</v>
      </c>
      <c r="E125" s="45" t="s">
        <v>223</v>
      </c>
      <c r="F125" s="45">
        <v>45</v>
      </c>
      <c r="G125" s="34">
        <f t="shared" si="0"/>
        <v>359</v>
      </c>
    </row>
    <row r="126" spans="2:7" ht="17.25">
      <c r="B126" s="44">
        <v>45929</v>
      </c>
      <c r="C126" s="45" t="s">
        <v>222</v>
      </c>
      <c r="D126" s="45" t="s">
        <v>214</v>
      </c>
      <c r="E126" s="45" t="s">
        <v>223</v>
      </c>
      <c r="F126" s="45">
        <v>45</v>
      </c>
      <c r="G126" s="34">
        <f t="shared" si="0"/>
        <v>314</v>
      </c>
    </row>
    <row r="127" spans="2:7" ht="17.25">
      <c r="B127" s="44">
        <v>45928</v>
      </c>
      <c r="C127" s="45" t="s">
        <v>222</v>
      </c>
      <c r="D127" s="45" t="s">
        <v>214</v>
      </c>
      <c r="E127" s="45" t="s">
        <v>223</v>
      </c>
      <c r="F127" s="45">
        <v>35</v>
      </c>
      <c r="G127" s="34">
        <f t="shared" si="0"/>
        <v>269</v>
      </c>
    </row>
    <row r="128" spans="2:7" ht="17.25">
      <c r="B128" s="44">
        <v>45919</v>
      </c>
      <c r="C128" s="45" t="s">
        <v>222</v>
      </c>
      <c r="D128" s="45" t="s">
        <v>214</v>
      </c>
      <c r="E128" s="45" t="s">
        <v>223</v>
      </c>
      <c r="F128" s="45">
        <v>5</v>
      </c>
      <c r="G128" s="34">
        <f t="shared" si="0"/>
        <v>234</v>
      </c>
    </row>
    <row r="129" spans="2:7" ht="17.25">
      <c r="B129" s="44">
        <v>45917</v>
      </c>
      <c r="C129" s="45" t="s">
        <v>222</v>
      </c>
      <c r="D129" s="45" t="s">
        <v>214</v>
      </c>
      <c r="E129" s="45" t="s">
        <v>223</v>
      </c>
      <c r="F129" s="45">
        <v>5</v>
      </c>
      <c r="G129" s="34">
        <f t="shared" si="0"/>
        <v>229</v>
      </c>
    </row>
    <row r="130" spans="2:7" ht="17.25">
      <c r="B130" s="44">
        <v>45916</v>
      </c>
      <c r="C130" s="45" t="s">
        <v>224</v>
      </c>
      <c r="D130" s="45" t="s">
        <v>217</v>
      </c>
      <c r="E130" s="45" t="s">
        <v>217</v>
      </c>
      <c r="F130" s="45">
        <v>1</v>
      </c>
      <c r="G130" s="34">
        <f t="shared" si="0"/>
        <v>224</v>
      </c>
    </row>
    <row r="131" spans="2:7" ht="17.25">
      <c r="B131" s="44">
        <v>45915</v>
      </c>
      <c r="C131" s="45" t="s">
        <v>224</v>
      </c>
      <c r="D131" s="45" t="s">
        <v>218</v>
      </c>
      <c r="E131" s="45" t="s">
        <v>226</v>
      </c>
      <c r="F131" s="45">
        <v>1</v>
      </c>
      <c r="G131" s="34">
        <f t="shared" si="0"/>
        <v>223</v>
      </c>
    </row>
    <row r="132" spans="2:7" ht="17.25">
      <c r="B132" s="44">
        <v>45911</v>
      </c>
      <c r="C132" s="45" t="s">
        <v>224</v>
      </c>
      <c r="D132" s="45" t="s">
        <v>216</v>
      </c>
      <c r="E132" s="45" t="s">
        <v>227</v>
      </c>
      <c r="F132" s="45">
        <v>5</v>
      </c>
      <c r="G132" s="34">
        <f t="shared" si="0"/>
        <v>222</v>
      </c>
    </row>
    <row r="133" spans="2:7" ht="17.25">
      <c r="B133" s="44">
        <v>45905</v>
      </c>
      <c r="C133" s="45" t="s">
        <v>222</v>
      </c>
      <c r="D133" s="45" t="s">
        <v>214</v>
      </c>
      <c r="E133" s="45" t="s">
        <v>223</v>
      </c>
      <c r="F133" s="45">
        <v>5</v>
      </c>
      <c r="G133" s="34">
        <f t="shared" si="0"/>
        <v>217</v>
      </c>
    </row>
    <row r="134" spans="2:7" ht="17.25">
      <c r="B134" s="44">
        <v>45903</v>
      </c>
      <c r="C134" s="45" t="s">
        <v>222</v>
      </c>
      <c r="D134" s="45" t="s">
        <v>214</v>
      </c>
      <c r="E134" s="45" t="s">
        <v>223</v>
      </c>
      <c r="F134" s="45">
        <v>5</v>
      </c>
      <c r="G134" s="34">
        <f t="shared" si="0"/>
        <v>212</v>
      </c>
    </row>
    <row r="135" spans="2:7" ht="17.25">
      <c r="B135" s="44">
        <v>45893</v>
      </c>
      <c r="C135" s="45" t="s">
        <v>222</v>
      </c>
      <c r="D135" s="45" t="s">
        <v>214</v>
      </c>
      <c r="E135" s="45" t="s">
        <v>223</v>
      </c>
      <c r="F135" s="45">
        <v>5</v>
      </c>
      <c r="G135" s="34">
        <f t="shared" si="0"/>
        <v>207</v>
      </c>
    </row>
    <row r="136" spans="2:7" ht="17.25">
      <c r="B136" s="44">
        <v>45892</v>
      </c>
      <c r="C136" s="45" t="s">
        <v>222</v>
      </c>
      <c r="D136" s="45" t="s">
        <v>214</v>
      </c>
      <c r="E136" s="45" t="s">
        <v>223</v>
      </c>
      <c r="F136" s="45">
        <v>5</v>
      </c>
      <c r="G136" s="34">
        <f t="shared" si="0"/>
        <v>202</v>
      </c>
    </row>
    <row r="137" spans="2:7" ht="17.25">
      <c r="B137" s="44">
        <v>45888</v>
      </c>
      <c r="C137" s="45" t="s">
        <v>224</v>
      </c>
      <c r="D137" s="45" t="s">
        <v>217</v>
      </c>
      <c r="E137" s="45" t="s">
        <v>217</v>
      </c>
      <c r="F137" s="45">
        <v>1</v>
      </c>
      <c r="G137" s="34">
        <f t="shared" si="0"/>
        <v>197</v>
      </c>
    </row>
    <row r="138" spans="2:7" ht="17.25">
      <c r="B138" s="44">
        <v>45884</v>
      </c>
      <c r="C138" s="45" t="s">
        <v>224</v>
      </c>
      <c r="D138" s="45" t="s">
        <v>218</v>
      </c>
      <c r="E138" s="45" t="s">
        <v>226</v>
      </c>
      <c r="F138" s="45">
        <v>1</v>
      </c>
      <c r="G138" s="34">
        <f t="shared" si="0"/>
        <v>196</v>
      </c>
    </row>
    <row r="139" spans="2:7" ht="17.25">
      <c r="B139" s="44">
        <v>45877</v>
      </c>
      <c r="C139" s="45" t="s">
        <v>222</v>
      </c>
      <c r="D139" s="45" t="s">
        <v>214</v>
      </c>
      <c r="E139" s="45" t="s">
        <v>223</v>
      </c>
      <c r="F139" s="45">
        <v>10</v>
      </c>
      <c r="G139" s="34">
        <f t="shared" si="0"/>
        <v>195</v>
      </c>
    </row>
    <row r="140" spans="2:7" ht="16.5">
      <c r="B140" s="46">
        <v>45874</v>
      </c>
      <c r="C140" s="33" t="s">
        <v>222</v>
      </c>
      <c r="D140" s="33" t="s">
        <v>214</v>
      </c>
      <c r="E140" s="33" t="s">
        <v>223</v>
      </c>
      <c r="F140" s="33">
        <v>5</v>
      </c>
      <c r="G140" s="34">
        <f t="shared" si="0"/>
        <v>185</v>
      </c>
    </row>
    <row r="141" spans="2:7" ht="16.5">
      <c r="B141" s="46">
        <v>45873</v>
      </c>
      <c r="C141" s="33" t="s">
        <v>222</v>
      </c>
      <c r="D141" s="33" t="s">
        <v>214</v>
      </c>
      <c r="E141" s="33" t="s">
        <v>223</v>
      </c>
      <c r="F141" s="33">
        <v>5</v>
      </c>
      <c r="G141" s="34">
        <f t="shared" si="0"/>
        <v>180</v>
      </c>
    </row>
    <row r="142" spans="2:7" ht="16.5">
      <c r="B142" s="46">
        <v>45867</v>
      </c>
      <c r="C142" s="33" t="s">
        <v>222</v>
      </c>
      <c r="D142" s="33" t="s">
        <v>214</v>
      </c>
      <c r="E142" s="33" t="s">
        <v>223</v>
      </c>
      <c r="F142" s="33">
        <v>5</v>
      </c>
      <c r="G142" s="34">
        <f t="shared" si="0"/>
        <v>175</v>
      </c>
    </row>
    <row r="143" spans="2:7" ht="16.5">
      <c r="B143" s="46">
        <v>45862</v>
      </c>
      <c r="C143" s="33" t="s">
        <v>222</v>
      </c>
      <c r="D143" s="33" t="s">
        <v>214</v>
      </c>
      <c r="E143" s="33" t="s">
        <v>223</v>
      </c>
      <c r="F143" s="33">
        <v>5</v>
      </c>
      <c r="G143" s="34">
        <f t="shared" si="0"/>
        <v>170</v>
      </c>
    </row>
    <row r="144" spans="2:7" ht="16.5">
      <c r="B144" s="46">
        <v>45838</v>
      </c>
      <c r="C144" s="33" t="s">
        <v>222</v>
      </c>
      <c r="D144" s="33" t="s">
        <v>214</v>
      </c>
      <c r="E144" s="33" t="s">
        <v>223</v>
      </c>
      <c r="F144" s="33">
        <v>5</v>
      </c>
      <c r="G144" s="34">
        <f t="shared" si="0"/>
        <v>165</v>
      </c>
    </row>
    <row r="145" spans="2:7" ht="16.5">
      <c r="B145" s="46">
        <v>45836</v>
      </c>
      <c r="C145" s="33" t="s">
        <v>222</v>
      </c>
      <c r="D145" s="33" t="s">
        <v>214</v>
      </c>
      <c r="E145" s="33" t="s">
        <v>223</v>
      </c>
      <c r="F145" s="33">
        <v>5</v>
      </c>
      <c r="G145" s="34">
        <f t="shared" si="0"/>
        <v>160</v>
      </c>
    </row>
    <row r="146" spans="2:7" ht="16.5">
      <c r="B146" s="46">
        <v>45789</v>
      </c>
      <c r="C146" s="33" t="s">
        <v>222</v>
      </c>
      <c r="D146" s="33" t="s">
        <v>214</v>
      </c>
      <c r="E146" s="33" t="s">
        <v>223</v>
      </c>
      <c r="F146" s="33">
        <v>5</v>
      </c>
      <c r="G146" s="34">
        <f t="shared" si="0"/>
        <v>155</v>
      </c>
    </row>
    <row r="147" spans="2:7" ht="16.5">
      <c r="B147" s="46">
        <v>45786</v>
      </c>
      <c r="C147" s="33" t="s">
        <v>222</v>
      </c>
      <c r="D147" s="33" t="s">
        <v>214</v>
      </c>
      <c r="E147" s="33" t="s">
        <v>223</v>
      </c>
      <c r="F147" s="33">
        <v>5</v>
      </c>
      <c r="G147" s="34">
        <f t="shared" si="0"/>
        <v>150</v>
      </c>
    </row>
    <row r="148" spans="2:7" ht="16.5">
      <c r="B148" s="46">
        <v>45729</v>
      </c>
      <c r="C148" s="33" t="s">
        <v>222</v>
      </c>
      <c r="D148" s="33" t="s">
        <v>214</v>
      </c>
      <c r="E148" s="33" t="s">
        <v>223</v>
      </c>
      <c r="F148" s="33">
        <v>10</v>
      </c>
      <c r="G148" s="34">
        <f t="shared" si="0"/>
        <v>145</v>
      </c>
    </row>
    <row r="149" spans="2:7" ht="16.5">
      <c r="B149" s="46">
        <v>45684</v>
      </c>
      <c r="C149" s="33" t="s">
        <v>222</v>
      </c>
      <c r="D149" s="33" t="s">
        <v>214</v>
      </c>
      <c r="E149" s="33" t="s">
        <v>223</v>
      </c>
      <c r="F149" s="33">
        <v>5</v>
      </c>
      <c r="G149" s="34">
        <f t="shared" si="0"/>
        <v>135</v>
      </c>
    </row>
    <row r="150" spans="2:7" ht="16.5">
      <c r="B150" s="46">
        <v>45682</v>
      </c>
      <c r="C150" s="33" t="s">
        <v>222</v>
      </c>
      <c r="D150" s="33" t="s">
        <v>214</v>
      </c>
      <c r="E150" s="33" t="s">
        <v>223</v>
      </c>
      <c r="F150" s="33">
        <v>5</v>
      </c>
      <c r="G150" s="34">
        <f>G151+F150</f>
        <v>130</v>
      </c>
    </row>
    <row r="151" spans="2:7" ht="16.5">
      <c r="B151" s="46">
        <v>45652</v>
      </c>
      <c r="C151" s="33" t="s">
        <v>222</v>
      </c>
      <c r="D151" s="33" t="s">
        <v>214</v>
      </c>
      <c r="E151" s="33" t="s">
        <v>223</v>
      </c>
      <c r="F151" s="33">
        <v>5</v>
      </c>
      <c r="G151" s="34">
        <f t="shared" si="0"/>
        <v>125</v>
      </c>
    </row>
    <row r="152" spans="2:7" ht="16.5">
      <c r="B152" s="46">
        <v>45649</v>
      </c>
      <c r="C152" s="33" t="s">
        <v>222</v>
      </c>
      <c r="D152" s="33" t="s">
        <v>214</v>
      </c>
      <c r="E152" s="33" t="s">
        <v>223</v>
      </c>
      <c r="F152" s="33">
        <v>5</v>
      </c>
      <c r="G152" s="34">
        <f t="shared" si="0"/>
        <v>120</v>
      </c>
    </row>
    <row r="153" spans="2:7" ht="16.5">
      <c r="B153" s="46">
        <v>45648</v>
      </c>
      <c r="C153" s="33" t="s">
        <v>222</v>
      </c>
      <c r="D153" s="33" t="s">
        <v>214</v>
      </c>
      <c r="E153" s="33" t="s">
        <v>223</v>
      </c>
      <c r="F153" s="33">
        <v>5</v>
      </c>
      <c r="G153" s="34">
        <f t="shared" si="0"/>
        <v>115</v>
      </c>
    </row>
    <row r="154" spans="2:7" ht="16.5">
      <c r="B154" s="46">
        <v>45614</v>
      </c>
      <c r="C154" s="33" t="s">
        <v>222</v>
      </c>
      <c r="D154" s="33" t="s">
        <v>214</v>
      </c>
      <c r="E154" s="33" t="s">
        <v>223</v>
      </c>
      <c r="F154" s="33">
        <v>5</v>
      </c>
      <c r="G154" s="34">
        <f t="shared" si="0"/>
        <v>110</v>
      </c>
    </row>
    <row r="155" spans="2:7" ht="16.5">
      <c r="B155" s="46">
        <v>45613</v>
      </c>
      <c r="C155" s="33" t="s">
        <v>222</v>
      </c>
      <c r="D155" s="33" t="s">
        <v>214</v>
      </c>
      <c r="E155" s="33" t="s">
        <v>223</v>
      </c>
      <c r="F155" s="33">
        <v>5</v>
      </c>
      <c r="G155" s="34">
        <f t="shared" si="0"/>
        <v>105</v>
      </c>
    </row>
    <row r="156" spans="2:7" ht="16.5">
      <c r="B156" s="46">
        <v>45592</v>
      </c>
      <c r="C156" s="33" t="s">
        <v>222</v>
      </c>
      <c r="D156" s="33" t="s">
        <v>214</v>
      </c>
      <c r="E156" s="33" t="s">
        <v>223</v>
      </c>
      <c r="F156" s="33">
        <v>5</v>
      </c>
      <c r="G156" s="34">
        <f t="shared" si="0"/>
        <v>100</v>
      </c>
    </row>
    <row r="157" spans="2:7" ht="16.5">
      <c r="B157" s="46">
        <v>45591</v>
      </c>
      <c r="C157" s="33" t="s">
        <v>222</v>
      </c>
      <c r="D157" s="33" t="s">
        <v>214</v>
      </c>
      <c r="E157" s="33" t="s">
        <v>223</v>
      </c>
      <c r="F157" s="33">
        <v>5</v>
      </c>
      <c r="G157" s="34">
        <f t="shared" si="0"/>
        <v>95</v>
      </c>
    </row>
    <row r="158" spans="2:7" ht="16.5">
      <c r="B158" s="46">
        <v>45514</v>
      </c>
      <c r="C158" s="33" t="s">
        <v>222</v>
      </c>
      <c r="D158" s="33" t="s">
        <v>214</v>
      </c>
      <c r="E158" s="33" t="s">
        <v>223</v>
      </c>
      <c r="F158" s="33">
        <v>5</v>
      </c>
      <c r="G158" s="34">
        <f t="shared" si="0"/>
        <v>90</v>
      </c>
    </row>
    <row r="159" spans="2:7" ht="16.5">
      <c r="B159" s="46">
        <v>45513</v>
      </c>
      <c r="C159" s="33" t="s">
        <v>222</v>
      </c>
      <c r="D159" s="33" t="s">
        <v>214</v>
      </c>
      <c r="E159" s="33" t="s">
        <v>223</v>
      </c>
      <c r="F159" s="33">
        <v>5</v>
      </c>
      <c r="G159" s="34">
        <f t="shared" si="0"/>
        <v>85</v>
      </c>
    </row>
    <row r="160" spans="2:7" ht="16.5">
      <c r="B160" s="46">
        <v>45335</v>
      </c>
      <c r="C160" s="33" t="s">
        <v>222</v>
      </c>
      <c r="D160" s="33" t="s">
        <v>231</v>
      </c>
      <c r="E160" s="33" t="s">
        <v>232</v>
      </c>
      <c r="F160" s="33">
        <v>20</v>
      </c>
      <c r="G160" s="34">
        <f t="shared" si="0"/>
        <v>80</v>
      </c>
    </row>
    <row r="161" spans="2:7" ht="16.5">
      <c r="B161" s="46">
        <v>45334</v>
      </c>
      <c r="C161" s="33" t="s">
        <v>222</v>
      </c>
      <c r="D161" s="33" t="s">
        <v>231</v>
      </c>
      <c r="E161" s="33" t="s">
        <v>232</v>
      </c>
      <c r="F161" s="33">
        <v>20</v>
      </c>
      <c r="G161" s="34">
        <f t="shared" si="0"/>
        <v>60</v>
      </c>
    </row>
    <row r="162" spans="2:7" ht="16.5">
      <c r="B162" s="46">
        <v>45291</v>
      </c>
      <c r="C162" s="33" t="s">
        <v>222</v>
      </c>
      <c r="D162" s="33" t="s">
        <v>231</v>
      </c>
      <c r="E162" s="33" t="s">
        <v>232</v>
      </c>
      <c r="F162" s="33">
        <v>30</v>
      </c>
      <c r="G162" s="34">
        <f>G163+F162</f>
        <v>40</v>
      </c>
    </row>
    <row r="163" spans="2:7" ht="16.5">
      <c r="B163" s="67">
        <v>45291</v>
      </c>
      <c r="C163" s="68" t="s">
        <v>222</v>
      </c>
      <c r="D163" s="68" t="s">
        <v>214</v>
      </c>
      <c r="E163" s="68" t="s">
        <v>223</v>
      </c>
      <c r="F163" s="68">
        <v>10</v>
      </c>
      <c r="G163" s="69">
        <f>F163</f>
        <v>10</v>
      </c>
    </row>
    <row r="164" spans="2:7" ht="15.75">
      <c r="B164" s="35"/>
      <c r="C164" s="32"/>
      <c r="D164" s="32"/>
      <c r="E164" s="32"/>
      <c r="F164" s="45"/>
      <c r="G164" s="34"/>
    </row>
    <row r="165" spans="2:7" ht="15.75">
      <c r="B165" s="35"/>
      <c r="C165" s="32"/>
      <c r="D165" s="32"/>
      <c r="E165" s="32"/>
      <c r="F165" s="32"/>
      <c r="G165" s="34"/>
    </row>
    <row r="166" spans="2:7">
      <c r="B166" s="34"/>
      <c r="C166" s="34"/>
      <c r="D166" s="34"/>
      <c r="E166" s="34"/>
      <c r="F166" s="34"/>
      <c r="G166" s="34"/>
    </row>
    <row r="167" spans="2:7">
      <c r="B167" s="34"/>
      <c r="C167" s="34"/>
      <c r="D167" s="34"/>
      <c r="E167" s="34"/>
      <c r="F167" s="34"/>
      <c r="G167" s="34"/>
    </row>
    <row r="168" spans="2:7">
      <c r="B168" s="34"/>
      <c r="C168" s="34"/>
      <c r="D168" s="34"/>
      <c r="E168" s="34"/>
      <c r="F168" s="34"/>
      <c r="G168" s="34"/>
    </row>
    <row r="169" spans="2:7">
      <c r="B169" s="34"/>
      <c r="C169" s="34"/>
      <c r="D169" s="34"/>
      <c r="E169" s="34"/>
      <c r="F169" s="34"/>
      <c r="G169" s="34"/>
    </row>
    <row r="170" spans="2:7">
      <c r="B170" s="34"/>
      <c r="C170" s="34"/>
      <c r="D170" s="34"/>
      <c r="E170" s="34"/>
      <c r="F170" s="34"/>
      <c r="G170" s="34"/>
    </row>
    <row r="171" spans="2:7">
      <c r="B171" s="34"/>
      <c r="C171" s="34"/>
      <c r="D171" s="34"/>
      <c r="E171" s="34"/>
      <c r="F171" s="34"/>
      <c r="G171" s="34"/>
    </row>
    <row r="172" spans="2:7">
      <c r="B172" s="34"/>
      <c r="C172" s="34"/>
      <c r="D172" s="34"/>
      <c r="E172" s="34"/>
      <c r="F172" s="34"/>
      <c r="G172" s="34"/>
    </row>
    <row r="173" spans="2:7">
      <c r="B173" s="34"/>
      <c r="C173" s="34"/>
      <c r="D173" s="34"/>
      <c r="E173" s="34"/>
      <c r="F173" s="34"/>
      <c r="G173" s="34"/>
    </row>
    <row r="174" spans="2:7">
      <c r="B174" s="34"/>
      <c r="C174" s="34"/>
      <c r="D174" s="34"/>
      <c r="E174" s="34"/>
      <c r="F174" s="34"/>
      <c r="G174" s="34"/>
    </row>
    <row r="175" spans="2:7">
      <c r="B175" s="34"/>
      <c r="C175" s="34"/>
      <c r="D175" s="34"/>
      <c r="E175" s="34"/>
      <c r="F175" s="34"/>
      <c r="G175" s="34"/>
    </row>
    <row r="176" spans="2:7">
      <c r="B176" s="34"/>
      <c r="C176" s="34"/>
      <c r="D176" s="34"/>
      <c r="E176" s="34"/>
      <c r="F176" s="34"/>
      <c r="G176" s="34"/>
    </row>
    <row r="177" spans="2:7">
      <c r="B177" s="34"/>
      <c r="C177" s="34"/>
      <c r="D177" s="34"/>
      <c r="E177" s="34"/>
      <c r="F177" s="34"/>
      <c r="G177" s="34"/>
    </row>
    <row r="178" spans="2:7">
      <c r="B178" s="34"/>
      <c r="C178" s="34"/>
      <c r="D178" s="34"/>
      <c r="E178" s="34"/>
      <c r="F178" s="34"/>
      <c r="G178" s="34"/>
    </row>
    <row r="179" spans="2:7">
      <c r="B179" s="34"/>
      <c r="C179" s="34"/>
      <c r="D179" s="34"/>
      <c r="E179" s="34"/>
      <c r="F179" s="34"/>
      <c r="G179" s="34"/>
    </row>
    <row r="180" spans="2:7">
      <c r="B180" s="34"/>
      <c r="C180" s="34"/>
      <c r="D180" s="34"/>
      <c r="E180" s="34"/>
      <c r="F180" s="34"/>
      <c r="G180" s="34"/>
    </row>
    <row r="181" spans="2:7">
      <c r="B181" s="34"/>
      <c r="C181" s="34"/>
      <c r="D181" s="34"/>
      <c r="E181" s="34"/>
      <c r="F181" s="34"/>
      <c r="G181" s="34"/>
    </row>
    <row r="182" spans="2:7">
      <c r="B182" s="34"/>
      <c r="C182" s="34"/>
      <c r="D182" s="34"/>
      <c r="E182" s="34"/>
      <c r="F182" s="34"/>
      <c r="G182" s="34"/>
    </row>
    <row r="183" spans="2:7">
      <c r="B183" s="34"/>
      <c r="C183" s="34"/>
      <c r="D183" s="34"/>
      <c r="E183" s="34"/>
      <c r="F183" s="34"/>
      <c r="G183" s="34"/>
    </row>
  </sheetData>
  <autoFilter ref="B2:G165" xr:uid="{FF582C36-6AED-433D-BA75-169649376AF6}">
    <sortState xmlns:xlrd2="http://schemas.microsoft.com/office/spreadsheetml/2017/richdata2" ref="B3:G165">
      <sortCondition ref="G2:G165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tabSelected="1" topLeftCell="A167" workbookViewId="0">
      <selection activeCell="E185" sqref="E185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233</v>
      </c>
      <c r="B1" s="17" t="s">
        <v>0</v>
      </c>
      <c r="C1" s="17" t="s">
        <v>234</v>
      </c>
      <c r="D1" s="17" t="s">
        <v>235</v>
      </c>
      <c r="E1" s="17" t="s">
        <v>236</v>
      </c>
      <c r="F1" s="17" t="s">
        <v>237</v>
      </c>
      <c r="G1" s="17" t="s">
        <v>238</v>
      </c>
      <c r="H1" s="17" t="s">
        <v>239</v>
      </c>
      <c r="I1" s="18" t="s">
        <v>240</v>
      </c>
      <c r="J1" s="18" t="s">
        <v>241</v>
      </c>
      <c r="K1" s="18" t="s">
        <v>242</v>
      </c>
      <c r="L1" s="18" t="s">
        <v>243</v>
      </c>
      <c r="M1" s="17" t="s">
        <v>244</v>
      </c>
    </row>
    <row r="2" spans="1:13">
      <c r="A2" s="14">
        <v>1</v>
      </c>
      <c r="B2" s="43">
        <v>45926</v>
      </c>
      <c r="C2" s="12" t="s">
        <v>245</v>
      </c>
      <c r="D2" s="12">
        <v>305</v>
      </c>
      <c r="E2" s="12" t="s">
        <v>246</v>
      </c>
      <c r="F2" s="13">
        <v>0.30208333333333331</v>
      </c>
      <c r="G2" s="12" t="s">
        <v>247</v>
      </c>
      <c r="H2" s="13">
        <v>0.375</v>
      </c>
      <c r="I2" s="15" t="s">
        <v>248</v>
      </c>
      <c r="J2" s="15"/>
      <c r="K2" s="22">
        <v>13320</v>
      </c>
      <c r="L2" s="15" t="s">
        <v>249</v>
      </c>
      <c r="M2" s="63"/>
    </row>
    <row r="3" spans="1:13">
      <c r="A3" s="14">
        <v>2</v>
      </c>
      <c r="B3" s="42">
        <v>45926</v>
      </c>
      <c r="C3" s="12" t="s">
        <v>250</v>
      </c>
      <c r="D3" s="12">
        <v>3563</v>
      </c>
      <c r="E3" s="12" t="s">
        <v>247</v>
      </c>
      <c r="F3" s="13">
        <v>0.41319444444444442</v>
      </c>
      <c r="G3" s="12" t="s">
        <v>251</v>
      </c>
      <c r="H3" s="13">
        <v>0.4548611111111111</v>
      </c>
      <c r="I3" s="15" t="s">
        <v>252</v>
      </c>
      <c r="J3" s="15"/>
      <c r="K3" s="22">
        <v>12963</v>
      </c>
      <c r="L3" s="15" t="s">
        <v>249</v>
      </c>
      <c r="M3" s="15"/>
    </row>
    <row r="4" spans="1:13">
      <c r="A4" s="14">
        <v>3</v>
      </c>
      <c r="B4" s="42">
        <v>45926</v>
      </c>
      <c r="C4" s="12" t="s">
        <v>250</v>
      </c>
      <c r="D4" s="12">
        <v>3564</v>
      </c>
      <c r="E4" s="12" t="s">
        <v>251</v>
      </c>
      <c r="F4" s="13">
        <v>0.47916666666666669</v>
      </c>
      <c r="G4" s="12" t="s">
        <v>247</v>
      </c>
      <c r="H4" s="13">
        <v>0.52430555555555558</v>
      </c>
      <c r="I4" s="15" t="s">
        <v>253</v>
      </c>
      <c r="J4" s="15"/>
      <c r="K4" s="22">
        <v>12963</v>
      </c>
      <c r="L4" s="15" t="s">
        <v>249</v>
      </c>
      <c r="M4" s="15"/>
    </row>
    <row r="5" spans="1:13">
      <c r="A5" s="14">
        <v>4</v>
      </c>
      <c r="B5" s="42">
        <v>45926</v>
      </c>
      <c r="C5" s="12" t="s">
        <v>250</v>
      </c>
      <c r="D5" s="12">
        <v>3629</v>
      </c>
      <c r="E5" s="12" t="s">
        <v>247</v>
      </c>
      <c r="F5" s="13">
        <v>0.54861111111111116</v>
      </c>
      <c r="G5" s="12" t="s">
        <v>254</v>
      </c>
      <c r="H5" s="13">
        <v>0.57986111111111116</v>
      </c>
      <c r="I5" s="15" t="s">
        <v>253</v>
      </c>
      <c r="J5" s="15"/>
      <c r="K5" s="22">
        <v>6171</v>
      </c>
      <c r="L5" s="15" t="s">
        <v>249</v>
      </c>
      <c r="M5" s="15"/>
    </row>
    <row r="6" spans="1:13">
      <c r="A6" s="14">
        <v>5</v>
      </c>
      <c r="B6" s="42">
        <v>45926</v>
      </c>
      <c r="C6" s="12" t="s">
        <v>250</v>
      </c>
      <c r="D6" s="12">
        <v>3630</v>
      </c>
      <c r="E6" s="12" t="s">
        <v>254</v>
      </c>
      <c r="F6" s="13">
        <v>0.60069444444444442</v>
      </c>
      <c r="G6" s="12" t="s">
        <v>247</v>
      </c>
      <c r="H6" s="13">
        <v>0.63541666666666663</v>
      </c>
      <c r="I6" s="15" t="s">
        <v>255</v>
      </c>
      <c r="J6" s="15"/>
      <c r="K6" s="22">
        <v>9410</v>
      </c>
      <c r="L6" s="15" t="s">
        <v>249</v>
      </c>
      <c r="M6" s="15"/>
    </row>
    <row r="7" spans="1:13">
      <c r="A7" s="14">
        <v>6</v>
      </c>
      <c r="B7" s="42">
        <v>45926</v>
      </c>
      <c r="C7" s="12" t="s">
        <v>256</v>
      </c>
      <c r="D7" s="23">
        <v>61</v>
      </c>
      <c r="E7" s="12" t="s">
        <v>247</v>
      </c>
      <c r="F7" s="13">
        <v>0.66319444444444442</v>
      </c>
      <c r="G7" s="12" t="s">
        <v>257</v>
      </c>
      <c r="H7" s="13">
        <v>0.73263888888888884</v>
      </c>
      <c r="I7" s="15" t="s">
        <v>258</v>
      </c>
      <c r="J7" s="15"/>
      <c r="K7" s="22">
        <v>10591</v>
      </c>
      <c r="L7" s="15" t="s">
        <v>249</v>
      </c>
      <c r="M7" s="15"/>
    </row>
    <row r="8" spans="1:13">
      <c r="A8" s="14">
        <v>7</v>
      </c>
      <c r="B8" s="42">
        <v>45926</v>
      </c>
      <c r="C8" s="12" t="s">
        <v>256</v>
      </c>
      <c r="D8" s="23">
        <v>60</v>
      </c>
      <c r="E8" s="12" t="s">
        <v>257</v>
      </c>
      <c r="F8" s="13">
        <v>0.76736111111111116</v>
      </c>
      <c r="G8" s="12" t="s">
        <v>247</v>
      </c>
      <c r="H8" s="13">
        <v>0.84027777777777779</v>
      </c>
      <c r="I8" s="15" t="s">
        <v>259</v>
      </c>
      <c r="J8" s="15"/>
      <c r="K8" s="22">
        <v>16965</v>
      </c>
      <c r="L8" s="15" t="s">
        <v>249</v>
      </c>
      <c r="M8" s="15"/>
    </row>
    <row r="9" spans="1:13">
      <c r="A9" s="14">
        <v>8</v>
      </c>
      <c r="B9" s="42">
        <v>45927</v>
      </c>
      <c r="C9" s="12" t="s">
        <v>256</v>
      </c>
      <c r="D9" s="12">
        <v>51</v>
      </c>
      <c r="E9" s="12" t="s">
        <v>247</v>
      </c>
      <c r="F9" s="13">
        <v>0.30208333333333331</v>
      </c>
      <c r="G9" s="12" t="s">
        <v>257</v>
      </c>
      <c r="H9" s="13">
        <v>0.36805555555555558</v>
      </c>
      <c r="I9" s="15" t="s">
        <v>248</v>
      </c>
      <c r="J9" s="15"/>
      <c r="K9" s="22">
        <v>16965</v>
      </c>
      <c r="L9" s="15" t="s">
        <v>249</v>
      </c>
      <c r="M9" s="15"/>
    </row>
    <row r="10" spans="1:13">
      <c r="A10" s="14">
        <v>9</v>
      </c>
      <c r="B10" s="42">
        <v>45927</v>
      </c>
      <c r="C10" s="12" t="s">
        <v>256</v>
      </c>
      <c r="D10" s="12">
        <v>605</v>
      </c>
      <c r="E10" s="12" t="s">
        <v>257</v>
      </c>
      <c r="F10" s="13">
        <v>0.39930555555555558</v>
      </c>
      <c r="G10" s="12" t="s">
        <v>260</v>
      </c>
      <c r="H10" s="13">
        <v>0.44097222222222221</v>
      </c>
      <c r="I10" s="15" t="s">
        <v>258</v>
      </c>
      <c r="J10" s="15"/>
      <c r="K10" s="22">
        <v>6180</v>
      </c>
      <c r="L10" s="15" t="s">
        <v>249</v>
      </c>
      <c r="M10" s="15"/>
    </row>
    <row r="11" spans="1:13">
      <c r="A11" s="14">
        <v>10</v>
      </c>
      <c r="B11" s="42">
        <v>45927</v>
      </c>
      <c r="C11" s="12" t="s">
        <v>261</v>
      </c>
      <c r="D11" s="12">
        <v>743</v>
      </c>
      <c r="E11" s="12" t="s">
        <v>260</v>
      </c>
      <c r="F11" s="13">
        <v>0.52430555555555558</v>
      </c>
      <c r="G11" s="12" t="s">
        <v>262</v>
      </c>
      <c r="H11" s="13">
        <v>0.54513888888888884</v>
      </c>
      <c r="I11" s="15" t="s">
        <v>263</v>
      </c>
      <c r="J11" s="15"/>
      <c r="K11" s="22">
        <v>6583</v>
      </c>
      <c r="L11" s="15" t="s">
        <v>249</v>
      </c>
      <c r="M11" s="15"/>
    </row>
    <row r="12" spans="1:13">
      <c r="A12" s="14">
        <v>11</v>
      </c>
      <c r="B12" s="42">
        <v>45927</v>
      </c>
      <c r="C12" s="12" t="s">
        <v>261</v>
      </c>
      <c r="D12" s="12">
        <v>744</v>
      </c>
      <c r="E12" s="12" t="s">
        <v>262</v>
      </c>
      <c r="F12" s="13">
        <v>0.56597222222222221</v>
      </c>
      <c r="G12" s="12" t="s">
        <v>260</v>
      </c>
      <c r="H12" s="13">
        <v>0.58680555555555558</v>
      </c>
      <c r="I12" s="15" t="s">
        <v>255</v>
      </c>
      <c r="J12" s="15"/>
      <c r="K12" s="22">
        <v>6583</v>
      </c>
      <c r="L12" s="15" t="s">
        <v>249</v>
      </c>
      <c r="M12" s="15"/>
    </row>
    <row r="13" spans="1:13">
      <c r="A13" s="14">
        <v>12</v>
      </c>
      <c r="B13" s="42">
        <v>45927</v>
      </c>
      <c r="C13" s="12" t="s">
        <v>261</v>
      </c>
      <c r="D13" s="12">
        <v>834</v>
      </c>
      <c r="E13" s="12" t="s">
        <v>260</v>
      </c>
      <c r="F13" s="13">
        <v>0.61111111111111116</v>
      </c>
      <c r="G13" s="12" t="s">
        <v>264</v>
      </c>
      <c r="H13" s="13">
        <v>0.63194444444444442</v>
      </c>
      <c r="I13" s="15" t="s">
        <v>253</v>
      </c>
      <c r="J13" s="15"/>
      <c r="K13" s="22">
        <v>9020</v>
      </c>
      <c r="L13" s="15" t="s">
        <v>249</v>
      </c>
      <c r="M13" s="15"/>
    </row>
    <row r="14" spans="1:13">
      <c r="A14" s="14">
        <v>13</v>
      </c>
      <c r="B14" s="42">
        <v>45927</v>
      </c>
      <c r="C14" s="12" t="s">
        <v>261</v>
      </c>
      <c r="D14" s="12">
        <v>897</v>
      </c>
      <c r="E14" s="12" t="s">
        <v>264</v>
      </c>
      <c r="F14" s="13">
        <v>0.65277777777777779</v>
      </c>
      <c r="G14" s="12" t="s">
        <v>265</v>
      </c>
      <c r="H14" s="13">
        <v>0.67013888888888884</v>
      </c>
      <c r="I14" s="15" t="s">
        <v>255</v>
      </c>
      <c r="J14" s="15"/>
      <c r="K14" s="22">
        <v>5434</v>
      </c>
      <c r="L14" s="15" t="s">
        <v>249</v>
      </c>
      <c r="M14" s="15"/>
    </row>
    <row r="15" spans="1:13">
      <c r="A15" s="14">
        <v>14</v>
      </c>
      <c r="B15" s="42">
        <v>45927</v>
      </c>
      <c r="C15" s="12" t="s">
        <v>261</v>
      </c>
      <c r="D15" s="12">
        <v>898</v>
      </c>
      <c r="E15" s="12" t="s">
        <v>265</v>
      </c>
      <c r="F15" s="13">
        <v>0.69444444444444442</v>
      </c>
      <c r="G15" s="12" t="s">
        <v>264</v>
      </c>
      <c r="H15" s="13">
        <v>0.71180555555555558</v>
      </c>
      <c r="I15" s="15" t="s">
        <v>253</v>
      </c>
      <c r="J15" s="15"/>
      <c r="K15" s="22">
        <v>5434</v>
      </c>
      <c r="L15" s="15" t="s">
        <v>249</v>
      </c>
      <c r="M15" s="15"/>
    </row>
    <row r="16" spans="1:13">
      <c r="A16" s="14">
        <v>15</v>
      </c>
      <c r="B16" s="42">
        <v>45927</v>
      </c>
      <c r="C16" s="12" t="s">
        <v>256</v>
      </c>
      <c r="D16" s="12">
        <v>566</v>
      </c>
      <c r="E16" s="12" t="s">
        <v>264</v>
      </c>
      <c r="F16" s="13">
        <v>0.74652777777777779</v>
      </c>
      <c r="G16" s="12" t="s">
        <v>257</v>
      </c>
      <c r="H16" s="13">
        <v>0.78472222222222221</v>
      </c>
      <c r="I16" s="15" t="s">
        <v>253</v>
      </c>
      <c r="J16" s="15"/>
      <c r="K16" s="22">
        <v>6290</v>
      </c>
      <c r="L16" s="15" t="s">
        <v>249</v>
      </c>
      <c r="M16" s="15"/>
    </row>
    <row r="17" spans="1:13">
      <c r="A17" s="14">
        <v>16</v>
      </c>
      <c r="B17" s="42">
        <v>45927</v>
      </c>
      <c r="C17" s="12" t="s">
        <v>256</v>
      </c>
      <c r="D17" s="12">
        <v>62</v>
      </c>
      <c r="E17" s="12" t="s">
        <v>257</v>
      </c>
      <c r="F17" s="13">
        <v>0.81597222222222221</v>
      </c>
      <c r="G17" s="12" t="s">
        <v>247</v>
      </c>
      <c r="H17" s="13">
        <v>0.89236111111111116</v>
      </c>
      <c r="I17" s="15" t="s">
        <v>266</v>
      </c>
      <c r="J17" s="15"/>
      <c r="K17" s="22">
        <v>10591</v>
      </c>
      <c r="L17" s="15" t="s">
        <v>249</v>
      </c>
      <c r="M17" s="15"/>
    </row>
    <row r="18" spans="1:13">
      <c r="A18" s="14">
        <v>17</v>
      </c>
      <c r="B18" s="43">
        <v>45928</v>
      </c>
      <c r="C18" s="12" t="s">
        <v>250</v>
      </c>
      <c r="D18" s="12">
        <v>3681</v>
      </c>
      <c r="E18" s="12" t="s">
        <v>247</v>
      </c>
      <c r="F18" s="13">
        <v>0.2951388888888889</v>
      </c>
      <c r="G18" s="12" t="s">
        <v>267</v>
      </c>
      <c r="H18" s="13">
        <v>0.34375</v>
      </c>
      <c r="I18" s="15" t="s">
        <v>248</v>
      </c>
      <c r="J18" s="15"/>
      <c r="K18" s="22">
        <v>13860</v>
      </c>
      <c r="L18" s="15" t="s">
        <v>249</v>
      </c>
      <c r="M18" s="15"/>
    </row>
    <row r="19" spans="1:13">
      <c r="A19" s="14">
        <v>18</v>
      </c>
      <c r="B19" s="42">
        <v>45928</v>
      </c>
      <c r="C19" s="12" t="s">
        <v>268</v>
      </c>
      <c r="D19" s="12">
        <v>3831</v>
      </c>
      <c r="E19" s="12" t="s">
        <v>267</v>
      </c>
      <c r="F19" s="13">
        <v>0.3923611111111111</v>
      </c>
      <c r="G19" s="12" t="s">
        <v>269</v>
      </c>
      <c r="H19" s="13">
        <v>0.40625</v>
      </c>
      <c r="I19" s="15" t="s">
        <v>270</v>
      </c>
      <c r="J19" s="15"/>
      <c r="K19" s="22">
        <v>5989</v>
      </c>
      <c r="L19" s="15" t="s">
        <v>249</v>
      </c>
      <c r="M19" s="15"/>
    </row>
    <row r="20" spans="1:13">
      <c r="A20" s="14">
        <v>19</v>
      </c>
      <c r="B20" s="42">
        <v>45928</v>
      </c>
      <c r="C20" s="12" t="s">
        <v>268</v>
      </c>
      <c r="D20" s="12">
        <v>3830</v>
      </c>
      <c r="E20" s="12" t="s">
        <v>269</v>
      </c>
      <c r="F20" s="13">
        <v>0.42708333333333331</v>
      </c>
      <c r="G20" s="12" t="s">
        <v>267</v>
      </c>
      <c r="H20" s="13">
        <v>0.44097222222222221</v>
      </c>
      <c r="I20" s="15" t="s">
        <v>255</v>
      </c>
      <c r="J20" s="15"/>
      <c r="K20" s="22">
        <v>5989</v>
      </c>
      <c r="L20" s="15" t="s">
        <v>249</v>
      </c>
      <c r="M20" s="15"/>
    </row>
    <row r="21" spans="1:13">
      <c r="A21" s="14">
        <v>20</v>
      </c>
      <c r="B21" s="42">
        <v>45928</v>
      </c>
      <c r="C21" s="12" t="s">
        <v>268</v>
      </c>
      <c r="D21" s="12">
        <v>3841</v>
      </c>
      <c r="E21" s="12" t="s">
        <v>267</v>
      </c>
      <c r="F21" s="13">
        <v>0.4548611111111111</v>
      </c>
      <c r="G21" s="12" t="s">
        <v>271</v>
      </c>
      <c r="H21" s="13">
        <v>0.47916666666666669</v>
      </c>
      <c r="I21" s="15" t="s">
        <v>272</v>
      </c>
      <c r="J21" s="15"/>
      <c r="K21" s="22">
        <v>10450</v>
      </c>
      <c r="L21" s="15" t="s">
        <v>249</v>
      </c>
      <c r="M21" s="15"/>
    </row>
    <row r="22" spans="1:13">
      <c r="A22" s="14">
        <v>21</v>
      </c>
      <c r="B22" s="42">
        <v>45928</v>
      </c>
      <c r="C22" s="12" t="s">
        <v>268</v>
      </c>
      <c r="D22" s="12">
        <v>3711</v>
      </c>
      <c r="E22" s="12" t="s">
        <v>271</v>
      </c>
      <c r="F22" s="13">
        <v>0.5</v>
      </c>
      <c r="G22" s="12" t="s">
        <v>273</v>
      </c>
      <c r="H22" s="13">
        <v>0.51736111111111116</v>
      </c>
      <c r="I22" s="15" t="s">
        <v>253</v>
      </c>
      <c r="J22" s="15"/>
      <c r="K22" s="22">
        <v>8580</v>
      </c>
      <c r="L22" s="15" t="s">
        <v>249</v>
      </c>
      <c r="M22" s="15"/>
    </row>
    <row r="23" spans="1:13">
      <c r="A23" s="14">
        <v>22</v>
      </c>
      <c r="B23" s="42">
        <v>45928</v>
      </c>
      <c r="C23" s="12" t="s">
        <v>268</v>
      </c>
      <c r="D23" s="12">
        <v>3716</v>
      </c>
      <c r="E23" s="12" t="s">
        <v>273</v>
      </c>
      <c r="F23" s="13">
        <v>0.53819444444444442</v>
      </c>
      <c r="G23" s="12" t="s">
        <v>257</v>
      </c>
      <c r="H23" s="13">
        <v>0.57291666666666663</v>
      </c>
      <c r="I23" s="15" t="s">
        <v>253</v>
      </c>
      <c r="J23" s="15"/>
      <c r="K23" s="22">
        <v>15310</v>
      </c>
      <c r="L23" s="15" t="s">
        <v>249</v>
      </c>
      <c r="M23" s="15"/>
    </row>
    <row r="24" spans="1:13">
      <c r="A24" s="14">
        <v>23</v>
      </c>
      <c r="B24" s="42">
        <v>45928</v>
      </c>
      <c r="C24" s="12" t="s">
        <v>256</v>
      </c>
      <c r="D24" s="12">
        <v>617</v>
      </c>
      <c r="E24" s="12" t="s">
        <v>257</v>
      </c>
      <c r="F24" s="13">
        <v>0.61458333333333337</v>
      </c>
      <c r="G24" s="12" t="s">
        <v>260</v>
      </c>
      <c r="H24" s="13">
        <v>0.65972222222222221</v>
      </c>
      <c r="I24" s="15" t="s">
        <v>259</v>
      </c>
      <c r="J24" s="15"/>
      <c r="K24" s="22">
        <v>5883</v>
      </c>
      <c r="L24" s="15" t="s">
        <v>249</v>
      </c>
      <c r="M24" s="15"/>
    </row>
    <row r="25" spans="1:13">
      <c r="A25" s="14">
        <v>24</v>
      </c>
      <c r="B25" s="42">
        <v>45928</v>
      </c>
      <c r="C25" s="12" t="s">
        <v>256</v>
      </c>
      <c r="D25" s="12">
        <v>622</v>
      </c>
      <c r="E25" s="12" t="s">
        <v>260</v>
      </c>
      <c r="F25" s="13">
        <v>0.68402777777777779</v>
      </c>
      <c r="G25" s="12" t="s">
        <v>257</v>
      </c>
      <c r="H25" s="13">
        <v>0.72569444444444442</v>
      </c>
      <c r="I25" s="15" t="s">
        <v>258</v>
      </c>
      <c r="J25" s="15"/>
      <c r="K25" s="22">
        <v>5883</v>
      </c>
      <c r="L25" s="15" t="s">
        <v>249</v>
      </c>
      <c r="M25" s="15"/>
    </row>
    <row r="26" spans="1:13">
      <c r="A26" s="14">
        <v>25</v>
      </c>
      <c r="B26" s="42">
        <v>45928</v>
      </c>
      <c r="C26" s="12" t="s">
        <v>245</v>
      </c>
      <c r="D26" s="12">
        <v>918</v>
      </c>
      <c r="E26" s="12" t="s">
        <v>257</v>
      </c>
      <c r="F26" s="13">
        <v>0.78472222222222221</v>
      </c>
      <c r="G26" s="12" t="s">
        <v>246</v>
      </c>
      <c r="H26" s="13">
        <v>0.88888888888888884</v>
      </c>
      <c r="I26" s="15" t="s">
        <v>274</v>
      </c>
      <c r="J26" s="15"/>
      <c r="K26" s="22">
        <v>22580</v>
      </c>
      <c r="L26" s="15" t="s">
        <v>249</v>
      </c>
      <c r="M26" s="15"/>
    </row>
    <row r="27" spans="1:13">
      <c r="A27" s="14">
        <v>26</v>
      </c>
      <c r="B27" s="42">
        <v>45934</v>
      </c>
      <c r="C27" s="12" t="s">
        <v>245</v>
      </c>
      <c r="D27" s="12">
        <v>333</v>
      </c>
      <c r="E27" s="12" t="s">
        <v>246</v>
      </c>
      <c r="F27" s="13">
        <v>0.80208333333333337</v>
      </c>
      <c r="G27" s="12" t="s">
        <v>247</v>
      </c>
      <c r="H27" s="13">
        <v>0.88194444444444442</v>
      </c>
      <c r="I27" s="15"/>
      <c r="J27" s="15"/>
      <c r="K27" s="22">
        <v>13320</v>
      </c>
      <c r="L27" s="15" t="s">
        <v>249</v>
      </c>
      <c r="M27" s="15"/>
    </row>
    <row r="28" spans="1:13">
      <c r="A28" s="14">
        <v>27</v>
      </c>
      <c r="B28" s="42">
        <v>45935</v>
      </c>
      <c r="C28" s="12" t="s">
        <v>256</v>
      </c>
      <c r="D28" s="12">
        <v>51</v>
      </c>
      <c r="E28" s="12" t="s">
        <v>247</v>
      </c>
      <c r="F28" s="13">
        <v>0.30208333333333331</v>
      </c>
      <c r="G28" s="12" t="s">
        <v>257</v>
      </c>
      <c r="H28" s="13">
        <v>0.37152777777777779</v>
      </c>
      <c r="I28" s="26" t="s">
        <v>248</v>
      </c>
      <c r="J28" s="15"/>
      <c r="K28" s="22">
        <v>11130</v>
      </c>
      <c r="L28" s="15" t="s">
        <v>249</v>
      </c>
      <c r="M28" s="15"/>
    </row>
    <row r="29" spans="1:13">
      <c r="A29" s="14">
        <v>28</v>
      </c>
      <c r="B29" s="42">
        <v>45935</v>
      </c>
      <c r="C29" s="12" t="s">
        <v>256</v>
      </c>
      <c r="D29" s="12">
        <v>605</v>
      </c>
      <c r="E29" s="12" t="s">
        <v>257</v>
      </c>
      <c r="F29" s="13">
        <v>0.40277777777777779</v>
      </c>
      <c r="G29" s="12" t="s">
        <v>260</v>
      </c>
      <c r="H29" s="13">
        <v>0.44444444444444442</v>
      </c>
      <c r="I29" s="26" t="s">
        <v>258</v>
      </c>
      <c r="J29" s="15"/>
      <c r="K29" s="22">
        <v>6180</v>
      </c>
      <c r="L29" s="15" t="s">
        <v>249</v>
      </c>
      <c r="M29" s="15"/>
    </row>
    <row r="30" spans="1:13">
      <c r="A30" s="14">
        <v>29</v>
      </c>
      <c r="B30" s="42">
        <v>45935</v>
      </c>
      <c r="C30" s="12" t="s">
        <v>261</v>
      </c>
      <c r="D30" s="12">
        <v>743</v>
      </c>
      <c r="E30" s="12" t="s">
        <v>260</v>
      </c>
      <c r="F30" s="13">
        <v>0.52430555555555558</v>
      </c>
      <c r="G30" s="12" t="s">
        <v>262</v>
      </c>
      <c r="H30" s="13">
        <v>0.54513888888888884</v>
      </c>
      <c r="I30" s="26" t="s">
        <v>263</v>
      </c>
      <c r="J30" s="15"/>
      <c r="K30" s="22">
        <v>6583</v>
      </c>
      <c r="L30" s="15" t="s">
        <v>249</v>
      </c>
      <c r="M30" s="15"/>
    </row>
    <row r="31" spans="1:13">
      <c r="A31" s="14">
        <v>30</v>
      </c>
      <c r="B31" s="42">
        <v>45935</v>
      </c>
      <c r="C31" s="12" t="s">
        <v>261</v>
      </c>
      <c r="D31" s="12">
        <v>744</v>
      </c>
      <c r="E31" s="12" t="s">
        <v>262</v>
      </c>
      <c r="F31" s="13">
        <v>0.56944444444444442</v>
      </c>
      <c r="G31" s="12" t="s">
        <v>260</v>
      </c>
      <c r="H31" s="13">
        <v>0.59027777777777779</v>
      </c>
      <c r="I31" s="26" t="s">
        <v>255</v>
      </c>
      <c r="J31" s="15"/>
      <c r="K31" s="22">
        <v>5883</v>
      </c>
      <c r="L31" s="15" t="s">
        <v>249</v>
      </c>
      <c r="M31" s="15"/>
    </row>
    <row r="32" spans="1:13">
      <c r="A32" s="14">
        <v>31</v>
      </c>
      <c r="B32" s="42">
        <v>45935</v>
      </c>
      <c r="C32" s="12" t="s">
        <v>261</v>
      </c>
      <c r="D32" s="12">
        <v>834</v>
      </c>
      <c r="E32" s="12" t="s">
        <v>260</v>
      </c>
      <c r="F32" s="13">
        <v>0.61805555555555558</v>
      </c>
      <c r="G32" s="12" t="s">
        <v>264</v>
      </c>
      <c r="H32" s="13">
        <v>0.63888888888888884</v>
      </c>
      <c r="I32" s="26" t="s">
        <v>253</v>
      </c>
      <c r="J32" s="15"/>
      <c r="K32" s="22">
        <v>9570</v>
      </c>
      <c r="L32" s="15" t="s">
        <v>249</v>
      </c>
      <c r="M32" s="15"/>
    </row>
    <row r="33" spans="1:13">
      <c r="A33" s="14">
        <v>32</v>
      </c>
      <c r="B33" s="42">
        <v>45935</v>
      </c>
      <c r="C33" s="12" t="s">
        <v>256</v>
      </c>
      <c r="D33" s="12">
        <v>564</v>
      </c>
      <c r="E33" s="12" t="s">
        <v>264</v>
      </c>
      <c r="F33" s="13">
        <v>0.70486111111111116</v>
      </c>
      <c r="G33" s="12" t="s">
        <v>257</v>
      </c>
      <c r="H33" s="13">
        <v>0.73958333333333337</v>
      </c>
      <c r="I33" s="26" t="s">
        <v>275</v>
      </c>
      <c r="J33" s="15"/>
      <c r="K33" s="22">
        <v>6290</v>
      </c>
      <c r="L33" s="15" t="s">
        <v>249</v>
      </c>
      <c r="M33" s="15"/>
    </row>
    <row r="34" spans="1:13">
      <c r="A34" s="14">
        <v>33</v>
      </c>
      <c r="B34" s="42">
        <v>45935</v>
      </c>
      <c r="C34" s="12" t="s">
        <v>245</v>
      </c>
      <c r="D34" s="12">
        <v>920</v>
      </c>
      <c r="E34" s="12" t="s">
        <v>257</v>
      </c>
      <c r="F34" s="13">
        <v>0.81944444444444442</v>
      </c>
      <c r="G34" s="12" t="s">
        <v>246</v>
      </c>
      <c r="H34" s="13">
        <v>0.91666666666666663</v>
      </c>
      <c r="I34" s="26" t="s">
        <v>276</v>
      </c>
      <c r="J34" s="15"/>
      <c r="K34" s="22">
        <v>22030</v>
      </c>
      <c r="L34" s="15" t="s">
        <v>249</v>
      </c>
      <c r="M34" s="15"/>
    </row>
    <row r="35" spans="1:13">
      <c r="A35" s="14">
        <v>34</v>
      </c>
      <c r="B35" s="42">
        <v>45890</v>
      </c>
      <c r="C35" s="12" t="s">
        <v>245</v>
      </c>
      <c r="D35" s="12">
        <v>487</v>
      </c>
      <c r="E35" s="12" t="s">
        <v>246</v>
      </c>
      <c r="F35" s="13">
        <v>0.84375</v>
      </c>
      <c r="G35" s="12" t="s">
        <v>277</v>
      </c>
      <c r="H35" s="13">
        <v>0.89583333333333337</v>
      </c>
      <c r="I35" s="26"/>
      <c r="J35" s="15"/>
      <c r="K35" s="22">
        <v>0</v>
      </c>
      <c r="L35" s="15" t="s">
        <v>249</v>
      </c>
      <c r="M35" s="15"/>
    </row>
    <row r="36" spans="1:13">
      <c r="A36" s="14">
        <v>35</v>
      </c>
      <c r="B36" s="42">
        <v>45891</v>
      </c>
      <c r="C36" s="12" t="s">
        <v>245</v>
      </c>
      <c r="D36" s="12">
        <v>482</v>
      </c>
      <c r="E36" s="12" t="s">
        <v>277</v>
      </c>
      <c r="F36" s="13">
        <v>0.63541666666666663</v>
      </c>
      <c r="G36" s="12" t="s">
        <v>246</v>
      </c>
      <c r="H36" s="13">
        <v>0.69791666666666663</v>
      </c>
      <c r="I36" s="26"/>
      <c r="J36" s="15"/>
      <c r="K36" s="15">
        <v>0</v>
      </c>
      <c r="L36" s="15" t="s">
        <v>249</v>
      </c>
      <c r="M36" s="15"/>
    </row>
    <row r="37" spans="1:13">
      <c r="A37" s="14">
        <v>36</v>
      </c>
      <c r="B37" s="42">
        <v>45902</v>
      </c>
      <c r="C37" s="12" t="s">
        <v>245</v>
      </c>
      <c r="D37" s="12">
        <v>317</v>
      </c>
      <c r="E37" s="12" t="s">
        <v>246</v>
      </c>
      <c r="F37" s="13">
        <v>0.52083333333333337</v>
      </c>
      <c r="G37" s="12" t="s">
        <v>247</v>
      </c>
      <c r="H37" s="13">
        <v>0.57638888888888884</v>
      </c>
      <c r="I37" s="26"/>
      <c r="J37" s="15"/>
      <c r="K37" s="15">
        <v>0</v>
      </c>
      <c r="L37" s="15" t="s">
        <v>249</v>
      </c>
      <c r="M37" s="15"/>
    </row>
    <row r="38" spans="1:13">
      <c r="A38" s="14">
        <v>37</v>
      </c>
      <c r="B38" s="42">
        <v>45903</v>
      </c>
      <c r="C38" s="12" t="s">
        <v>245</v>
      </c>
      <c r="D38" s="12">
        <v>300</v>
      </c>
      <c r="E38" s="12" t="s">
        <v>247</v>
      </c>
      <c r="F38" s="13">
        <v>0.29166666666666669</v>
      </c>
      <c r="G38" s="12" t="s">
        <v>246</v>
      </c>
      <c r="H38" s="13">
        <v>0.3611111111111111</v>
      </c>
      <c r="I38" s="26"/>
      <c r="J38" s="15"/>
      <c r="K38" s="15">
        <v>0</v>
      </c>
      <c r="L38" s="15" t="s">
        <v>249</v>
      </c>
      <c r="M38" s="15"/>
    </row>
    <row r="39" spans="1:13">
      <c r="A39" s="14">
        <v>38</v>
      </c>
      <c r="B39" s="42">
        <v>45949</v>
      </c>
      <c r="C39" s="12" t="s">
        <v>245</v>
      </c>
      <c r="D39" s="12">
        <v>491</v>
      </c>
      <c r="E39" s="12" t="s">
        <v>246</v>
      </c>
      <c r="F39" s="13">
        <v>0.3125</v>
      </c>
      <c r="G39" s="12" t="s">
        <v>277</v>
      </c>
      <c r="H39" s="13">
        <v>0.375</v>
      </c>
      <c r="I39" s="26"/>
      <c r="J39" s="15"/>
      <c r="K39" s="15">
        <v>20700</v>
      </c>
      <c r="L39" s="15" t="s">
        <v>249</v>
      </c>
      <c r="M39" s="15"/>
    </row>
    <row r="40" spans="1:13">
      <c r="A40" s="14">
        <v>39</v>
      </c>
      <c r="B40" s="42">
        <v>45949</v>
      </c>
      <c r="C40" s="12" t="s">
        <v>245</v>
      </c>
      <c r="D40" s="12">
        <v>492</v>
      </c>
      <c r="E40" s="12" t="s">
        <v>277</v>
      </c>
      <c r="F40" s="13">
        <v>0.40277777777777779</v>
      </c>
      <c r="G40" s="12" t="s">
        <v>246</v>
      </c>
      <c r="H40" s="13">
        <v>0.45833333333333331</v>
      </c>
      <c r="I40" s="26"/>
      <c r="J40" s="15"/>
      <c r="K40" s="15">
        <v>0</v>
      </c>
      <c r="L40" s="15" t="s">
        <v>249</v>
      </c>
      <c r="M40" s="15"/>
    </row>
    <row r="41" spans="1:13">
      <c r="A41" s="14">
        <v>40</v>
      </c>
      <c r="B41" s="42">
        <v>45589</v>
      </c>
      <c r="C41" s="12" t="s">
        <v>245</v>
      </c>
      <c r="D41" s="12">
        <v>319</v>
      </c>
      <c r="E41" s="12" t="s">
        <v>246</v>
      </c>
      <c r="F41" s="13"/>
      <c r="G41" s="12" t="s">
        <v>247</v>
      </c>
      <c r="H41" s="13"/>
      <c r="I41" s="26"/>
      <c r="J41" s="15"/>
      <c r="K41" s="15">
        <v>0</v>
      </c>
      <c r="L41" s="15" t="s">
        <v>249</v>
      </c>
      <c r="M41" s="15"/>
    </row>
    <row r="42" spans="1:13">
      <c r="A42" s="14">
        <v>41</v>
      </c>
      <c r="B42" s="42">
        <v>45590</v>
      </c>
      <c r="C42" s="12" t="s">
        <v>245</v>
      </c>
      <c r="D42" s="12">
        <v>318</v>
      </c>
      <c r="E42" s="12" t="s">
        <v>247</v>
      </c>
      <c r="F42" s="13"/>
      <c r="G42" s="12" t="s">
        <v>246</v>
      </c>
      <c r="H42" s="13"/>
      <c r="I42" s="26"/>
      <c r="J42" s="15"/>
      <c r="K42" s="15">
        <v>0</v>
      </c>
      <c r="L42" s="15" t="s">
        <v>249</v>
      </c>
      <c r="M42" s="15"/>
    </row>
    <row r="43" spans="1:13">
      <c r="A43" s="14">
        <v>42</v>
      </c>
      <c r="B43" s="42">
        <v>45611</v>
      </c>
      <c r="C43" s="12" t="s">
        <v>245</v>
      </c>
      <c r="D43" s="12">
        <v>434</v>
      </c>
      <c r="E43" s="12" t="s">
        <v>246</v>
      </c>
      <c r="F43" s="13"/>
      <c r="G43" s="12" t="s">
        <v>278</v>
      </c>
      <c r="H43" s="13"/>
      <c r="I43" s="26"/>
      <c r="J43" s="15"/>
      <c r="K43" s="15">
        <v>0</v>
      </c>
      <c r="L43" s="15" t="s">
        <v>249</v>
      </c>
      <c r="M43" s="15"/>
    </row>
    <row r="44" spans="1:13">
      <c r="A44" s="14">
        <v>43</v>
      </c>
      <c r="B44" s="42">
        <v>45612</v>
      </c>
      <c r="C44" s="12" t="s">
        <v>245</v>
      </c>
      <c r="D44" s="12">
        <v>431</v>
      </c>
      <c r="E44" s="12" t="s">
        <v>278</v>
      </c>
      <c r="F44" s="13"/>
      <c r="G44" s="12" t="s">
        <v>246</v>
      </c>
      <c r="H44" s="13"/>
      <c r="I44" s="26"/>
      <c r="J44" s="15"/>
      <c r="K44" s="15">
        <v>0</v>
      </c>
      <c r="L44" s="15" t="s">
        <v>249</v>
      </c>
      <c r="M44" s="15"/>
    </row>
    <row r="45" spans="1:13">
      <c r="A45" s="14">
        <v>44</v>
      </c>
      <c r="B45" s="42">
        <v>45650</v>
      </c>
      <c r="C45" s="12" t="s">
        <v>245</v>
      </c>
      <c r="D45" s="12">
        <v>335</v>
      </c>
      <c r="E45" s="12" t="s">
        <v>246</v>
      </c>
      <c r="F45" s="13"/>
      <c r="G45" s="12" t="s">
        <v>247</v>
      </c>
      <c r="H45" s="13"/>
      <c r="I45" s="26"/>
      <c r="J45" s="15"/>
      <c r="K45" s="22">
        <v>17640</v>
      </c>
      <c r="L45" s="15" t="s">
        <v>249</v>
      </c>
      <c r="M45" s="15"/>
    </row>
    <row r="46" spans="1:13">
      <c r="A46" s="14">
        <v>45</v>
      </c>
      <c r="B46" s="42">
        <v>45646</v>
      </c>
      <c r="C46" s="12" t="s">
        <v>245</v>
      </c>
      <c r="D46" s="12">
        <v>431</v>
      </c>
      <c r="E46" s="12" t="s">
        <v>246</v>
      </c>
      <c r="F46" s="13"/>
      <c r="G46" s="12" t="s">
        <v>278</v>
      </c>
      <c r="H46" s="13"/>
      <c r="I46" s="26"/>
      <c r="J46" s="15"/>
      <c r="K46" s="15">
        <v>0</v>
      </c>
      <c r="L46" s="15" t="s">
        <v>249</v>
      </c>
      <c r="M46" s="15"/>
    </row>
    <row r="47" spans="1:13">
      <c r="A47" s="14">
        <v>46</v>
      </c>
      <c r="B47" s="42">
        <v>45647</v>
      </c>
      <c r="C47" s="12" t="s">
        <v>245</v>
      </c>
      <c r="D47" s="12">
        <v>432</v>
      </c>
      <c r="E47" s="12" t="s">
        <v>278</v>
      </c>
      <c r="F47" s="13"/>
      <c r="G47" s="12" t="s">
        <v>246</v>
      </c>
      <c r="H47" s="13"/>
      <c r="I47" s="26"/>
      <c r="J47" s="15"/>
      <c r="K47" s="15">
        <v>0</v>
      </c>
      <c r="L47" s="15" t="s">
        <v>249</v>
      </c>
      <c r="M47" s="15"/>
    </row>
    <row r="48" spans="1:13">
      <c r="A48" s="14">
        <v>47</v>
      </c>
      <c r="B48" s="42">
        <v>45680</v>
      </c>
      <c r="C48" s="12" t="s">
        <v>245</v>
      </c>
      <c r="D48" s="12">
        <v>307</v>
      </c>
      <c r="E48" s="12" t="s">
        <v>246</v>
      </c>
      <c r="F48" s="13"/>
      <c r="G48" s="12" t="s">
        <v>247</v>
      </c>
      <c r="H48" s="13"/>
      <c r="I48" s="26"/>
      <c r="J48" s="15"/>
      <c r="K48" s="15">
        <v>0</v>
      </c>
      <c r="L48" s="15" t="s">
        <v>249</v>
      </c>
      <c r="M48" s="15"/>
    </row>
    <row r="49" spans="1:13">
      <c r="A49" s="14">
        <v>48</v>
      </c>
      <c r="B49" s="42">
        <v>45682</v>
      </c>
      <c r="C49" s="12" t="s">
        <v>245</v>
      </c>
      <c r="D49" s="12">
        <v>306</v>
      </c>
      <c r="E49" s="12" t="s">
        <v>247</v>
      </c>
      <c r="F49" s="13"/>
      <c r="G49" s="12" t="s">
        <v>246</v>
      </c>
      <c r="H49" s="13"/>
      <c r="I49" s="26"/>
      <c r="J49" s="15"/>
      <c r="K49" s="15">
        <v>0</v>
      </c>
      <c r="L49" s="15" t="s">
        <v>249</v>
      </c>
      <c r="M49" s="15"/>
    </row>
    <row r="50" spans="1:13">
      <c r="A50" s="14">
        <v>49</v>
      </c>
      <c r="B50" s="42">
        <v>45727</v>
      </c>
      <c r="C50" s="12" t="s">
        <v>245</v>
      </c>
      <c r="D50" s="12">
        <v>330</v>
      </c>
      <c r="E50" s="12" t="s">
        <v>246</v>
      </c>
      <c r="F50" s="13"/>
      <c r="G50" s="12" t="s">
        <v>247</v>
      </c>
      <c r="H50" s="13"/>
      <c r="I50" s="26"/>
      <c r="J50" s="15"/>
      <c r="K50" s="15">
        <v>0</v>
      </c>
      <c r="L50" s="15" t="s">
        <v>249</v>
      </c>
      <c r="M50" s="15"/>
    </row>
    <row r="51" spans="1:13">
      <c r="A51" s="14">
        <v>50</v>
      </c>
      <c r="B51" s="42">
        <v>45727</v>
      </c>
      <c r="C51" s="12" t="s">
        <v>245</v>
      </c>
      <c r="D51" s="12">
        <v>305</v>
      </c>
      <c r="E51" s="12" t="s">
        <v>247</v>
      </c>
      <c r="F51" s="13"/>
      <c r="G51" s="12" t="s">
        <v>246</v>
      </c>
      <c r="H51" s="13"/>
      <c r="I51" s="26"/>
      <c r="J51" s="15"/>
      <c r="K51" s="15">
        <v>0</v>
      </c>
      <c r="L51" s="15" t="s">
        <v>249</v>
      </c>
      <c r="M51" s="15"/>
    </row>
    <row r="52" spans="1:13">
      <c r="A52" s="14">
        <v>51</v>
      </c>
      <c r="B52" s="42">
        <v>45860</v>
      </c>
      <c r="C52" s="12" t="s">
        <v>245</v>
      </c>
      <c r="D52" s="12">
        <v>307</v>
      </c>
      <c r="E52" s="12" t="s">
        <v>246</v>
      </c>
      <c r="F52" s="13"/>
      <c r="G52" s="12" t="s">
        <v>247</v>
      </c>
      <c r="H52" s="13"/>
      <c r="I52" s="26"/>
      <c r="J52" s="15"/>
      <c r="K52" s="22">
        <v>13320</v>
      </c>
      <c r="L52" s="15" t="s">
        <v>249</v>
      </c>
      <c r="M52" s="15"/>
    </row>
    <row r="53" spans="1:13">
      <c r="A53" s="14">
        <v>52</v>
      </c>
      <c r="B53" s="42">
        <v>45865</v>
      </c>
      <c r="C53" s="12" t="s">
        <v>245</v>
      </c>
      <c r="D53" s="12">
        <v>300</v>
      </c>
      <c r="E53" s="12" t="s">
        <v>247</v>
      </c>
      <c r="F53" s="13"/>
      <c r="G53" s="12" t="s">
        <v>246</v>
      </c>
      <c r="H53" s="13"/>
      <c r="I53" s="26"/>
      <c r="J53" s="15"/>
      <c r="K53" s="22">
        <v>13320</v>
      </c>
      <c r="L53" s="15" t="s">
        <v>249</v>
      </c>
      <c r="M53" s="15"/>
    </row>
    <row r="54" spans="1:13">
      <c r="A54" s="14">
        <v>53</v>
      </c>
      <c r="B54" s="42">
        <v>45871</v>
      </c>
      <c r="C54" s="12" t="s">
        <v>245</v>
      </c>
      <c r="D54" s="12">
        <v>307</v>
      </c>
      <c r="E54" s="12" t="s">
        <v>246</v>
      </c>
      <c r="F54" s="13"/>
      <c r="G54" s="12" t="s">
        <v>279</v>
      </c>
      <c r="H54" s="13"/>
      <c r="I54" s="26"/>
      <c r="J54" s="15"/>
      <c r="K54" s="22">
        <v>22845</v>
      </c>
      <c r="L54" s="15" t="s">
        <v>249</v>
      </c>
      <c r="M54" s="15"/>
    </row>
    <row r="55" spans="1:13">
      <c r="A55" s="14">
        <v>54</v>
      </c>
      <c r="B55" s="42">
        <v>45872</v>
      </c>
      <c r="C55" s="12" t="s">
        <v>245</v>
      </c>
      <c r="D55" s="12">
        <v>300</v>
      </c>
      <c r="E55" s="12" t="s">
        <v>279</v>
      </c>
      <c r="F55" s="13"/>
      <c r="G55" s="12" t="s">
        <v>246</v>
      </c>
      <c r="H55" s="13"/>
      <c r="I55" s="26"/>
      <c r="J55" s="15"/>
      <c r="K55" s="22">
        <v>0</v>
      </c>
      <c r="L55" s="15" t="s">
        <v>249</v>
      </c>
      <c r="M55" s="15"/>
    </row>
    <row r="56" spans="1:13">
      <c r="A56" s="14">
        <v>55</v>
      </c>
      <c r="B56" s="42">
        <v>45875</v>
      </c>
      <c r="C56" s="12" t="s">
        <v>245</v>
      </c>
      <c r="D56" s="12">
        <v>307</v>
      </c>
      <c r="E56" s="12" t="s">
        <v>246</v>
      </c>
      <c r="F56" s="13"/>
      <c r="G56" s="12" t="s">
        <v>280</v>
      </c>
      <c r="H56" s="13"/>
      <c r="I56" s="26"/>
      <c r="J56" s="15"/>
      <c r="K56" s="22">
        <v>0</v>
      </c>
      <c r="L56" s="15" t="s">
        <v>249</v>
      </c>
      <c r="M56" s="15"/>
    </row>
    <row r="57" spans="1:13">
      <c r="A57" s="14">
        <v>56</v>
      </c>
      <c r="B57" s="42">
        <v>45875</v>
      </c>
      <c r="C57" s="12" t="s">
        <v>245</v>
      </c>
      <c r="D57" s="12">
        <v>300</v>
      </c>
      <c r="E57" s="12" t="s">
        <v>281</v>
      </c>
      <c r="F57" s="13"/>
      <c r="G57" s="12" t="s">
        <v>246</v>
      </c>
      <c r="H57" s="13"/>
      <c r="I57" s="26"/>
      <c r="J57" s="15"/>
      <c r="K57" s="22">
        <v>0</v>
      </c>
      <c r="L57" s="15" t="s">
        <v>249</v>
      </c>
      <c r="M57" s="15"/>
    </row>
    <row r="58" spans="1:13">
      <c r="A58" s="14">
        <v>57</v>
      </c>
      <c r="B58" s="42">
        <v>45916</v>
      </c>
      <c r="C58" s="12" t="s">
        <v>245</v>
      </c>
      <c r="D58" s="12">
        <v>307</v>
      </c>
      <c r="E58" s="12" t="s">
        <v>246</v>
      </c>
      <c r="F58" s="13"/>
      <c r="G58" s="12" t="s">
        <v>247</v>
      </c>
      <c r="H58" s="13"/>
      <c r="I58" s="26"/>
      <c r="J58" s="15"/>
      <c r="K58" s="22">
        <v>0</v>
      </c>
      <c r="L58" s="15" t="s">
        <v>249</v>
      </c>
      <c r="M58" s="15"/>
    </row>
    <row r="59" spans="1:13">
      <c r="A59" s="14">
        <v>58</v>
      </c>
      <c r="B59" s="42">
        <v>45918</v>
      </c>
      <c r="C59" s="12" t="s">
        <v>245</v>
      </c>
      <c r="D59" s="12">
        <v>302</v>
      </c>
      <c r="E59" s="12" t="s">
        <v>247</v>
      </c>
      <c r="F59" s="13"/>
      <c r="G59" s="12" t="s">
        <v>246</v>
      </c>
      <c r="H59" s="13"/>
      <c r="I59" s="26"/>
      <c r="J59" s="15"/>
      <c r="K59" s="22">
        <v>0</v>
      </c>
      <c r="L59" s="15" t="s">
        <v>249</v>
      </c>
      <c r="M59" s="15"/>
    </row>
    <row r="60" spans="1:13">
      <c r="A60" s="14">
        <v>59</v>
      </c>
      <c r="B60" s="42">
        <v>45994</v>
      </c>
      <c r="C60" s="12" t="s">
        <v>245</v>
      </c>
      <c r="D60" s="12">
        <v>901</v>
      </c>
      <c r="E60" s="12" t="s">
        <v>246</v>
      </c>
      <c r="F60" s="13">
        <v>0.2638888888888889</v>
      </c>
      <c r="G60" s="12" t="s">
        <v>257</v>
      </c>
      <c r="H60" s="13">
        <v>0.38541666666666669</v>
      </c>
      <c r="I60" s="26"/>
      <c r="J60" s="15"/>
      <c r="K60" s="22">
        <v>10590</v>
      </c>
      <c r="L60" s="15" t="s">
        <v>249</v>
      </c>
      <c r="M60" s="15"/>
    </row>
    <row r="61" spans="1:13">
      <c r="A61" s="14">
        <v>60</v>
      </c>
      <c r="B61" s="42">
        <v>45994</v>
      </c>
      <c r="C61" s="12" t="s">
        <v>245</v>
      </c>
      <c r="D61" s="12" t="s">
        <v>282</v>
      </c>
      <c r="E61" s="12" t="s">
        <v>257</v>
      </c>
      <c r="F61" s="13">
        <v>0.41319444444444442</v>
      </c>
      <c r="G61" s="12" t="s">
        <v>283</v>
      </c>
      <c r="H61" s="13">
        <v>0.43402777777777779</v>
      </c>
      <c r="I61" s="26"/>
      <c r="J61" s="15"/>
      <c r="K61" s="47">
        <v>4640</v>
      </c>
      <c r="L61" s="15" t="s">
        <v>249</v>
      </c>
      <c r="M61" s="15"/>
    </row>
    <row r="62" spans="1:13">
      <c r="A62" s="14">
        <v>61</v>
      </c>
      <c r="B62" s="42">
        <v>45994</v>
      </c>
      <c r="C62" s="12" t="s">
        <v>245</v>
      </c>
      <c r="D62" s="12" t="s">
        <v>284</v>
      </c>
      <c r="E62" s="12" t="s">
        <v>283</v>
      </c>
      <c r="F62" s="13">
        <v>0.4548611111111111</v>
      </c>
      <c r="G62" s="12" t="s">
        <v>257</v>
      </c>
      <c r="H62" s="13">
        <v>0.47916666666666669</v>
      </c>
      <c r="I62" s="26"/>
      <c r="J62" s="15"/>
      <c r="K62" s="47">
        <v>6400</v>
      </c>
      <c r="L62" s="15" t="s">
        <v>249</v>
      </c>
      <c r="M62" s="15"/>
    </row>
    <row r="63" spans="1:13">
      <c r="A63" s="14">
        <v>62</v>
      </c>
      <c r="B63" s="42">
        <v>45994</v>
      </c>
      <c r="C63" s="12" t="s">
        <v>245</v>
      </c>
      <c r="D63" s="12" t="s">
        <v>285</v>
      </c>
      <c r="E63" s="12" t="s">
        <v>257</v>
      </c>
      <c r="F63" s="13">
        <v>0.52777777777777779</v>
      </c>
      <c r="G63" s="12" t="s">
        <v>260</v>
      </c>
      <c r="H63" s="13">
        <v>0.57291666666666663</v>
      </c>
      <c r="I63" s="26"/>
      <c r="J63" s="15"/>
      <c r="K63" s="22">
        <v>4640</v>
      </c>
      <c r="L63" s="15" t="s">
        <v>249</v>
      </c>
      <c r="M63" s="15"/>
    </row>
    <row r="64" spans="1:13">
      <c r="A64" s="14">
        <v>63</v>
      </c>
      <c r="B64" s="42">
        <v>45994</v>
      </c>
      <c r="C64" s="12" t="s">
        <v>245</v>
      </c>
      <c r="D64" s="12" t="s">
        <v>286</v>
      </c>
      <c r="E64" s="12" t="s">
        <v>260</v>
      </c>
      <c r="F64" s="13">
        <v>0.61805555555555558</v>
      </c>
      <c r="G64" s="12" t="s">
        <v>264</v>
      </c>
      <c r="H64" s="13">
        <v>0.63888888888888884</v>
      </c>
      <c r="I64" s="26"/>
      <c r="J64" s="15"/>
      <c r="K64" s="47">
        <v>4400</v>
      </c>
      <c r="L64" s="15" t="s">
        <v>249</v>
      </c>
      <c r="M64" s="15"/>
    </row>
    <row r="65" spans="1:13">
      <c r="A65" s="14">
        <v>64</v>
      </c>
      <c r="B65" s="42">
        <v>45994</v>
      </c>
      <c r="C65" s="12" t="s">
        <v>245</v>
      </c>
      <c r="D65" s="12" t="s">
        <v>287</v>
      </c>
      <c r="E65" s="12" t="s">
        <v>264</v>
      </c>
      <c r="F65" s="13">
        <v>0.65972222222222221</v>
      </c>
      <c r="G65" s="12" t="s">
        <v>265</v>
      </c>
      <c r="H65" s="13">
        <v>0.67708333333333337</v>
      </c>
      <c r="I65" s="26"/>
      <c r="J65" s="15"/>
      <c r="K65" s="22">
        <v>5500</v>
      </c>
      <c r="L65" s="15" t="s">
        <v>249</v>
      </c>
      <c r="M65" s="15"/>
    </row>
    <row r="66" spans="1:13">
      <c r="A66" s="14">
        <v>65</v>
      </c>
      <c r="B66" s="42">
        <v>45994</v>
      </c>
      <c r="C66" s="12" t="s">
        <v>245</v>
      </c>
      <c r="D66" s="12" t="s">
        <v>288</v>
      </c>
      <c r="E66" s="12" t="s">
        <v>265</v>
      </c>
      <c r="F66" s="13">
        <v>0.70138888888888884</v>
      </c>
      <c r="G66" s="12" t="s">
        <v>264</v>
      </c>
      <c r="H66" s="13">
        <v>0.71875</v>
      </c>
      <c r="I66" s="26"/>
      <c r="J66" s="15"/>
      <c r="K66" s="22">
        <v>5500</v>
      </c>
      <c r="L66" s="15" t="s">
        <v>249</v>
      </c>
      <c r="M66" s="15"/>
    </row>
    <row r="67" spans="1:13">
      <c r="A67" s="14">
        <v>66</v>
      </c>
      <c r="B67" s="42">
        <v>45994</v>
      </c>
      <c r="C67" s="12" t="s">
        <v>245</v>
      </c>
      <c r="D67" s="12" t="s">
        <v>289</v>
      </c>
      <c r="E67" s="12" t="s">
        <v>264</v>
      </c>
      <c r="F67" s="13">
        <v>0.76041666666666663</v>
      </c>
      <c r="G67" s="12" t="s">
        <v>257</v>
      </c>
      <c r="H67" s="13">
        <v>0.79513888888888884</v>
      </c>
      <c r="I67" s="26"/>
      <c r="J67" s="15"/>
      <c r="K67" s="22">
        <v>4640</v>
      </c>
      <c r="L67" s="15" t="s">
        <v>249</v>
      </c>
      <c r="M67" s="15"/>
    </row>
    <row r="68" spans="1:13">
      <c r="A68" s="14">
        <v>67</v>
      </c>
      <c r="B68" s="42">
        <v>45994</v>
      </c>
      <c r="C68" s="12" t="s">
        <v>245</v>
      </c>
      <c r="D68" s="12">
        <v>920</v>
      </c>
      <c r="E68" s="12" t="s">
        <v>257</v>
      </c>
      <c r="F68" s="13">
        <v>0.82986111111111116</v>
      </c>
      <c r="G68" s="12" t="s">
        <v>246</v>
      </c>
      <c r="H68" s="13">
        <v>0.92013888888888884</v>
      </c>
      <c r="I68" s="26"/>
      <c r="J68" s="15"/>
      <c r="K68" s="22">
        <v>10590</v>
      </c>
      <c r="L68" s="15" t="s">
        <v>249</v>
      </c>
      <c r="M68" s="15"/>
    </row>
    <row r="69" spans="1:13">
      <c r="A69" s="14">
        <v>68</v>
      </c>
      <c r="B69" s="42">
        <v>45939</v>
      </c>
      <c r="C69" s="12" t="s">
        <v>245</v>
      </c>
      <c r="D69" s="12">
        <v>325</v>
      </c>
      <c r="E69" s="12" t="s">
        <v>246</v>
      </c>
      <c r="F69" s="13"/>
      <c r="G69" s="12" t="s">
        <v>247</v>
      </c>
      <c r="H69" s="13"/>
      <c r="I69" s="26"/>
      <c r="J69" s="15"/>
      <c r="K69" s="22">
        <v>0</v>
      </c>
      <c r="L69" s="15" t="s">
        <v>249</v>
      </c>
      <c r="M69" s="15"/>
    </row>
    <row r="70" spans="1:13">
      <c r="A70" s="14">
        <v>69</v>
      </c>
      <c r="B70" s="42">
        <v>45941</v>
      </c>
      <c r="C70" s="12" t="s">
        <v>245</v>
      </c>
      <c r="D70" s="12">
        <v>310</v>
      </c>
      <c r="E70" s="12" t="s">
        <v>247</v>
      </c>
      <c r="F70" s="13"/>
      <c r="G70" s="12" t="s">
        <v>246</v>
      </c>
      <c r="H70" s="13"/>
      <c r="I70" s="26"/>
      <c r="J70" s="15"/>
      <c r="K70" s="22">
        <v>0</v>
      </c>
      <c r="L70" s="15" t="s">
        <v>249</v>
      </c>
      <c r="M70" s="15"/>
    </row>
    <row r="71" spans="1:13">
      <c r="A71" s="14">
        <v>70</v>
      </c>
      <c r="B71" s="42">
        <v>46052</v>
      </c>
      <c r="C71" s="12" t="s">
        <v>245</v>
      </c>
      <c r="D71" s="12">
        <v>325</v>
      </c>
      <c r="E71" s="12" t="s">
        <v>246</v>
      </c>
      <c r="F71" s="13">
        <v>0.2638888888888889</v>
      </c>
      <c r="G71" s="12" t="s">
        <v>257</v>
      </c>
      <c r="H71" s="13">
        <v>0.38541666666666669</v>
      </c>
      <c r="I71" s="26"/>
      <c r="J71" s="15"/>
      <c r="K71" s="22">
        <f>132568/4</f>
        <v>33142</v>
      </c>
      <c r="L71" s="15" t="s">
        <v>249</v>
      </c>
      <c r="M71" s="15"/>
    </row>
    <row r="72" spans="1:13">
      <c r="A72" s="14">
        <v>71</v>
      </c>
      <c r="B72" s="42">
        <v>46054</v>
      </c>
      <c r="C72" s="12" t="s">
        <v>245</v>
      </c>
      <c r="D72" s="12">
        <v>310</v>
      </c>
      <c r="E72" s="12" t="s">
        <v>257</v>
      </c>
      <c r="F72" s="13">
        <v>0.51736111111111116</v>
      </c>
      <c r="G72" s="12" t="s">
        <v>246</v>
      </c>
      <c r="H72" s="13">
        <v>0.60763888888888884</v>
      </c>
      <c r="I72" s="26"/>
      <c r="J72" s="15"/>
      <c r="K72" s="22">
        <v>0</v>
      </c>
      <c r="L72" s="15" t="s">
        <v>249</v>
      </c>
      <c r="M72" s="15"/>
    </row>
    <row r="73" spans="1:13">
      <c r="A73" s="14">
        <v>72</v>
      </c>
      <c r="B73" s="42">
        <v>45932</v>
      </c>
      <c r="C73" s="12" t="s">
        <v>245</v>
      </c>
      <c r="D73" s="12"/>
      <c r="E73" s="12" t="s">
        <v>246</v>
      </c>
      <c r="F73" s="13"/>
      <c r="G73" s="12" t="s">
        <v>290</v>
      </c>
      <c r="H73" s="13"/>
      <c r="I73" s="26"/>
      <c r="J73" s="15"/>
      <c r="K73" s="22">
        <v>0</v>
      </c>
      <c r="L73" s="15" t="s">
        <v>249</v>
      </c>
      <c r="M73" s="15"/>
    </row>
    <row r="74" spans="1:13">
      <c r="A74" s="14">
        <v>73</v>
      </c>
      <c r="B74" s="42">
        <v>45951</v>
      </c>
      <c r="C74" s="12" t="s">
        <v>245</v>
      </c>
      <c r="D74" s="12"/>
      <c r="E74" s="12" t="s">
        <v>246</v>
      </c>
      <c r="F74" s="13"/>
      <c r="G74" s="12" t="s">
        <v>291</v>
      </c>
      <c r="H74" s="13"/>
      <c r="I74" s="26"/>
      <c r="J74" s="15"/>
      <c r="K74" s="22">
        <v>0</v>
      </c>
      <c r="L74" s="15" t="s">
        <v>249</v>
      </c>
      <c r="M74" s="15"/>
    </row>
    <row r="75" spans="1:13">
      <c r="A75" s="14">
        <v>74</v>
      </c>
      <c r="B75" s="42">
        <v>45953</v>
      </c>
      <c r="C75" s="12" t="s">
        <v>245</v>
      </c>
      <c r="D75" s="12"/>
      <c r="E75" s="12" t="s">
        <v>278</v>
      </c>
      <c r="F75" s="13"/>
      <c r="G75" s="12" t="s">
        <v>247</v>
      </c>
      <c r="H75" s="13"/>
      <c r="I75" s="26"/>
      <c r="J75" s="15"/>
      <c r="K75" s="22">
        <v>0</v>
      </c>
      <c r="L75" s="15" t="s">
        <v>249</v>
      </c>
      <c r="M75" s="15"/>
    </row>
    <row r="76" spans="1:13">
      <c r="A76" s="14">
        <v>75</v>
      </c>
      <c r="B76" s="42">
        <v>45953</v>
      </c>
      <c r="C76" s="12" t="s">
        <v>245</v>
      </c>
      <c r="D76" s="12"/>
      <c r="E76" s="12" t="s">
        <v>247</v>
      </c>
      <c r="F76" s="13"/>
      <c r="G76" s="12" t="s">
        <v>246</v>
      </c>
      <c r="H76" s="13"/>
      <c r="I76" s="26"/>
      <c r="J76" s="15"/>
      <c r="K76" s="22">
        <v>0</v>
      </c>
      <c r="L76" s="15" t="s">
        <v>249</v>
      </c>
      <c r="M76" s="15"/>
    </row>
    <row r="77" spans="1:13">
      <c r="A77" s="14">
        <v>76</v>
      </c>
      <c r="B77" s="42">
        <v>46030</v>
      </c>
      <c r="C77" s="12" t="s">
        <v>245</v>
      </c>
      <c r="D77" s="12"/>
      <c r="E77" s="12" t="s">
        <v>246</v>
      </c>
      <c r="F77" s="13">
        <v>0.78819444444444442</v>
      </c>
      <c r="G77" s="12" t="s">
        <v>247</v>
      </c>
      <c r="H77" s="13">
        <v>0.87847222222222221</v>
      </c>
      <c r="I77" s="26"/>
      <c r="J77" s="15"/>
      <c r="K77" s="47">
        <v>8810</v>
      </c>
      <c r="L77" s="15" t="s">
        <v>249</v>
      </c>
      <c r="M77" s="15"/>
    </row>
    <row r="78" spans="1:13">
      <c r="A78" s="14">
        <v>77</v>
      </c>
      <c r="B78" s="42">
        <v>46031</v>
      </c>
      <c r="C78" s="12" t="s">
        <v>245</v>
      </c>
      <c r="D78" s="12"/>
      <c r="E78" s="12" t="s">
        <v>247</v>
      </c>
      <c r="F78" s="13">
        <v>0.30208333333333331</v>
      </c>
      <c r="G78" s="12" t="s">
        <v>257</v>
      </c>
      <c r="H78" s="13">
        <v>0.375</v>
      </c>
      <c r="I78" s="26"/>
      <c r="J78" s="15"/>
      <c r="K78" s="22">
        <v>10800</v>
      </c>
      <c r="L78" s="15" t="s">
        <v>249</v>
      </c>
      <c r="M78" s="15"/>
    </row>
    <row r="79" spans="1:13">
      <c r="A79" s="14">
        <v>78</v>
      </c>
      <c r="B79" s="42">
        <v>46031</v>
      </c>
      <c r="C79" s="12" t="s">
        <v>245</v>
      </c>
      <c r="D79" s="12"/>
      <c r="E79" s="12" t="s">
        <v>257</v>
      </c>
      <c r="F79" s="13">
        <v>0.40625</v>
      </c>
      <c r="G79" s="12" t="s">
        <v>260</v>
      </c>
      <c r="H79" s="13">
        <v>0.4513888888888889</v>
      </c>
      <c r="I79" s="26"/>
      <c r="J79" s="15"/>
      <c r="K79" s="22">
        <v>4640</v>
      </c>
      <c r="L79" s="15" t="s">
        <v>249</v>
      </c>
      <c r="M79" s="15"/>
    </row>
    <row r="80" spans="1:13">
      <c r="A80" s="14">
        <v>79</v>
      </c>
      <c r="B80" s="42">
        <v>46031</v>
      </c>
      <c r="C80" s="12" t="s">
        <v>245</v>
      </c>
      <c r="D80" s="12"/>
      <c r="E80" s="12" t="s">
        <v>260</v>
      </c>
      <c r="F80" s="13">
        <v>0.47916666666666669</v>
      </c>
      <c r="G80" s="12" t="s">
        <v>257</v>
      </c>
      <c r="H80" s="13">
        <v>0.52083333333333337</v>
      </c>
      <c r="I80" s="26"/>
      <c r="J80" s="15"/>
      <c r="K80" s="22">
        <v>4640</v>
      </c>
      <c r="L80" s="15" t="s">
        <v>249</v>
      </c>
      <c r="M80" s="15"/>
    </row>
    <row r="81" spans="1:13">
      <c r="A81" s="14">
        <v>80</v>
      </c>
      <c r="B81" s="42">
        <v>46031</v>
      </c>
      <c r="C81" s="12" t="s">
        <v>245</v>
      </c>
      <c r="D81" s="12"/>
      <c r="E81" s="12" t="s">
        <v>257</v>
      </c>
      <c r="F81" s="13">
        <v>0.58333333333333337</v>
      </c>
      <c r="G81" s="12" t="s">
        <v>283</v>
      </c>
      <c r="H81" s="13">
        <v>0.60763888888888884</v>
      </c>
      <c r="I81" s="26"/>
      <c r="J81" s="15"/>
      <c r="K81" s="22">
        <v>4640</v>
      </c>
      <c r="L81" s="15" t="s">
        <v>249</v>
      </c>
      <c r="M81" s="15"/>
    </row>
    <row r="82" spans="1:13">
      <c r="A82" s="14">
        <v>81</v>
      </c>
      <c r="B82" s="42">
        <v>46031</v>
      </c>
      <c r="C82" s="12" t="s">
        <v>245</v>
      </c>
      <c r="D82" s="12"/>
      <c r="E82" s="12" t="s">
        <v>283</v>
      </c>
      <c r="F82" s="13">
        <v>0.63541666666666663</v>
      </c>
      <c r="G82" s="12" t="s">
        <v>257</v>
      </c>
      <c r="H82" s="13">
        <v>0.66319444444444442</v>
      </c>
      <c r="I82" s="26"/>
      <c r="J82" s="15"/>
      <c r="K82" s="22">
        <v>4640</v>
      </c>
      <c r="L82" s="15" t="s">
        <v>249</v>
      </c>
      <c r="M82" s="15"/>
    </row>
    <row r="83" spans="1:13">
      <c r="A83" s="14">
        <v>82</v>
      </c>
      <c r="B83" s="42">
        <v>46031</v>
      </c>
      <c r="C83" s="12" t="s">
        <v>245</v>
      </c>
      <c r="D83" s="12"/>
      <c r="E83" s="12" t="s">
        <v>257</v>
      </c>
      <c r="F83" s="13">
        <v>0.69444444444444442</v>
      </c>
      <c r="G83" s="12" t="s">
        <v>264</v>
      </c>
      <c r="H83" s="13">
        <v>0.73263888888888884</v>
      </c>
      <c r="I83" s="26"/>
      <c r="J83" s="15"/>
      <c r="K83" s="22">
        <v>4640</v>
      </c>
      <c r="L83" s="15" t="s">
        <v>249</v>
      </c>
      <c r="M83" s="15"/>
    </row>
    <row r="84" spans="1:13">
      <c r="A84" s="14">
        <v>83</v>
      </c>
      <c r="B84" s="42">
        <v>46031</v>
      </c>
      <c r="C84" s="12" t="s">
        <v>245</v>
      </c>
      <c r="D84" s="12"/>
      <c r="E84" s="12" t="s">
        <v>264</v>
      </c>
      <c r="F84" s="13">
        <v>0.76041666666666663</v>
      </c>
      <c r="G84" s="12" t="s">
        <v>257</v>
      </c>
      <c r="H84" s="13">
        <v>0.79513888888888884</v>
      </c>
      <c r="I84" s="26"/>
      <c r="J84" s="15"/>
      <c r="K84" s="22">
        <v>7500</v>
      </c>
      <c r="L84" s="15" t="s">
        <v>249</v>
      </c>
      <c r="M84" s="15"/>
    </row>
    <row r="85" spans="1:13">
      <c r="A85" s="14">
        <v>84</v>
      </c>
      <c r="B85" s="42">
        <v>46031</v>
      </c>
      <c r="C85" s="12" t="s">
        <v>245</v>
      </c>
      <c r="D85" s="12"/>
      <c r="E85" s="12" t="s">
        <v>257</v>
      </c>
      <c r="F85" s="13">
        <v>0.82291666666666663</v>
      </c>
      <c r="G85" s="12" t="s">
        <v>247</v>
      </c>
      <c r="H85" s="13">
        <v>0.89236111111111116</v>
      </c>
      <c r="I85" s="26"/>
      <c r="J85" s="15"/>
      <c r="K85" s="22">
        <v>8050</v>
      </c>
      <c r="L85" s="15" t="s">
        <v>249</v>
      </c>
      <c r="M85" s="15"/>
    </row>
    <row r="86" spans="1:13">
      <c r="A86" s="14">
        <v>85</v>
      </c>
      <c r="B86" s="42">
        <v>46032</v>
      </c>
      <c r="C86" s="12" t="s">
        <v>245</v>
      </c>
      <c r="D86" s="12"/>
      <c r="E86" s="12" t="s">
        <v>247</v>
      </c>
      <c r="F86" s="13">
        <v>0.30555555555555558</v>
      </c>
      <c r="G86" s="12" t="s">
        <v>254</v>
      </c>
      <c r="H86" s="13">
        <v>0.33333333333333331</v>
      </c>
      <c r="I86" s="26"/>
      <c r="J86" s="15"/>
      <c r="K86" s="22">
        <v>6490</v>
      </c>
      <c r="L86" s="15" t="s">
        <v>249</v>
      </c>
      <c r="M86" s="15"/>
    </row>
    <row r="87" spans="1:13">
      <c r="A87" s="14">
        <v>86</v>
      </c>
      <c r="B87" s="42">
        <v>46032</v>
      </c>
      <c r="C87" s="12" t="s">
        <v>245</v>
      </c>
      <c r="D87" s="12"/>
      <c r="E87" s="12" t="s">
        <v>254</v>
      </c>
      <c r="F87" s="13">
        <v>0.54861111111111116</v>
      </c>
      <c r="G87" s="12" t="s">
        <v>247</v>
      </c>
      <c r="H87" s="13">
        <v>0.58333333333333337</v>
      </c>
      <c r="I87" s="26"/>
      <c r="J87" s="15"/>
      <c r="K87" s="22">
        <v>6490</v>
      </c>
      <c r="L87" s="15" t="s">
        <v>249</v>
      </c>
      <c r="M87" s="15"/>
    </row>
    <row r="88" spans="1:13">
      <c r="A88" s="14">
        <v>87</v>
      </c>
      <c r="B88" s="42">
        <v>46032</v>
      </c>
      <c r="C88" s="12" t="s">
        <v>245</v>
      </c>
      <c r="D88" s="12"/>
      <c r="E88" s="12" t="s">
        <v>247</v>
      </c>
      <c r="F88" s="13">
        <v>0.59722222222222221</v>
      </c>
      <c r="G88" s="12" t="s">
        <v>292</v>
      </c>
      <c r="H88" s="13">
        <v>0.63541666666666663</v>
      </c>
      <c r="I88" s="26"/>
      <c r="J88" s="15"/>
      <c r="K88" s="22">
        <v>6710</v>
      </c>
      <c r="L88" s="15" t="s">
        <v>249</v>
      </c>
      <c r="M88" s="15"/>
    </row>
    <row r="89" spans="1:13">
      <c r="A89" s="14">
        <v>88</v>
      </c>
      <c r="B89" s="42">
        <v>46032</v>
      </c>
      <c r="C89" s="12" t="s">
        <v>245</v>
      </c>
      <c r="D89" s="12"/>
      <c r="E89" s="12" t="s">
        <v>292</v>
      </c>
      <c r="F89" s="13">
        <v>0.66319444444444442</v>
      </c>
      <c r="G89" s="12" t="s">
        <v>247</v>
      </c>
      <c r="H89" s="13">
        <v>0.70486111111111116</v>
      </c>
      <c r="I89" s="26"/>
      <c r="J89" s="15"/>
      <c r="K89" s="22">
        <v>6710</v>
      </c>
      <c r="L89" s="15" t="s">
        <v>249</v>
      </c>
      <c r="M89" s="15"/>
    </row>
    <row r="90" spans="1:13">
      <c r="A90" s="14">
        <v>89</v>
      </c>
      <c r="B90" s="42">
        <v>46033</v>
      </c>
      <c r="C90" s="12" t="s">
        <v>245</v>
      </c>
      <c r="D90" s="12"/>
      <c r="E90" s="12" t="s">
        <v>247</v>
      </c>
      <c r="F90" s="13">
        <v>0.30208333333333331</v>
      </c>
      <c r="G90" s="12" t="s">
        <v>257</v>
      </c>
      <c r="H90" s="13">
        <v>0.375</v>
      </c>
      <c r="I90" s="26"/>
      <c r="J90" s="15"/>
      <c r="K90" s="22">
        <v>9150</v>
      </c>
      <c r="L90" s="15" t="s">
        <v>249</v>
      </c>
      <c r="M90" s="15"/>
    </row>
    <row r="91" spans="1:13">
      <c r="A91" s="14">
        <v>90</v>
      </c>
      <c r="B91" s="42">
        <v>46033</v>
      </c>
      <c r="C91" s="12" t="s">
        <v>245</v>
      </c>
      <c r="D91" s="12"/>
      <c r="E91" s="12" t="s">
        <v>257</v>
      </c>
      <c r="F91" s="13">
        <v>0.40625</v>
      </c>
      <c r="G91" s="12" t="s">
        <v>260</v>
      </c>
      <c r="H91" s="13">
        <v>0.4513888888888889</v>
      </c>
      <c r="I91" s="26"/>
      <c r="J91" s="15"/>
      <c r="K91" s="22">
        <v>5740</v>
      </c>
      <c r="L91" s="15" t="s">
        <v>249</v>
      </c>
      <c r="M91" s="15"/>
    </row>
    <row r="92" spans="1:13">
      <c r="A92" s="14">
        <v>91</v>
      </c>
      <c r="B92" s="42">
        <v>46033</v>
      </c>
      <c r="C92" s="12" t="s">
        <v>245</v>
      </c>
      <c r="D92" s="12"/>
      <c r="E92" s="12" t="s">
        <v>260</v>
      </c>
      <c r="F92" s="13">
        <v>0.47916666666666669</v>
      </c>
      <c r="G92" s="12" t="s">
        <v>257</v>
      </c>
      <c r="H92" s="13">
        <v>0.52083333333333337</v>
      </c>
      <c r="I92" s="26"/>
      <c r="J92" s="15"/>
      <c r="K92" s="22">
        <v>5740</v>
      </c>
      <c r="L92" s="15" t="s">
        <v>249</v>
      </c>
      <c r="M92" s="15"/>
    </row>
    <row r="93" spans="1:13">
      <c r="A93" s="14">
        <v>92</v>
      </c>
      <c r="B93" s="42">
        <v>46033</v>
      </c>
      <c r="C93" s="12" t="s">
        <v>245</v>
      </c>
      <c r="D93" s="12"/>
      <c r="E93" s="12" t="s">
        <v>257</v>
      </c>
      <c r="F93" s="13">
        <v>0.55208333333333337</v>
      </c>
      <c r="G93" s="12" t="s">
        <v>293</v>
      </c>
      <c r="H93" s="13">
        <v>0.57986111111111116</v>
      </c>
      <c r="I93" s="26"/>
      <c r="J93" s="15"/>
      <c r="K93" s="22">
        <v>12340</v>
      </c>
      <c r="L93" s="15" t="s">
        <v>249</v>
      </c>
      <c r="M93" s="15"/>
    </row>
    <row r="94" spans="1:13">
      <c r="A94" s="14">
        <v>93</v>
      </c>
      <c r="B94" s="42">
        <v>46033</v>
      </c>
      <c r="C94" s="12" t="s">
        <v>245</v>
      </c>
      <c r="D94" s="12"/>
      <c r="E94" s="12" t="s">
        <v>293</v>
      </c>
      <c r="F94" s="13">
        <v>0.60069444444444442</v>
      </c>
      <c r="G94" s="12" t="s">
        <v>257</v>
      </c>
      <c r="H94" s="13">
        <v>0.625</v>
      </c>
      <c r="I94" s="26"/>
      <c r="J94" s="15"/>
      <c r="K94" s="22">
        <v>12340</v>
      </c>
      <c r="L94" s="15" t="s">
        <v>249</v>
      </c>
      <c r="M94" s="15"/>
    </row>
    <row r="95" spans="1:13">
      <c r="A95" s="14">
        <v>94</v>
      </c>
      <c r="B95" s="42">
        <v>46033</v>
      </c>
      <c r="C95" s="12" t="s">
        <v>245</v>
      </c>
      <c r="D95" s="12"/>
      <c r="E95" s="12" t="s">
        <v>257</v>
      </c>
      <c r="F95" s="13">
        <v>0.65277777777777779</v>
      </c>
      <c r="G95" s="12" t="s">
        <v>283</v>
      </c>
      <c r="H95" s="13">
        <v>0.67708333333333337</v>
      </c>
      <c r="I95" s="26"/>
      <c r="J95" s="15"/>
      <c r="K95" s="22">
        <v>10910</v>
      </c>
      <c r="L95" s="15" t="s">
        <v>249</v>
      </c>
      <c r="M95" s="15"/>
    </row>
    <row r="96" spans="1:13">
      <c r="A96" s="14">
        <v>95</v>
      </c>
      <c r="B96" s="42">
        <v>46033</v>
      </c>
      <c r="C96" s="12" t="s">
        <v>245</v>
      </c>
      <c r="D96" s="12"/>
      <c r="E96" s="12" t="s">
        <v>283</v>
      </c>
      <c r="F96" s="13">
        <v>0.69791666666666663</v>
      </c>
      <c r="G96" s="12" t="s">
        <v>257</v>
      </c>
      <c r="H96" s="13">
        <v>0.72222222222222221</v>
      </c>
      <c r="I96" s="26"/>
      <c r="J96" s="15"/>
      <c r="K96" s="22">
        <v>4640</v>
      </c>
      <c r="L96" s="15" t="s">
        <v>249</v>
      </c>
      <c r="M96" s="15"/>
    </row>
    <row r="97" spans="1:13">
      <c r="A97" s="14">
        <v>96</v>
      </c>
      <c r="B97" s="42">
        <v>46033</v>
      </c>
      <c r="C97" s="12" t="s">
        <v>245</v>
      </c>
      <c r="D97" s="12"/>
      <c r="E97" s="12" t="s">
        <v>257</v>
      </c>
      <c r="F97" s="13">
        <v>0.79166666666666663</v>
      </c>
      <c r="G97" s="12" t="s">
        <v>246</v>
      </c>
      <c r="H97" s="13">
        <v>0.88194444444444442</v>
      </c>
      <c r="I97" s="26"/>
      <c r="J97" s="15"/>
      <c r="K97" s="22">
        <v>10590</v>
      </c>
      <c r="L97" s="15" t="s">
        <v>249</v>
      </c>
      <c r="M97" s="15"/>
    </row>
    <row r="98" spans="1:13">
      <c r="A98" s="14">
        <v>97</v>
      </c>
      <c r="B98" s="42">
        <v>46046</v>
      </c>
      <c r="C98" s="12" t="s">
        <v>245</v>
      </c>
      <c r="D98" s="12"/>
      <c r="E98" s="12" t="s">
        <v>246</v>
      </c>
      <c r="F98" s="13">
        <v>0.2638888888888889</v>
      </c>
      <c r="G98" s="12" t="s">
        <v>257</v>
      </c>
      <c r="H98" s="13">
        <v>0.38541666666666669</v>
      </c>
      <c r="I98" s="26"/>
      <c r="J98" s="15"/>
      <c r="K98" s="22">
        <v>10590</v>
      </c>
      <c r="L98" s="15" t="s">
        <v>249</v>
      </c>
      <c r="M98" s="15"/>
    </row>
    <row r="99" spans="1:13">
      <c r="A99" s="14">
        <v>98</v>
      </c>
      <c r="B99" s="42">
        <v>46046</v>
      </c>
      <c r="C99" s="12" t="s">
        <v>245</v>
      </c>
      <c r="D99" s="12"/>
      <c r="E99" s="12" t="s">
        <v>257</v>
      </c>
      <c r="F99" s="13">
        <v>0.4548611111111111</v>
      </c>
      <c r="G99" s="12" t="s">
        <v>264</v>
      </c>
      <c r="H99" s="13">
        <v>0.49305555555555558</v>
      </c>
      <c r="I99" s="26"/>
      <c r="J99" s="15"/>
      <c r="K99" s="22">
        <v>5740</v>
      </c>
      <c r="L99" s="15" t="s">
        <v>249</v>
      </c>
      <c r="M99" s="15"/>
    </row>
    <row r="100" spans="1:13">
      <c r="A100" s="14">
        <v>99</v>
      </c>
      <c r="B100" s="42">
        <v>46046</v>
      </c>
      <c r="C100" s="12" t="s">
        <v>245</v>
      </c>
      <c r="D100" s="12"/>
      <c r="E100" s="12" t="s">
        <v>264</v>
      </c>
      <c r="F100" s="13">
        <v>0.52083333333333337</v>
      </c>
      <c r="G100" s="12" t="s">
        <v>257</v>
      </c>
      <c r="H100" s="13">
        <v>0.55555555555555558</v>
      </c>
      <c r="I100" s="26"/>
      <c r="J100" s="15"/>
      <c r="K100" s="22">
        <v>5740</v>
      </c>
      <c r="L100" s="15" t="s">
        <v>249</v>
      </c>
      <c r="M100" s="15"/>
    </row>
    <row r="101" spans="1:13">
      <c r="A101" s="14">
        <v>100</v>
      </c>
      <c r="B101" s="42">
        <v>46046</v>
      </c>
      <c r="C101" s="12" t="s">
        <v>245</v>
      </c>
      <c r="D101" s="12"/>
      <c r="E101" s="12" t="s">
        <v>257</v>
      </c>
      <c r="F101" s="13">
        <v>0.59375</v>
      </c>
      <c r="G101" s="12" t="s">
        <v>294</v>
      </c>
      <c r="H101" s="13">
        <v>0.63541666666666663</v>
      </c>
      <c r="I101" s="26"/>
      <c r="J101" s="15"/>
      <c r="K101" s="22">
        <v>9040</v>
      </c>
      <c r="L101" s="15" t="s">
        <v>249</v>
      </c>
      <c r="M101" s="15"/>
    </row>
    <row r="102" spans="1:13">
      <c r="A102" s="14">
        <v>101</v>
      </c>
      <c r="B102" s="42">
        <v>46046</v>
      </c>
      <c r="C102" s="12" t="s">
        <v>245</v>
      </c>
      <c r="D102" s="12"/>
      <c r="E102" s="12" t="s">
        <v>294</v>
      </c>
      <c r="F102" s="13">
        <v>0.65625</v>
      </c>
      <c r="G102" s="12" t="s">
        <v>257</v>
      </c>
      <c r="H102" s="13">
        <v>0.70138888888888884</v>
      </c>
      <c r="I102" s="26"/>
      <c r="J102" s="15"/>
      <c r="K102" s="22">
        <v>9040</v>
      </c>
      <c r="L102" s="15" t="s">
        <v>249</v>
      </c>
      <c r="M102" s="15"/>
    </row>
    <row r="103" spans="1:13">
      <c r="A103" s="14">
        <v>102</v>
      </c>
      <c r="B103" s="42">
        <v>46046</v>
      </c>
      <c r="C103" s="12" t="s">
        <v>245</v>
      </c>
      <c r="D103" s="12"/>
      <c r="E103" s="12" t="s">
        <v>257</v>
      </c>
      <c r="F103" s="13">
        <v>0.87152777777777779</v>
      </c>
      <c r="G103" s="12" t="s">
        <v>246</v>
      </c>
      <c r="H103" s="13">
        <v>0.96180555555555558</v>
      </c>
      <c r="I103" s="26"/>
      <c r="J103" s="15"/>
      <c r="K103" s="22">
        <v>10590</v>
      </c>
      <c r="L103" s="15" t="s">
        <v>249</v>
      </c>
      <c r="M103" s="15"/>
    </row>
    <row r="104" spans="1:13">
      <c r="A104" s="14">
        <v>103</v>
      </c>
      <c r="B104" s="42">
        <v>45981</v>
      </c>
      <c r="C104" s="12" t="s">
        <v>245</v>
      </c>
      <c r="D104" s="12"/>
      <c r="E104" s="12" t="s">
        <v>246</v>
      </c>
      <c r="F104" s="13"/>
      <c r="G104" s="12" t="s">
        <v>295</v>
      </c>
      <c r="H104" s="13"/>
      <c r="I104" s="26"/>
      <c r="J104" s="15"/>
      <c r="K104" s="22">
        <v>0</v>
      </c>
      <c r="L104" s="15" t="s">
        <v>249</v>
      </c>
      <c r="M104" s="15"/>
    </row>
    <row r="105" spans="1:13">
      <c r="A105" s="14">
        <v>104</v>
      </c>
      <c r="B105" s="42">
        <v>45983</v>
      </c>
      <c r="C105" s="12" t="s">
        <v>245</v>
      </c>
      <c r="D105" s="12"/>
      <c r="E105" s="12" t="s">
        <v>295</v>
      </c>
      <c r="F105" s="13"/>
      <c r="G105" s="12" t="s">
        <v>246</v>
      </c>
      <c r="H105" s="13"/>
      <c r="I105" s="26"/>
      <c r="J105" s="15"/>
      <c r="K105" s="22">
        <v>0</v>
      </c>
      <c r="L105" s="15" t="s">
        <v>249</v>
      </c>
      <c r="M105" s="15"/>
    </row>
    <row r="106" spans="1:13">
      <c r="A106" s="14">
        <v>105</v>
      </c>
      <c r="B106" s="42">
        <v>45985</v>
      </c>
      <c r="C106" s="12" t="s">
        <v>245</v>
      </c>
      <c r="D106" s="12"/>
      <c r="E106" s="12" t="s">
        <v>246</v>
      </c>
      <c r="F106" s="13"/>
      <c r="G106" s="12" t="s">
        <v>247</v>
      </c>
      <c r="H106" s="13"/>
      <c r="I106" s="26"/>
      <c r="J106" s="15"/>
      <c r="K106" s="22">
        <v>0</v>
      </c>
      <c r="L106" s="15" t="s">
        <v>249</v>
      </c>
      <c r="M106" s="15"/>
    </row>
    <row r="107" spans="1:13">
      <c r="A107" s="14">
        <v>106</v>
      </c>
      <c r="B107" s="42">
        <v>45986</v>
      </c>
      <c r="C107" s="12" t="s">
        <v>245</v>
      </c>
      <c r="D107" s="12"/>
      <c r="E107" s="12" t="s">
        <v>247</v>
      </c>
      <c r="F107" s="13"/>
      <c r="G107" s="12" t="s">
        <v>246</v>
      </c>
      <c r="H107" s="13"/>
      <c r="I107" s="26"/>
      <c r="J107" s="15"/>
      <c r="K107" s="22">
        <v>0</v>
      </c>
      <c r="L107" s="15" t="s">
        <v>249</v>
      </c>
      <c r="M107" s="15"/>
    </row>
    <row r="108" spans="1:13">
      <c r="A108" s="14">
        <v>107</v>
      </c>
      <c r="B108" s="42">
        <v>45987</v>
      </c>
      <c r="C108" s="12" t="s">
        <v>245</v>
      </c>
      <c r="D108" s="12"/>
      <c r="E108" s="12" t="s">
        <v>246</v>
      </c>
      <c r="F108" s="13"/>
      <c r="G108" s="12" t="s">
        <v>279</v>
      </c>
      <c r="H108" s="13"/>
      <c r="I108" s="26"/>
      <c r="J108" s="15"/>
      <c r="K108" s="22">
        <v>0</v>
      </c>
      <c r="L108" s="15" t="s">
        <v>249</v>
      </c>
      <c r="M108" s="15"/>
    </row>
    <row r="109" spans="1:13">
      <c r="A109" s="14">
        <v>108</v>
      </c>
      <c r="B109" s="42">
        <v>45988</v>
      </c>
      <c r="C109" s="12" t="s">
        <v>245</v>
      </c>
      <c r="D109" s="12"/>
      <c r="E109" s="12" t="s">
        <v>279</v>
      </c>
      <c r="F109" s="13"/>
      <c r="G109" s="12" t="s">
        <v>246</v>
      </c>
      <c r="H109" s="13"/>
      <c r="I109" s="26"/>
      <c r="J109" s="15"/>
      <c r="K109" s="22">
        <v>0</v>
      </c>
      <c r="L109" s="15" t="s">
        <v>249</v>
      </c>
      <c r="M109" s="15"/>
    </row>
    <row r="110" spans="1:13">
      <c r="A110" s="14">
        <v>109</v>
      </c>
      <c r="B110" s="42">
        <v>45992</v>
      </c>
      <c r="C110" s="12" t="s">
        <v>245</v>
      </c>
      <c r="D110" s="12"/>
      <c r="E110" s="12" t="s">
        <v>246</v>
      </c>
      <c r="F110" s="13"/>
      <c r="G110" s="12" t="s">
        <v>247</v>
      </c>
      <c r="H110" s="13"/>
      <c r="I110" s="26"/>
      <c r="J110" s="15"/>
      <c r="K110" s="22">
        <v>0</v>
      </c>
      <c r="L110" s="15" t="s">
        <v>249</v>
      </c>
      <c r="M110" s="15"/>
    </row>
    <row r="111" spans="1:13">
      <c r="A111" s="14">
        <v>110</v>
      </c>
      <c r="B111" s="42">
        <v>45993</v>
      </c>
      <c r="C111" s="12" t="s">
        <v>245</v>
      </c>
      <c r="D111" s="12"/>
      <c r="E111" s="12" t="s">
        <v>247</v>
      </c>
      <c r="F111" s="13"/>
      <c r="G111" s="12" t="s">
        <v>246</v>
      </c>
      <c r="H111" s="13"/>
      <c r="I111" s="26"/>
      <c r="J111" s="15"/>
      <c r="K111" s="22">
        <v>0</v>
      </c>
      <c r="L111" s="15" t="s">
        <v>249</v>
      </c>
      <c r="M111" s="15"/>
    </row>
    <row r="112" spans="1:13">
      <c r="A112" s="14">
        <v>111</v>
      </c>
      <c r="B112" s="42">
        <v>46059</v>
      </c>
      <c r="C112" s="12" t="s">
        <v>245</v>
      </c>
      <c r="D112" s="12">
        <v>303</v>
      </c>
      <c r="E112" s="12" t="s">
        <v>246</v>
      </c>
      <c r="F112" s="13">
        <v>0.2673611111111111</v>
      </c>
      <c r="G112" s="12" t="s">
        <v>247</v>
      </c>
      <c r="H112" s="13">
        <v>0.35416666666666669</v>
      </c>
      <c r="I112" s="26"/>
      <c r="J112" s="15"/>
      <c r="K112" s="22">
        <v>9360</v>
      </c>
      <c r="L112" s="15" t="s">
        <v>249</v>
      </c>
      <c r="M112" s="15"/>
    </row>
    <row r="113" spans="1:13">
      <c r="A113" s="14">
        <v>112</v>
      </c>
      <c r="B113" s="42">
        <v>46059</v>
      </c>
      <c r="C113" s="12" t="s">
        <v>245</v>
      </c>
      <c r="D113" s="12">
        <v>3581</v>
      </c>
      <c r="E113" s="12" t="s">
        <v>247</v>
      </c>
      <c r="F113" s="13">
        <v>0.37847222222222221</v>
      </c>
      <c r="G113" s="12" t="s">
        <v>277</v>
      </c>
      <c r="H113" s="13">
        <v>0.41319444444444442</v>
      </c>
      <c r="I113" s="26"/>
      <c r="J113" s="15"/>
      <c r="K113" s="22">
        <v>8910</v>
      </c>
      <c r="L113" s="15" t="s">
        <v>249</v>
      </c>
      <c r="M113" s="15"/>
    </row>
    <row r="114" spans="1:13">
      <c r="A114" s="14">
        <v>113</v>
      </c>
      <c r="B114" s="42">
        <v>46059</v>
      </c>
      <c r="C114" s="12" t="s">
        <v>245</v>
      </c>
      <c r="D114" s="12">
        <v>3582</v>
      </c>
      <c r="E114" s="12" t="s">
        <v>277</v>
      </c>
      <c r="F114" s="13">
        <v>0.43402777777777779</v>
      </c>
      <c r="G114" s="12" t="s">
        <v>247</v>
      </c>
      <c r="H114" s="13">
        <v>0.47916666666666669</v>
      </c>
      <c r="I114" s="26"/>
      <c r="J114" s="15"/>
      <c r="K114" s="22">
        <v>8910</v>
      </c>
      <c r="L114" s="15" t="s">
        <v>249</v>
      </c>
      <c r="M114" s="15"/>
    </row>
    <row r="115" spans="1:13">
      <c r="A115" s="14">
        <v>114</v>
      </c>
      <c r="B115" s="42">
        <v>46059</v>
      </c>
      <c r="C115" s="12" t="s">
        <v>245</v>
      </c>
      <c r="D115" s="12"/>
      <c r="E115" s="12" t="s">
        <v>247</v>
      </c>
      <c r="F115" s="13">
        <v>0.49305555555555558</v>
      </c>
      <c r="G115" s="12" t="s">
        <v>254</v>
      </c>
      <c r="H115" s="13">
        <v>0.52777777777777779</v>
      </c>
      <c r="I115" s="26"/>
      <c r="J115" s="15"/>
      <c r="K115" s="22">
        <v>19238</v>
      </c>
      <c r="L115" s="15" t="s">
        <v>249</v>
      </c>
      <c r="M115" s="15"/>
    </row>
    <row r="116" spans="1:13">
      <c r="A116" s="14">
        <v>115</v>
      </c>
      <c r="B116" s="42">
        <v>46059</v>
      </c>
      <c r="C116" s="12" t="s">
        <v>245</v>
      </c>
      <c r="D116" s="12"/>
      <c r="E116" s="12" t="s">
        <v>254</v>
      </c>
      <c r="F116" s="13">
        <v>0.54861111111111116</v>
      </c>
      <c r="G116" s="12" t="s">
        <v>247</v>
      </c>
      <c r="H116" s="13">
        <v>0.58333333333333337</v>
      </c>
      <c r="I116" s="26"/>
      <c r="J116" s="15"/>
      <c r="K116" s="22">
        <v>0</v>
      </c>
      <c r="L116" s="15" t="s">
        <v>249</v>
      </c>
      <c r="M116" s="15"/>
    </row>
    <row r="117" spans="1:13">
      <c r="A117" s="14">
        <v>118</v>
      </c>
      <c r="B117" s="42">
        <v>46059</v>
      </c>
      <c r="C117" s="12" t="s">
        <v>256</v>
      </c>
      <c r="D117" s="12">
        <v>63</v>
      </c>
      <c r="E117" s="12" t="s">
        <v>247</v>
      </c>
      <c r="F117" s="13">
        <v>0.73263888888888884</v>
      </c>
      <c r="G117" s="12" t="s">
        <v>257</v>
      </c>
      <c r="H117" s="13">
        <v>0.80902777777777779</v>
      </c>
      <c r="I117" s="26"/>
      <c r="J117" s="15"/>
      <c r="K117" s="22">
        <v>9150</v>
      </c>
      <c r="L117" s="15" t="s">
        <v>249</v>
      </c>
      <c r="M117" s="15"/>
    </row>
    <row r="118" spans="1:13">
      <c r="A118" s="14">
        <v>126</v>
      </c>
      <c r="B118" s="42">
        <v>46060</v>
      </c>
      <c r="C118" s="12"/>
      <c r="D118" s="12"/>
      <c r="E118" s="12" t="s">
        <v>257</v>
      </c>
      <c r="F118" s="13">
        <v>0.60069444444444442</v>
      </c>
      <c r="G118" s="12" t="s">
        <v>264</v>
      </c>
      <c r="H118" s="13">
        <v>0.64236111111111116</v>
      </c>
      <c r="I118" s="26"/>
      <c r="J118" s="15"/>
      <c r="K118" s="22">
        <v>5740</v>
      </c>
      <c r="L118" s="15" t="s">
        <v>249</v>
      </c>
      <c r="M118" s="15"/>
    </row>
    <row r="119" spans="1:13">
      <c r="A119" s="14">
        <v>127</v>
      </c>
      <c r="B119" s="42">
        <v>46060</v>
      </c>
      <c r="C119" s="12"/>
      <c r="D119" s="12"/>
      <c r="E119" s="12" t="s">
        <v>264</v>
      </c>
      <c r="F119" s="13">
        <v>0.67013888888888884</v>
      </c>
      <c r="G119" s="12" t="s">
        <v>257</v>
      </c>
      <c r="H119" s="13">
        <v>0.70486111111111116</v>
      </c>
      <c r="I119" s="26"/>
      <c r="J119" s="15"/>
      <c r="K119" s="22">
        <v>5740</v>
      </c>
      <c r="L119" s="15" t="s">
        <v>249</v>
      </c>
      <c r="M119" s="15"/>
    </row>
    <row r="120" spans="1:13">
      <c r="A120" s="14">
        <v>128</v>
      </c>
      <c r="B120" s="42">
        <v>46060</v>
      </c>
      <c r="C120" s="12"/>
      <c r="D120" s="12"/>
      <c r="E120" s="12" t="s">
        <v>257</v>
      </c>
      <c r="F120" s="13">
        <v>0.72222222222222221</v>
      </c>
      <c r="G120" s="12" t="s">
        <v>283</v>
      </c>
      <c r="H120" s="13">
        <v>0.74652777777777779</v>
      </c>
      <c r="I120" s="26"/>
      <c r="J120" s="15"/>
      <c r="K120" s="22">
        <v>4640</v>
      </c>
      <c r="L120" s="15" t="s">
        <v>249</v>
      </c>
      <c r="M120" s="15"/>
    </row>
    <row r="121" spans="1:13">
      <c r="A121" s="14">
        <v>129</v>
      </c>
      <c r="B121" s="42">
        <v>46060</v>
      </c>
      <c r="C121" s="12"/>
      <c r="D121" s="12"/>
      <c r="E121" s="12" t="s">
        <v>283</v>
      </c>
      <c r="F121" s="13">
        <v>0.76736111111111116</v>
      </c>
      <c r="G121" s="12" t="s">
        <v>257</v>
      </c>
      <c r="H121" s="13">
        <v>0.79513888888888884</v>
      </c>
      <c r="I121" s="26"/>
      <c r="J121" s="15"/>
      <c r="K121" s="22">
        <v>9260</v>
      </c>
      <c r="L121" s="15" t="s">
        <v>249</v>
      </c>
      <c r="M121" s="15"/>
    </row>
    <row r="122" spans="1:13">
      <c r="A122" s="14">
        <v>130</v>
      </c>
      <c r="B122" s="42">
        <v>46060</v>
      </c>
      <c r="C122" s="12" t="s">
        <v>256</v>
      </c>
      <c r="D122" s="12">
        <v>62</v>
      </c>
      <c r="E122" s="12" t="s">
        <v>257</v>
      </c>
      <c r="F122" s="13">
        <v>0.82291666666666663</v>
      </c>
      <c r="G122" s="12" t="s">
        <v>247</v>
      </c>
      <c r="H122" s="13">
        <v>0.89236111111111116</v>
      </c>
      <c r="I122" s="26"/>
      <c r="J122" s="15"/>
      <c r="K122" s="22">
        <v>10250</v>
      </c>
      <c r="L122" s="15" t="s">
        <v>249</v>
      </c>
      <c r="M122" s="15"/>
    </row>
    <row r="123" spans="1:13">
      <c r="A123" s="14">
        <v>131</v>
      </c>
      <c r="B123" s="42">
        <v>46061</v>
      </c>
      <c r="C123" s="12"/>
      <c r="D123" s="12"/>
      <c r="E123" s="12" t="s">
        <v>247</v>
      </c>
      <c r="F123" s="13">
        <v>0.30208333333333331</v>
      </c>
      <c r="G123" s="12" t="s">
        <v>257</v>
      </c>
      <c r="H123" s="13">
        <v>0.37847222222222221</v>
      </c>
      <c r="I123" s="26"/>
      <c r="J123" s="15"/>
      <c r="K123" s="22">
        <v>10250</v>
      </c>
      <c r="L123" s="15" t="s">
        <v>249</v>
      </c>
      <c r="M123" s="15"/>
    </row>
    <row r="124" spans="1:13">
      <c r="A124" s="14">
        <v>132</v>
      </c>
      <c r="B124" s="42">
        <v>46061</v>
      </c>
      <c r="C124" s="12" t="s">
        <v>261</v>
      </c>
      <c r="D124" s="12">
        <v>873</v>
      </c>
      <c r="E124" s="12" t="s">
        <v>257</v>
      </c>
      <c r="F124" s="13">
        <v>0.41319444444444442</v>
      </c>
      <c r="G124" s="12" t="s">
        <v>283</v>
      </c>
      <c r="H124" s="13">
        <v>0.43402777777777779</v>
      </c>
      <c r="I124" s="26"/>
      <c r="J124" s="15"/>
      <c r="K124" s="22">
        <v>4640</v>
      </c>
      <c r="L124" s="15" t="s">
        <v>249</v>
      </c>
      <c r="M124" s="15"/>
    </row>
    <row r="125" spans="1:13">
      <c r="A125" s="14">
        <v>133</v>
      </c>
      <c r="B125" s="42">
        <v>46061</v>
      </c>
      <c r="C125" s="12" t="s">
        <v>261</v>
      </c>
      <c r="D125" s="12">
        <v>874</v>
      </c>
      <c r="E125" s="12" t="s">
        <v>283</v>
      </c>
      <c r="F125" s="13">
        <v>0.4548611111111111</v>
      </c>
      <c r="G125" s="12" t="s">
        <v>257</v>
      </c>
      <c r="H125" s="13">
        <v>0.4826388888888889</v>
      </c>
      <c r="I125" s="26"/>
      <c r="J125" s="15"/>
      <c r="K125" s="22">
        <v>6620</v>
      </c>
      <c r="L125" s="15" t="s">
        <v>249</v>
      </c>
      <c r="M125" s="15"/>
    </row>
    <row r="126" spans="1:13">
      <c r="A126" s="14">
        <v>134</v>
      </c>
      <c r="B126" s="42">
        <v>46061</v>
      </c>
      <c r="C126" s="12" t="s">
        <v>256</v>
      </c>
      <c r="D126" s="12">
        <v>559</v>
      </c>
      <c r="E126" s="12" t="s">
        <v>257</v>
      </c>
      <c r="F126" s="13">
        <v>0.50694444444444442</v>
      </c>
      <c r="G126" s="12" t="s">
        <v>264</v>
      </c>
      <c r="H126" s="13">
        <v>0.54861111111111116</v>
      </c>
      <c r="I126" s="26"/>
      <c r="J126" s="15"/>
      <c r="K126" s="22">
        <v>5740</v>
      </c>
      <c r="L126" s="15" t="s">
        <v>249</v>
      </c>
      <c r="M126" s="15"/>
    </row>
    <row r="127" spans="1:13">
      <c r="A127" s="14">
        <v>135</v>
      </c>
      <c r="B127" s="42">
        <v>46061</v>
      </c>
      <c r="C127" s="12"/>
      <c r="D127" s="12"/>
      <c r="E127" s="12" t="s">
        <v>264</v>
      </c>
      <c r="F127" s="13">
        <v>0.57291666666666663</v>
      </c>
      <c r="G127" s="12" t="s">
        <v>257</v>
      </c>
      <c r="H127" s="13">
        <v>0.60763888888888884</v>
      </c>
      <c r="I127" s="26"/>
      <c r="J127" s="15"/>
      <c r="K127" s="22">
        <v>5740</v>
      </c>
      <c r="L127" s="15" t="s">
        <v>249</v>
      </c>
      <c r="M127" s="15"/>
    </row>
    <row r="128" spans="1:13">
      <c r="A128" s="14">
        <v>136</v>
      </c>
      <c r="B128" s="42">
        <v>46061</v>
      </c>
      <c r="C128" s="12"/>
      <c r="D128" s="12"/>
      <c r="E128" s="12" t="s">
        <v>257</v>
      </c>
      <c r="F128" s="13">
        <v>0.625</v>
      </c>
      <c r="G128" s="12" t="s">
        <v>260</v>
      </c>
      <c r="H128" s="13">
        <v>0.67013888888888884</v>
      </c>
      <c r="I128" s="26"/>
      <c r="J128" s="15"/>
      <c r="K128" s="22">
        <v>5740</v>
      </c>
      <c r="L128" s="15" t="s">
        <v>249</v>
      </c>
      <c r="M128" s="15"/>
    </row>
    <row r="129" spans="1:13">
      <c r="A129" s="14">
        <v>137</v>
      </c>
      <c r="B129" s="42">
        <v>46061</v>
      </c>
      <c r="C129" s="12"/>
      <c r="D129" s="12"/>
      <c r="E129" s="12" t="s">
        <v>260</v>
      </c>
      <c r="F129" s="13">
        <v>0.73958333333333337</v>
      </c>
      <c r="G129" s="12" t="s">
        <v>262</v>
      </c>
      <c r="H129" s="13">
        <v>0.76388888888888884</v>
      </c>
      <c r="I129" s="26"/>
      <c r="J129" s="15"/>
      <c r="K129" s="22">
        <v>6600</v>
      </c>
      <c r="L129" s="15" t="s">
        <v>249</v>
      </c>
      <c r="M129" s="15"/>
    </row>
    <row r="130" spans="1:13">
      <c r="A130" s="14">
        <v>138</v>
      </c>
      <c r="B130" s="42">
        <v>46061</v>
      </c>
      <c r="C130" s="12"/>
      <c r="D130" s="12"/>
      <c r="E130" s="12" t="s">
        <v>262</v>
      </c>
      <c r="F130" s="13">
        <v>0.78472222222222221</v>
      </c>
      <c r="G130" s="12" t="s">
        <v>257</v>
      </c>
      <c r="H130" s="13">
        <v>0.83680555555555558</v>
      </c>
      <c r="I130" s="26"/>
      <c r="J130" s="15"/>
      <c r="K130" s="22">
        <v>10140</v>
      </c>
      <c r="L130" s="15" t="s">
        <v>249</v>
      </c>
      <c r="M130" s="15"/>
    </row>
    <row r="131" spans="1:13">
      <c r="A131" s="14">
        <v>139</v>
      </c>
      <c r="B131" s="42">
        <v>46061</v>
      </c>
      <c r="C131" s="12"/>
      <c r="D131" s="12"/>
      <c r="E131" s="12" t="s">
        <v>257</v>
      </c>
      <c r="F131" s="13">
        <v>0.87152777777777779</v>
      </c>
      <c r="G131" s="12" t="s">
        <v>246</v>
      </c>
      <c r="H131" s="13">
        <v>0.96180555555555558</v>
      </c>
      <c r="I131" s="26"/>
      <c r="J131" s="15"/>
      <c r="K131" s="22">
        <v>10590</v>
      </c>
      <c r="L131" s="15" t="s">
        <v>249</v>
      </c>
      <c r="M131" s="15"/>
    </row>
    <row r="132" spans="1:13">
      <c r="A132" s="14">
        <v>140</v>
      </c>
      <c r="B132" s="42">
        <v>46063</v>
      </c>
      <c r="C132" s="12" t="s">
        <v>245</v>
      </c>
      <c r="D132" s="12">
        <v>331</v>
      </c>
      <c r="E132" s="12" t="s">
        <v>246</v>
      </c>
      <c r="F132" s="13">
        <v>0.77777777777777779</v>
      </c>
      <c r="G132" s="12" t="s">
        <v>247</v>
      </c>
      <c r="H132" s="13">
        <v>0.86111111111111116</v>
      </c>
      <c r="I132" s="26"/>
      <c r="J132" s="15"/>
      <c r="K132" s="22">
        <v>9360</v>
      </c>
      <c r="L132" s="15" t="s">
        <v>249</v>
      </c>
      <c r="M132" s="15"/>
    </row>
    <row r="133" spans="1:13">
      <c r="A133" s="14">
        <v>141</v>
      </c>
      <c r="B133" s="42">
        <v>46064</v>
      </c>
      <c r="C133" s="12" t="s">
        <v>256</v>
      </c>
      <c r="D133" s="12">
        <v>51</v>
      </c>
      <c r="E133" s="12" t="s">
        <v>247</v>
      </c>
      <c r="F133" s="13">
        <v>0.30208333333333331</v>
      </c>
      <c r="G133" s="12" t="s">
        <v>257</v>
      </c>
      <c r="H133" s="13">
        <v>0.37847222222222221</v>
      </c>
      <c r="I133" s="26"/>
      <c r="J133" s="15"/>
      <c r="K133" s="22">
        <v>10800</v>
      </c>
      <c r="L133" s="15" t="s">
        <v>249</v>
      </c>
      <c r="M133" s="15"/>
    </row>
    <row r="134" spans="1:13">
      <c r="A134" s="14">
        <v>142</v>
      </c>
      <c r="B134" s="42">
        <v>46064</v>
      </c>
      <c r="C134" s="12"/>
      <c r="D134" s="12"/>
      <c r="E134" s="12" t="s">
        <v>257</v>
      </c>
      <c r="F134" s="13">
        <v>0.41319444444444442</v>
      </c>
      <c r="G134" s="12" t="s">
        <v>260</v>
      </c>
      <c r="H134" s="13">
        <v>0.4548611111111111</v>
      </c>
      <c r="I134" s="26"/>
      <c r="J134" s="15"/>
      <c r="K134" s="22">
        <v>5740</v>
      </c>
      <c r="L134" s="15" t="s">
        <v>249</v>
      </c>
      <c r="M134" s="15"/>
    </row>
    <row r="135" spans="1:13">
      <c r="A135" s="14">
        <v>143</v>
      </c>
      <c r="B135" s="42">
        <v>46064</v>
      </c>
      <c r="C135" s="12"/>
      <c r="D135" s="12"/>
      <c r="E135" s="12" t="s">
        <v>260</v>
      </c>
      <c r="F135" s="13">
        <v>0.4826388888888889</v>
      </c>
      <c r="G135" s="12" t="s">
        <v>257</v>
      </c>
      <c r="H135" s="13">
        <v>0.52430555555555558</v>
      </c>
      <c r="I135" s="26"/>
      <c r="J135" s="15"/>
      <c r="K135" s="22">
        <v>5740</v>
      </c>
      <c r="L135" s="15" t="s">
        <v>249</v>
      </c>
      <c r="M135" s="15"/>
    </row>
    <row r="136" spans="1:13">
      <c r="A136" s="14">
        <v>144</v>
      </c>
      <c r="B136" s="42">
        <v>46064</v>
      </c>
      <c r="C136" s="12" t="s">
        <v>261</v>
      </c>
      <c r="D136" s="12">
        <v>727</v>
      </c>
      <c r="E136" s="12" t="s">
        <v>257</v>
      </c>
      <c r="F136" s="13">
        <v>0.61805555555555558</v>
      </c>
      <c r="G136" s="12" t="s">
        <v>262</v>
      </c>
      <c r="H136" s="13">
        <v>0.67708333333333337</v>
      </c>
      <c r="I136" s="26"/>
      <c r="J136" s="15"/>
      <c r="K136" s="22">
        <v>10140</v>
      </c>
      <c r="L136" s="15" t="s">
        <v>249</v>
      </c>
      <c r="M136" s="15"/>
    </row>
    <row r="137" spans="1:13">
      <c r="A137" s="14">
        <v>145</v>
      </c>
      <c r="B137" s="42">
        <v>46064</v>
      </c>
      <c r="C137" s="12"/>
      <c r="D137" s="12"/>
      <c r="E137" s="12" t="s">
        <v>262</v>
      </c>
      <c r="F137" s="13">
        <v>0.69791666666666663</v>
      </c>
      <c r="G137" s="12" t="s">
        <v>260</v>
      </c>
      <c r="H137" s="13">
        <v>0.71875</v>
      </c>
      <c r="I137" s="26"/>
      <c r="J137" s="15"/>
      <c r="K137" s="22">
        <v>7040</v>
      </c>
      <c r="L137" s="15" t="s">
        <v>249</v>
      </c>
      <c r="M137" s="15"/>
    </row>
    <row r="138" spans="1:13">
      <c r="A138" s="14">
        <v>146</v>
      </c>
      <c r="B138" s="42">
        <v>46064</v>
      </c>
      <c r="C138" s="12" t="s">
        <v>245</v>
      </c>
      <c r="D138" s="12">
        <v>974</v>
      </c>
      <c r="E138" s="12" t="s">
        <v>260</v>
      </c>
      <c r="F138" s="13">
        <v>0.80902777777777779</v>
      </c>
      <c r="G138" s="12" t="s">
        <v>246</v>
      </c>
      <c r="H138" s="13">
        <v>0.91666666666666663</v>
      </c>
      <c r="I138" s="26"/>
      <c r="J138" s="15"/>
      <c r="K138" s="22">
        <v>10900</v>
      </c>
      <c r="L138" s="15" t="s">
        <v>249</v>
      </c>
      <c r="M138" s="15"/>
    </row>
    <row r="139" spans="1:13">
      <c r="A139" s="14">
        <v>147</v>
      </c>
      <c r="B139" s="42">
        <v>46074</v>
      </c>
      <c r="C139" s="12" t="s">
        <v>245</v>
      </c>
      <c r="D139" s="12">
        <v>325</v>
      </c>
      <c r="E139" s="12" t="s">
        <v>246</v>
      </c>
      <c r="F139" s="13">
        <v>0.65972222222222221</v>
      </c>
      <c r="G139" s="12" t="s">
        <v>247</v>
      </c>
      <c r="H139" s="13">
        <v>0.74652777777777779</v>
      </c>
      <c r="I139" s="26"/>
      <c r="J139" s="15"/>
      <c r="K139" s="22">
        <f>10460+18600-10010</f>
        <v>19050</v>
      </c>
      <c r="L139" s="15" t="s">
        <v>249</v>
      </c>
      <c r="M139" s="15" t="s">
        <v>296</v>
      </c>
    </row>
    <row r="140" spans="1:13">
      <c r="A140" s="14">
        <v>148</v>
      </c>
      <c r="B140" s="42">
        <v>46074</v>
      </c>
      <c r="C140" s="12" t="s">
        <v>245</v>
      </c>
      <c r="D140" s="12">
        <v>3639</v>
      </c>
      <c r="E140" s="12" t="s">
        <v>247</v>
      </c>
      <c r="F140" s="13">
        <v>0.80208333333333337</v>
      </c>
      <c r="G140" s="12" t="s">
        <v>254</v>
      </c>
      <c r="H140" s="13">
        <v>0.83333333333333337</v>
      </c>
      <c r="I140" s="26"/>
      <c r="J140" s="15"/>
      <c r="K140" s="22">
        <v>11020</v>
      </c>
      <c r="L140" s="15" t="s">
        <v>249</v>
      </c>
      <c r="M140" s="15"/>
    </row>
    <row r="141" spans="1:13">
      <c r="A141" s="14">
        <v>149</v>
      </c>
      <c r="B141" s="42">
        <v>46074</v>
      </c>
      <c r="C141" s="12" t="s">
        <v>245</v>
      </c>
      <c r="D141" s="12">
        <v>3642</v>
      </c>
      <c r="E141" s="12" t="s">
        <v>254</v>
      </c>
      <c r="F141" s="13">
        <v>0.85763888888888884</v>
      </c>
      <c r="G141" s="12" t="s">
        <v>247</v>
      </c>
      <c r="H141" s="13">
        <v>0.89583333333333337</v>
      </c>
      <c r="I141" s="26"/>
      <c r="J141" s="15"/>
      <c r="K141" s="22">
        <v>0</v>
      </c>
      <c r="L141" s="15" t="s">
        <v>249</v>
      </c>
      <c r="M141" s="15"/>
    </row>
    <row r="142" spans="1:13">
      <c r="A142" s="14">
        <v>150</v>
      </c>
      <c r="B142" s="42">
        <v>46075</v>
      </c>
      <c r="C142" s="12" t="s">
        <v>256</v>
      </c>
      <c r="D142" s="12">
        <v>51</v>
      </c>
      <c r="E142" s="12" t="s">
        <v>247</v>
      </c>
      <c r="F142" s="13">
        <v>0.30208333333333331</v>
      </c>
      <c r="G142" s="12" t="s">
        <v>257</v>
      </c>
      <c r="H142" s="13">
        <v>0.37847222222222221</v>
      </c>
      <c r="I142" s="26"/>
      <c r="J142" s="15"/>
      <c r="K142" s="22">
        <v>12670</v>
      </c>
      <c r="L142" s="15" t="s">
        <v>249</v>
      </c>
      <c r="M142" s="15"/>
    </row>
    <row r="143" spans="1:13">
      <c r="A143" s="14">
        <v>151</v>
      </c>
      <c r="B143" s="42">
        <v>46075</v>
      </c>
      <c r="C143" s="12"/>
      <c r="D143" s="12"/>
      <c r="E143" s="12" t="s">
        <v>257</v>
      </c>
      <c r="F143" s="13">
        <v>0.44791666666666669</v>
      </c>
      <c r="G143" s="12" t="s">
        <v>260</v>
      </c>
      <c r="H143" s="13">
        <v>0.49305555555555558</v>
      </c>
      <c r="I143" s="26"/>
      <c r="J143" s="15"/>
      <c r="K143" s="22">
        <v>5740</v>
      </c>
      <c r="L143" s="15" t="s">
        <v>249</v>
      </c>
      <c r="M143" s="15"/>
    </row>
    <row r="144" spans="1:13">
      <c r="A144" s="14">
        <v>152</v>
      </c>
      <c r="B144" s="42">
        <v>46075</v>
      </c>
      <c r="C144" s="12"/>
      <c r="D144" s="12"/>
      <c r="E144" s="12" t="s">
        <v>260</v>
      </c>
      <c r="F144" s="13">
        <v>0.52083333333333337</v>
      </c>
      <c r="G144" s="12" t="s">
        <v>257</v>
      </c>
      <c r="H144" s="13">
        <v>0.5625</v>
      </c>
      <c r="I144" s="26"/>
      <c r="J144" s="15"/>
      <c r="K144" s="22">
        <v>5740</v>
      </c>
      <c r="L144" s="15" t="s">
        <v>249</v>
      </c>
      <c r="M144" s="15"/>
    </row>
    <row r="145" spans="1:13">
      <c r="A145" s="14">
        <v>153</v>
      </c>
      <c r="B145" s="42">
        <v>46075</v>
      </c>
      <c r="C145" s="12" t="s">
        <v>256</v>
      </c>
      <c r="D145" s="12">
        <v>563</v>
      </c>
      <c r="E145" s="12" t="s">
        <v>257</v>
      </c>
      <c r="F145" s="13">
        <v>0.60069444444444442</v>
      </c>
      <c r="G145" s="12" t="s">
        <v>264</v>
      </c>
      <c r="H145" s="13">
        <v>0.64236111111111116</v>
      </c>
      <c r="I145" s="26"/>
      <c r="J145" s="15"/>
      <c r="K145" s="22">
        <v>5740</v>
      </c>
      <c r="L145" s="15" t="s">
        <v>249</v>
      </c>
      <c r="M145" s="15"/>
    </row>
    <row r="146" spans="1:13">
      <c r="A146" s="14">
        <v>154</v>
      </c>
      <c r="B146" s="42">
        <v>46075</v>
      </c>
      <c r="C146" s="12" t="s">
        <v>261</v>
      </c>
      <c r="D146" s="12">
        <v>897</v>
      </c>
      <c r="E146" s="12" t="s">
        <v>264</v>
      </c>
      <c r="F146" s="13">
        <v>0.65972222222222221</v>
      </c>
      <c r="G146" s="12" t="s">
        <v>265</v>
      </c>
      <c r="H146" s="13">
        <v>0.67708333333333337</v>
      </c>
      <c r="I146" s="26"/>
      <c r="J146" s="15"/>
      <c r="K146" s="22">
        <v>9350</v>
      </c>
      <c r="L146" s="15" t="s">
        <v>249</v>
      </c>
      <c r="M146" s="15"/>
    </row>
    <row r="147" spans="1:13">
      <c r="A147" s="14">
        <v>155</v>
      </c>
      <c r="B147" s="42">
        <v>46075</v>
      </c>
      <c r="C147" s="12" t="s">
        <v>261</v>
      </c>
      <c r="D147" s="12">
        <v>898</v>
      </c>
      <c r="E147" s="12" t="s">
        <v>265</v>
      </c>
      <c r="F147" s="13">
        <v>0.70138888888888884</v>
      </c>
      <c r="G147" s="12" t="s">
        <v>264</v>
      </c>
      <c r="H147" s="13">
        <v>0.71875</v>
      </c>
      <c r="I147" s="26"/>
      <c r="J147" s="15"/>
      <c r="K147" s="22">
        <v>5500</v>
      </c>
      <c r="L147" s="15" t="s">
        <v>249</v>
      </c>
      <c r="M147" s="15"/>
    </row>
    <row r="148" spans="1:13">
      <c r="A148" s="14">
        <v>156</v>
      </c>
      <c r="B148" s="42">
        <v>46075</v>
      </c>
      <c r="C148" s="12" t="s">
        <v>261</v>
      </c>
      <c r="D148" s="12">
        <v>839</v>
      </c>
      <c r="E148" s="12" t="s">
        <v>264</v>
      </c>
      <c r="F148" s="13">
        <v>0.73958333333333337</v>
      </c>
      <c r="G148" s="12" t="s">
        <v>260</v>
      </c>
      <c r="H148" s="13">
        <v>0.76041666666666663</v>
      </c>
      <c r="I148" s="26"/>
      <c r="J148" s="15"/>
      <c r="K148" s="22">
        <v>14520</v>
      </c>
      <c r="L148" s="15" t="s">
        <v>249</v>
      </c>
      <c r="M148" s="15"/>
    </row>
    <row r="149" spans="1:13">
      <c r="A149" s="14">
        <v>157</v>
      </c>
      <c r="B149" s="42">
        <v>46075</v>
      </c>
      <c r="C149" s="12" t="s">
        <v>245</v>
      </c>
      <c r="D149" s="12">
        <v>974</v>
      </c>
      <c r="E149" s="12" t="s">
        <v>260</v>
      </c>
      <c r="F149" s="13">
        <v>0.80902777777777779</v>
      </c>
      <c r="G149" s="12" t="s">
        <v>246</v>
      </c>
      <c r="H149" s="13">
        <v>0.91666666666666663</v>
      </c>
      <c r="I149" s="26"/>
      <c r="J149" s="15"/>
      <c r="K149" s="22">
        <v>10900</v>
      </c>
      <c r="L149" s="15" t="s">
        <v>249</v>
      </c>
      <c r="M149" s="15"/>
    </row>
    <row r="150" spans="1:13">
      <c r="A150" s="14">
        <v>158</v>
      </c>
      <c r="B150" s="42">
        <v>46078</v>
      </c>
      <c r="C150" s="12" t="s">
        <v>245</v>
      </c>
      <c r="D150" s="12">
        <v>303</v>
      </c>
      <c r="E150" s="12" t="s">
        <v>246</v>
      </c>
      <c r="F150" s="13">
        <v>0.2673611111111111</v>
      </c>
      <c r="G150" s="12" t="s">
        <v>247</v>
      </c>
      <c r="H150" s="13">
        <v>0.35416666666666669</v>
      </c>
      <c r="I150" s="26"/>
      <c r="J150" s="15"/>
      <c r="K150" s="22">
        <v>9360</v>
      </c>
      <c r="L150" s="15" t="s">
        <v>249</v>
      </c>
      <c r="M150" s="15"/>
    </row>
    <row r="151" spans="1:13">
      <c r="A151" s="14">
        <v>159</v>
      </c>
      <c r="B151" s="42">
        <v>46078</v>
      </c>
      <c r="C151" s="12" t="s">
        <v>245</v>
      </c>
      <c r="D151" s="12">
        <v>3581</v>
      </c>
      <c r="E151" s="12" t="s">
        <v>247</v>
      </c>
      <c r="F151" s="13">
        <v>0.37847222222222221</v>
      </c>
      <c r="G151" s="12" t="s">
        <v>277</v>
      </c>
      <c r="H151" s="13">
        <v>0.41319444444444442</v>
      </c>
      <c r="I151" s="26"/>
      <c r="J151" s="15"/>
      <c r="K151" s="22">
        <v>8910</v>
      </c>
      <c r="L151" s="15" t="s">
        <v>249</v>
      </c>
      <c r="M151" s="15"/>
    </row>
    <row r="152" spans="1:13">
      <c r="A152" s="14">
        <v>160</v>
      </c>
      <c r="B152" s="42">
        <v>46078</v>
      </c>
      <c r="C152" s="12" t="s">
        <v>245</v>
      </c>
      <c r="D152" s="12">
        <v>3582</v>
      </c>
      <c r="E152" s="12" t="s">
        <v>277</v>
      </c>
      <c r="F152" s="13">
        <v>0.43402777777777779</v>
      </c>
      <c r="G152" s="12" t="s">
        <v>247</v>
      </c>
      <c r="H152" s="13">
        <v>0.47916666666666669</v>
      </c>
      <c r="I152" s="26"/>
      <c r="J152" s="15"/>
      <c r="K152" s="22">
        <v>8910</v>
      </c>
      <c r="L152" s="15" t="s">
        <v>249</v>
      </c>
      <c r="M152" s="15"/>
    </row>
    <row r="153" spans="1:13">
      <c r="A153" s="14">
        <v>161</v>
      </c>
      <c r="B153" s="42">
        <v>46078</v>
      </c>
      <c r="C153" s="12" t="s">
        <v>256</v>
      </c>
      <c r="D153" s="12">
        <v>57</v>
      </c>
      <c r="E153" s="12" t="s">
        <v>247</v>
      </c>
      <c r="F153" s="13">
        <v>0.54166666666666663</v>
      </c>
      <c r="G153" s="12" t="s">
        <v>257</v>
      </c>
      <c r="H153" s="13">
        <v>0.625</v>
      </c>
      <c r="I153" s="26"/>
      <c r="J153" s="15"/>
      <c r="K153" s="22">
        <v>9150</v>
      </c>
      <c r="L153" s="15" t="s">
        <v>249</v>
      </c>
      <c r="M153" s="15"/>
    </row>
    <row r="154" spans="1:13">
      <c r="A154" s="14">
        <v>162</v>
      </c>
      <c r="B154" s="42">
        <v>46078</v>
      </c>
      <c r="C154" s="12" t="s">
        <v>256</v>
      </c>
      <c r="D154" s="12">
        <v>565</v>
      </c>
      <c r="E154" s="12" t="s">
        <v>257</v>
      </c>
      <c r="F154" s="13">
        <v>0.65277777777777779</v>
      </c>
      <c r="G154" s="12" t="s">
        <v>264</v>
      </c>
      <c r="H154" s="13">
        <v>0.69097222222222221</v>
      </c>
      <c r="I154" s="26"/>
      <c r="J154" s="15"/>
      <c r="K154" s="22">
        <v>4640</v>
      </c>
      <c r="L154" s="15" t="s">
        <v>249</v>
      </c>
      <c r="M154" s="15"/>
    </row>
    <row r="155" spans="1:13">
      <c r="A155" s="14">
        <v>163</v>
      </c>
      <c r="B155" s="42">
        <v>46078</v>
      </c>
      <c r="C155" s="12" t="s">
        <v>256</v>
      </c>
      <c r="D155" s="12">
        <v>564</v>
      </c>
      <c r="E155" s="12" t="s">
        <v>264</v>
      </c>
      <c r="F155" s="13">
        <v>0.71875</v>
      </c>
      <c r="G155" s="12" t="s">
        <v>257</v>
      </c>
      <c r="H155" s="13">
        <v>0.75347222222222221</v>
      </c>
      <c r="I155" s="26"/>
      <c r="J155" s="15"/>
      <c r="K155" s="22">
        <v>4640</v>
      </c>
      <c r="L155" s="15" t="s">
        <v>249</v>
      </c>
      <c r="M155" s="15"/>
    </row>
    <row r="156" spans="1:13">
      <c r="A156" s="14">
        <v>164</v>
      </c>
      <c r="B156" s="42">
        <v>46078</v>
      </c>
      <c r="C156" s="12" t="s">
        <v>245</v>
      </c>
      <c r="D156" s="12">
        <v>920</v>
      </c>
      <c r="E156" s="12" t="s">
        <v>257</v>
      </c>
      <c r="F156" s="13">
        <v>0.82986111111111116</v>
      </c>
      <c r="G156" s="12" t="s">
        <v>246</v>
      </c>
      <c r="H156" s="13">
        <v>0.92013888888888884</v>
      </c>
      <c r="I156" s="26"/>
      <c r="J156" s="15"/>
      <c r="K156" s="22">
        <v>10590</v>
      </c>
      <c r="L156" s="15" t="s">
        <v>249</v>
      </c>
      <c r="M156" s="15"/>
    </row>
    <row r="157" spans="1:13">
      <c r="A157" s="14">
        <v>165</v>
      </c>
      <c r="B157" s="42">
        <v>46012</v>
      </c>
      <c r="C157" s="12" t="s">
        <v>245</v>
      </c>
      <c r="D157" s="12"/>
      <c r="E157" s="12" t="s">
        <v>246</v>
      </c>
      <c r="F157" s="13"/>
      <c r="G157" s="12" t="s">
        <v>247</v>
      </c>
      <c r="H157" s="13"/>
      <c r="I157" s="26"/>
      <c r="J157" s="15"/>
      <c r="K157" s="22">
        <v>0</v>
      </c>
      <c r="L157" s="15" t="s">
        <v>249</v>
      </c>
      <c r="M157" s="15"/>
    </row>
    <row r="158" spans="1:13">
      <c r="A158" s="14">
        <v>166</v>
      </c>
      <c r="B158" s="42">
        <v>46013</v>
      </c>
      <c r="C158" s="12" t="s">
        <v>245</v>
      </c>
      <c r="D158" s="12"/>
      <c r="E158" s="12" t="s">
        <v>247</v>
      </c>
      <c r="F158" s="13"/>
      <c r="G158" s="12" t="s">
        <v>246</v>
      </c>
      <c r="H158" s="13"/>
      <c r="I158" s="26"/>
      <c r="J158" s="15"/>
      <c r="K158" s="22">
        <v>0</v>
      </c>
      <c r="L158" s="15" t="s">
        <v>249</v>
      </c>
      <c r="M158" s="15"/>
    </row>
    <row r="159" spans="1:13">
      <c r="A159" s="14">
        <v>167</v>
      </c>
      <c r="B159" s="42">
        <v>46009</v>
      </c>
      <c r="C159" s="12" t="s">
        <v>245</v>
      </c>
      <c r="D159" s="12"/>
      <c r="E159" s="12" t="s">
        <v>246</v>
      </c>
      <c r="F159" s="13"/>
      <c r="G159" s="12" t="s">
        <v>257</v>
      </c>
      <c r="H159" s="13"/>
      <c r="I159" s="26"/>
      <c r="J159" s="15"/>
      <c r="K159" s="22">
        <v>0</v>
      </c>
      <c r="L159" s="15" t="s">
        <v>249</v>
      </c>
      <c r="M159" s="15"/>
    </row>
    <row r="160" spans="1:13">
      <c r="A160" s="14">
        <v>168</v>
      </c>
      <c r="B160" s="42">
        <v>46010</v>
      </c>
      <c r="C160" s="12" t="s">
        <v>245</v>
      </c>
      <c r="D160" s="12"/>
      <c r="E160" s="12" t="s">
        <v>257</v>
      </c>
      <c r="F160" s="13"/>
      <c r="G160" s="12" t="s">
        <v>246</v>
      </c>
      <c r="H160" s="13"/>
      <c r="I160" s="26"/>
      <c r="J160" s="15"/>
      <c r="K160" s="22">
        <v>0</v>
      </c>
      <c r="L160" s="15" t="s">
        <v>249</v>
      </c>
      <c r="M160" s="15"/>
    </row>
    <row r="161" spans="1:13">
      <c r="A161" s="14">
        <v>169</v>
      </c>
      <c r="B161" s="42">
        <v>46037</v>
      </c>
      <c r="C161" s="12" t="s">
        <v>245</v>
      </c>
      <c r="D161" s="12"/>
      <c r="E161" s="12" t="s">
        <v>246</v>
      </c>
      <c r="F161" s="13"/>
      <c r="G161" s="12" t="s">
        <v>279</v>
      </c>
      <c r="H161" s="13"/>
      <c r="I161" s="26"/>
      <c r="J161" s="15"/>
      <c r="K161" s="22">
        <v>0</v>
      </c>
      <c r="L161" s="15" t="s">
        <v>249</v>
      </c>
      <c r="M161" s="15"/>
    </row>
    <row r="162" spans="1:13">
      <c r="A162" s="14">
        <v>170</v>
      </c>
      <c r="B162" s="42">
        <v>46037</v>
      </c>
      <c r="C162" s="12" t="s">
        <v>245</v>
      </c>
      <c r="D162" s="12"/>
      <c r="E162" s="12" t="s">
        <v>297</v>
      </c>
      <c r="F162" s="13"/>
      <c r="G162" s="12" t="s">
        <v>246</v>
      </c>
      <c r="H162" s="13"/>
      <c r="I162" s="26"/>
      <c r="J162" s="15"/>
      <c r="K162" s="22">
        <v>0</v>
      </c>
      <c r="L162" s="15" t="s">
        <v>249</v>
      </c>
      <c r="M162" s="15"/>
    </row>
    <row r="163" spans="1:13">
      <c r="A163" s="14">
        <v>171</v>
      </c>
      <c r="B163" s="42">
        <v>46028</v>
      </c>
      <c r="C163" s="12" t="s">
        <v>245</v>
      </c>
      <c r="D163" s="12"/>
      <c r="E163" s="12" t="s">
        <v>246</v>
      </c>
      <c r="F163" s="13"/>
      <c r="G163" s="12" t="s">
        <v>298</v>
      </c>
      <c r="H163" s="13"/>
      <c r="I163" s="26"/>
      <c r="J163" s="15"/>
      <c r="K163" s="22">
        <v>0</v>
      </c>
      <c r="L163" s="15" t="s">
        <v>249</v>
      </c>
      <c r="M163" s="15"/>
    </row>
    <row r="164" spans="1:13">
      <c r="A164" s="14">
        <v>172</v>
      </c>
      <c r="B164" s="42">
        <v>46030</v>
      </c>
      <c r="C164" s="12" t="s">
        <v>245</v>
      </c>
      <c r="D164" s="12"/>
      <c r="E164" s="12" t="s">
        <v>298</v>
      </c>
      <c r="F164" s="13"/>
      <c r="G164" s="12" t="s">
        <v>246</v>
      </c>
      <c r="H164" s="13"/>
      <c r="I164" s="26"/>
      <c r="J164" s="15"/>
      <c r="K164" s="22">
        <v>0</v>
      </c>
      <c r="L164" s="15" t="s">
        <v>249</v>
      </c>
      <c r="M164" s="15"/>
    </row>
    <row r="165" spans="1:13">
      <c r="A165" s="14">
        <v>173</v>
      </c>
      <c r="B165" s="42">
        <v>46091</v>
      </c>
      <c r="C165" s="12" t="s">
        <v>245</v>
      </c>
      <c r="D165" s="12" t="s">
        <v>299</v>
      </c>
      <c r="E165" s="12" t="s">
        <v>246</v>
      </c>
      <c r="F165" s="13">
        <v>0.2638888888888889</v>
      </c>
      <c r="G165" s="12" t="s">
        <v>257</v>
      </c>
      <c r="H165" s="13">
        <v>0.38194444444444442</v>
      </c>
      <c r="I165" s="26"/>
      <c r="J165" s="15"/>
      <c r="K165" s="22">
        <v>10590</v>
      </c>
      <c r="L165" s="15"/>
      <c r="M165" s="15"/>
    </row>
    <row r="166" spans="1:13">
      <c r="A166" s="14">
        <v>174</v>
      </c>
      <c r="B166" s="42">
        <v>46091</v>
      </c>
      <c r="C166" s="12" t="s">
        <v>256</v>
      </c>
      <c r="D166" s="12" t="s">
        <v>300</v>
      </c>
      <c r="E166" s="12" t="s">
        <v>257</v>
      </c>
      <c r="F166" s="13">
        <v>0.40625</v>
      </c>
      <c r="G166" s="12" t="s">
        <v>260</v>
      </c>
      <c r="H166" s="13">
        <v>0.44791666666666669</v>
      </c>
      <c r="I166" s="26"/>
      <c r="J166" s="15"/>
      <c r="K166" s="22">
        <v>4640</v>
      </c>
      <c r="L166" s="15"/>
      <c r="M166" s="15"/>
    </row>
    <row r="167" spans="1:13">
      <c r="A167" s="14">
        <v>175</v>
      </c>
      <c r="B167" s="42">
        <v>46091</v>
      </c>
      <c r="C167" s="12" t="s">
        <v>261</v>
      </c>
      <c r="D167" s="12" t="s">
        <v>301</v>
      </c>
      <c r="E167" s="12" t="s">
        <v>260</v>
      </c>
      <c r="F167" s="13">
        <v>0.52430555555555558</v>
      </c>
      <c r="G167" s="12" t="s">
        <v>262</v>
      </c>
      <c r="H167" s="13">
        <v>0.54513888888888884</v>
      </c>
      <c r="I167" s="26"/>
      <c r="J167" s="15"/>
      <c r="K167" s="22">
        <v>7150</v>
      </c>
      <c r="L167" s="15"/>
      <c r="M167" s="15"/>
    </row>
    <row r="168" spans="1:13">
      <c r="A168" s="14">
        <v>176</v>
      </c>
      <c r="B168" s="42">
        <v>46091</v>
      </c>
      <c r="C168" s="12" t="s">
        <v>261</v>
      </c>
      <c r="D168" s="12" t="s">
        <v>302</v>
      </c>
      <c r="E168" s="12" t="s">
        <v>262</v>
      </c>
      <c r="F168" s="13">
        <v>0.56597222222222221</v>
      </c>
      <c r="G168" s="12" t="s">
        <v>260</v>
      </c>
      <c r="H168" s="13">
        <v>0.58680555555555558</v>
      </c>
      <c r="I168" s="26"/>
      <c r="J168" s="15"/>
      <c r="K168" s="22">
        <v>7150</v>
      </c>
      <c r="L168" s="15"/>
      <c r="M168" s="15"/>
    </row>
    <row r="169" spans="1:13">
      <c r="A169" s="14">
        <v>177</v>
      </c>
      <c r="B169" s="42">
        <v>46091</v>
      </c>
      <c r="C169" s="12" t="s">
        <v>261</v>
      </c>
      <c r="D169" s="12" t="s">
        <v>303</v>
      </c>
      <c r="E169" s="12" t="s">
        <v>260</v>
      </c>
      <c r="F169" s="13">
        <v>0.61111111111111116</v>
      </c>
      <c r="G169" s="12" t="s">
        <v>264</v>
      </c>
      <c r="H169" s="13">
        <v>0.63541666666666663</v>
      </c>
      <c r="I169" s="26"/>
      <c r="J169" s="15"/>
      <c r="K169" s="22">
        <v>15510</v>
      </c>
      <c r="L169" s="15"/>
      <c r="M169" s="15"/>
    </row>
    <row r="170" spans="1:13">
      <c r="A170" s="14">
        <v>178</v>
      </c>
      <c r="B170" s="42">
        <v>46091</v>
      </c>
      <c r="C170" s="12" t="s">
        <v>261</v>
      </c>
      <c r="D170" s="12" t="s">
        <v>304</v>
      </c>
      <c r="E170" s="12" t="s">
        <v>264</v>
      </c>
      <c r="F170" s="13">
        <v>0.65625</v>
      </c>
      <c r="G170" s="12" t="s">
        <v>265</v>
      </c>
      <c r="H170" s="13">
        <v>0.67361111111111116</v>
      </c>
      <c r="I170" s="26"/>
      <c r="J170" s="15"/>
      <c r="K170" s="22">
        <v>6600</v>
      </c>
      <c r="L170" s="15"/>
      <c r="M170" s="15"/>
    </row>
    <row r="171" spans="1:13">
      <c r="A171" s="14">
        <v>179</v>
      </c>
      <c r="B171" s="42">
        <v>46091</v>
      </c>
      <c r="C171" s="12" t="s">
        <v>261</v>
      </c>
      <c r="D171" s="12" t="s">
        <v>305</v>
      </c>
      <c r="E171" s="12" t="s">
        <v>265</v>
      </c>
      <c r="F171" s="13">
        <v>0.69791666666666663</v>
      </c>
      <c r="G171" s="12" t="s">
        <v>264</v>
      </c>
      <c r="H171" s="13">
        <v>0.71527777777777779</v>
      </c>
      <c r="I171" s="26"/>
      <c r="J171" s="15"/>
      <c r="K171" s="22">
        <v>6600</v>
      </c>
      <c r="L171" s="15"/>
      <c r="M171" s="15"/>
    </row>
    <row r="172" spans="1:13">
      <c r="A172" s="14">
        <v>180</v>
      </c>
      <c r="B172" s="42">
        <v>46091</v>
      </c>
      <c r="C172" s="12" t="s">
        <v>261</v>
      </c>
      <c r="D172" s="12" t="s">
        <v>306</v>
      </c>
      <c r="E172" s="12" t="s">
        <v>264</v>
      </c>
      <c r="F172" s="13">
        <v>0.73611111111111116</v>
      </c>
      <c r="G172" s="12" t="s">
        <v>260</v>
      </c>
      <c r="H172" s="13">
        <v>0.75694444444444442</v>
      </c>
      <c r="I172" s="26"/>
      <c r="J172" s="15"/>
      <c r="K172" s="22">
        <v>6600</v>
      </c>
      <c r="L172" s="15"/>
      <c r="M172" s="15"/>
    </row>
    <row r="173" spans="1:13">
      <c r="A173" s="14">
        <v>181</v>
      </c>
      <c r="B173" s="42">
        <v>46091</v>
      </c>
      <c r="C173" s="12" t="s">
        <v>256</v>
      </c>
      <c r="D173" s="12" t="s">
        <v>307</v>
      </c>
      <c r="E173" s="12" t="s">
        <v>260</v>
      </c>
      <c r="F173" s="13">
        <v>0.78472222222222221</v>
      </c>
      <c r="G173" s="12" t="s">
        <v>257</v>
      </c>
      <c r="H173" s="13">
        <v>0.82638888888888884</v>
      </c>
      <c r="I173" s="26"/>
      <c r="J173" s="15"/>
      <c r="K173" s="22">
        <v>4640</v>
      </c>
      <c r="L173" s="15"/>
      <c r="M173" s="15"/>
    </row>
    <row r="174" spans="1:13">
      <c r="A174" s="14">
        <v>182</v>
      </c>
      <c r="B174" s="42">
        <v>46091</v>
      </c>
      <c r="C174" s="12" t="s">
        <v>245</v>
      </c>
      <c r="D174" s="12" t="s">
        <v>308</v>
      </c>
      <c r="E174" s="12" t="s">
        <v>257</v>
      </c>
      <c r="F174" s="13">
        <v>0.86805555555555558</v>
      </c>
      <c r="G174" s="12" t="s">
        <v>246</v>
      </c>
      <c r="H174" s="13">
        <v>0.96180555555555558</v>
      </c>
      <c r="I174" s="26"/>
      <c r="J174" s="15"/>
      <c r="K174" s="22">
        <v>10590</v>
      </c>
      <c r="L174" s="15"/>
      <c r="M174" s="15"/>
    </row>
    <row r="175" spans="1:13">
      <c r="A175" s="14">
        <v>183</v>
      </c>
      <c r="B175" s="42">
        <v>46049</v>
      </c>
      <c r="C175" s="12" t="s">
        <v>245</v>
      </c>
      <c r="D175" s="12"/>
      <c r="E175" s="12" t="s">
        <v>246</v>
      </c>
      <c r="F175" s="13">
        <v>0.40277777777777779</v>
      </c>
      <c r="G175" s="12" t="s">
        <v>257</v>
      </c>
      <c r="H175" s="13">
        <v>0.52777777777777779</v>
      </c>
      <c r="I175" s="26"/>
      <c r="J175" s="15"/>
      <c r="K175" s="22">
        <v>0</v>
      </c>
      <c r="L175" s="15" t="s">
        <v>249</v>
      </c>
      <c r="M175" s="15"/>
    </row>
    <row r="176" spans="1:13">
      <c r="A176" s="14">
        <v>184</v>
      </c>
      <c r="B176" s="42">
        <v>46050</v>
      </c>
      <c r="C176" s="12" t="s">
        <v>245</v>
      </c>
      <c r="D176" s="12"/>
      <c r="E176" s="12" t="s">
        <v>257</v>
      </c>
      <c r="F176" s="13">
        <v>0.47569444444444442</v>
      </c>
      <c r="G176" s="12" t="s">
        <v>246</v>
      </c>
      <c r="H176" s="13">
        <v>0.56597222222222221</v>
      </c>
      <c r="I176" s="26"/>
      <c r="J176" s="15"/>
      <c r="K176" s="22">
        <v>0</v>
      </c>
      <c r="L176" s="15" t="s">
        <v>249</v>
      </c>
      <c r="M176" s="15"/>
    </row>
    <row r="177" spans="1:13">
      <c r="A177" s="14">
        <v>185</v>
      </c>
      <c r="B177" s="42">
        <v>46055</v>
      </c>
      <c r="C177" s="12" t="s">
        <v>245</v>
      </c>
      <c r="D177" s="12"/>
      <c r="E177" s="12" t="s">
        <v>246</v>
      </c>
      <c r="F177" s="13">
        <v>0.49652777777777779</v>
      </c>
      <c r="G177" s="12" t="s">
        <v>257</v>
      </c>
      <c r="H177" s="13">
        <v>0.61805555555555558</v>
      </c>
      <c r="I177" s="26"/>
      <c r="J177" s="15"/>
      <c r="K177" s="22">
        <v>0</v>
      </c>
      <c r="L177" s="15" t="s">
        <v>249</v>
      </c>
      <c r="M177" s="15"/>
    </row>
    <row r="178" spans="1:13">
      <c r="A178" s="14">
        <v>186</v>
      </c>
      <c r="B178" s="42">
        <v>46057</v>
      </c>
      <c r="C178" s="12" t="s">
        <v>245</v>
      </c>
      <c r="D178" s="12"/>
      <c r="E178" s="12" t="s">
        <v>257</v>
      </c>
      <c r="F178" s="13">
        <v>0.47569444444444442</v>
      </c>
      <c r="G178" s="12" t="s">
        <v>246</v>
      </c>
      <c r="H178" s="13">
        <v>0.56597222222222221</v>
      </c>
      <c r="I178" s="26"/>
      <c r="J178" s="15"/>
      <c r="K178" s="22">
        <v>0</v>
      </c>
      <c r="L178" s="15" t="s">
        <v>249</v>
      </c>
      <c r="M178" s="15"/>
    </row>
    <row r="179" spans="1:13">
      <c r="A179" s="14">
        <v>187</v>
      </c>
      <c r="B179" s="42">
        <v>46062</v>
      </c>
      <c r="C179" s="12" t="s">
        <v>245</v>
      </c>
      <c r="D179" s="12"/>
      <c r="E179" s="12" t="s">
        <v>246</v>
      </c>
      <c r="F179" s="13">
        <v>0.32291666666666669</v>
      </c>
      <c r="G179" s="12" t="s">
        <v>290</v>
      </c>
      <c r="H179" s="13">
        <v>0.38194444444444442</v>
      </c>
      <c r="I179" s="26"/>
      <c r="J179" s="15"/>
      <c r="K179" s="22">
        <v>0</v>
      </c>
      <c r="L179" s="15" t="s">
        <v>249</v>
      </c>
      <c r="M179" s="15"/>
    </row>
    <row r="180" spans="1:13">
      <c r="A180" s="14">
        <v>188</v>
      </c>
      <c r="B180" s="42">
        <v>46063</v>
      </c>
      <c r="C180" s="12" t="s">
        <v>245</v>
      </c>
      <c r="D180" s="12"/>
      <c r="E180" s="12" t="s">
        <v>290</v>
      </c>
      <c r="F180" s="13">
        <v>0.2986111111111111</v>
      </c>
      <c r="G180" s="12" t="s">
        <v>246</v>
      </c>
      <c r="H180" s="13">
        <v>0.35069444444444442</v>
      </c>
      <c r="I180" s="26"/>
      <c r="J180" s="15"/>
      <c r="K180" s="22">
        <v>0</v>
      </c>
      <c r="L180" s="15" t="s">
        <v>249</v>
      </c>
      <c r="M180" s="15"/>
    </row>
    <row r="181" spans="1:13">
      <c r="A181" s="14">
        <v>189</v>
      </c>
      <c r="B181" s="42">
        <v>46125</v>
      </c>
      <c r="C181" s="12" t="s">
        <v>245</v>
      </c>
      <c r="D181" s="12">
        <v>585</v>
      </c>
      <c r="E181" s="12" t="s">
        <v>246</v>
      </c>
      <c r="F181" s="13">
        <v>0.3125</v>
      </c>
      <c r="G181" s="12" t="s">
        <v>309</v>
      </c>
      <c r="H181" s="13">
        <v>0.36805555555555558</v>
      </c>
      <c r="I181" s="26">
        <v>0.12152777777777778</v>
      </c>
      <c r="J181" s="15" t="s">
        <v>310</v>
      </c>
      <c r="K181" s="22">
        <v>9800</v>
      </c>
      <c r="L181" s="15"/>
      <c r="M181" s="15"/>
    </row>
    <row r="182" spans="1:13">
      <c r="A182" s="14">
        <v>190</v>
      </c>
      <c r="B182" s="42">
        <v>46125</v>
      </c>
      <c r="C182" s="12" t="s">
        <v>311</v>
      </c>
      <c r="D182" s="12">
        <v>2791</v>
      </c>
      <c r="E182" s="12" t="s">
        <v>309</v>
      </c>
      <c r="F182" s="13">
        <v>0.48958333333333331</v>
      </c>
      <c r="G182" s="12" t="s">
        <v>312</v>
      </c>
      <c r="H182" s="13">
        <v>0.51041666666666663</v>
      </c>
      <c r="I182" s="26">
        <v>2.0833333333333332E-2</v>
      </c>
      <c r="J182" s="15" t="s">
        <v>310</v>
      </c>
      <c r="K182" s="22">
        <v>11912</v>
      </c>
      <c r="L182" s="15"/>
      <c r="M182" s="15"/>
    </row>
    <row r="183" spans="1:13">
      <c r="A183" s="14">
        <v>191</v>
      </c>
      <c r="B183" s="42">
        <v>46125</v>
      </c>
      <c r="C183" s="12" t="s">
        <v>311</v>
      </c>
      <c r="D183" s="12">
        <v>2792</v>
      </c>
      <c r="E183" s="12" t="s">
        <v>312</v>
      </c>
      <c r="F183" s="13">
        <v>0.53125</v>
      </c>
      <c r="G183" s="12" t="s">
        <v>309</v>
      </c>
      <c r="H183" s="13">
        <v>0.55208333333333337</v>
      </c>
      <c r="I183" s="26">
        <v>2.0833333333333332E-2</v>
      </c>
      <c r="J183" s="15" t="s">
        <v>310</v>
      </c>
      <c r="K183" s="22">
        <v>0</v>
      </c>
      <c r="L183" s="15"/>
      <c r="M183" s="15"/>
    </row>
    <row r="184" spans="1:13">
      <c r="A184" s="14">
        <v>192</v>
      </c>
      <c r="B184" s="42">
        <v>46125</v>
      </c>
      <c r="C184" s="12" t="s">
        <v>311</v>
      </c>
      <c r="D184" s="12">
        <v>2748</v>
      </c>
      <c r="E184" s="12" t="s">
        <v>309</v>
      </c>
      <c r="F184" s="13">
        <v>0.57291666666666663</v>
      </c>
      <c r="G184" s="12" t="s">
        <v>313</v>
      </c>
      <c r="H184" s="13">
        <v>0.60069444444444442</v>
      </c>
      <c r="I184" s="26">
        <v>3.125E-2</v>
      </c>
      <c r="J184" s="15" t="s">
        <v>310</v>
      </c>
      <c r="K184" s="22">
        <v>13584</v>
      </c>
      <c r="L184" s="15"/>
      <c r="M184" s="15"/>
    </row>
    <row r="185" spans="1:13">
      <c r="A185" s="14">
        <v>193</v>
      </c>
      <c r="B185" s="42">
        <v>46125</v>
      </c>
      <c r="C185" s="12" t="s">
        <v>311</v>
      </c>
      <c r="D185" s="12">
        <v>2737</v>
      </c>
      <c r="E185" s="12" t="s">
        <v>313</v>
      </c>
      <c r="F185" s="13">
        <v>0.63194444444444442</v>
      </c>
      <c r="G185" s="12" t="s">
        <v>314</v>
      </c>
      <c r="H185" s="13">
        <v>0.66666666666666663</v>
      </c>
      <c r="I185" s="26">
        <v>2.0833333333333332E-2</v>
      </c>
      <c r="J185" s="15" t="s">
        <v>310</v>
      </c>
      <c r="K185" s="22">
        <v>5940</v>
      </c>
      <c r="L185" s="15"/>
      <c r="M185" s="15"/>
    </row>
    <row r="186" spans="1:13">
      <c r="A186" s="14">
        <v>194</v>
      </c>
      <c r="B186" s="42">
        <v>46125</v>
      </c>
      <c r="C186" s="12" t="s">
        <v>311</v>
      </c>
      <c r="D186" s="12">
        <v>2738</v>
      </c>
      <c r="E186" s="12" t="s">
        <v>314</v>
      </c>
      <c r="F186" s="13">
        <v>0.6875</v>
      </c>
      <c r="G186" s="12" t="s">
        <v>313</v>
      </c>
      <c r="H186" s="13">
        <v>0.72569444444444442</v>
      </c>
      <c r="I186" s="26">
        <v>2.7777777777777776E-2</v>
      </c>
      <c r="J186" s="15" t="s">
        <v>310</v>
      </c>
      <c r="K186" s="22">
        <v>5940</v>
      </c>
      <c r="L186" s="15"/>
      <c r="M186" s="15"/>
    </row>
    <row r="187" spans="1:13">
      <c r="A187" s="14">
        <v>195</v>
      </c>
      <c r="B187" s="42">
        <v>46125</v>
      </c>
      <c r="C187" s="12" t="s">
        <v>311</v>
      </c>
      <c r="D187" s="12">
        <v>2755</v>
      </c>
      <c r="E187" s="12" t="s">
        <v>313</v>
      </c>
      <c r="F187" s="13">
        <v>0.75347222222222221</v>
      </c>
      <c r="G187" s="12" t="s">
        <v>309</v>
      </c>
      <c r="H187" s="13">
        <v>0.78125</v>
      </c>
      <c r="I187" s="26">
        <v>3.125E-2</v>
      </c>
      <c r="J187" s="15" t="s">
        <v>310</v>
      </c>
      <c r="K187" s="22">
        <v>0</v>
      </c>
      <c r="L187" s="15"/>
      <c r="M187" s="15"/>
    </row>
    <row r="188" spans="1:13">
      <c r="A188" s="14">
        <v>196</v>
      </c>
      <c r="B188" s="42">
        <v>46125</v>
      </c>
      <c r="C188" s="12" t="s">
        <v>245</v>
      </c>
      <c r="D188" s="12">
        <v>588</v>
      </c>
      <c r="E188" s="12" t="s">
        <v>309</v>
      </c>
      <c r="F188" s="13">
        <v>0.8125</v>
      </c>
      <c r="G188" s="12" t="s">
        <v>246</v>
      </c>
      <c r="H188" s="13">
        <v>0.875</v>
      </c>
      <c r="I188" s="26"/>
      <c r="J188" s="15" t="s">
        <v>310</v>
      </c>
      <c r="K188" s="22">
        <v>9800</v>
      </c>
      <c r="L188" s="15"/>
      <c r="M188" s="15"/>
    </row>
    <row r="189" spans="1:13">
      <c r="A189" s="14">
        <v>197</v>
      </c>
      <c r="B189" s="42">
        <v>46137</v>
      </c>
      <c r="C189" s="12" t="s">
        <v>245</v>
      </c>
      <c r="D189" s="12">
        <v>553</v>
      </c>
      <c r="E189" s="12" t="s">
        <v>246</v>
      </c>
      <c r="F189" s="13">
        <v>0.46527777777777779</v>
      </c>
      <c r="G189" s="12" t="s">
        <v>315</v>
      </c>
      <c r="H189" s="13">
        <v>0.53125</v>
      </c>
      <c r="I189" s="26">
        <v>3.4722222222222224E-2</v>
      </c>
      <c r="J189" s="15" t="s">
        <v>310</v>
      </c>
      <c r="K189" s="22">
        <v>9800</v>
      </c>
      <c r="L189" s="15"/>
      <c r="M189" s="15"/>
    </row>
    <row r="190" spans="1:13">
      <c r="A190" s="14">
        <v>198</v>
      </c>
      <c r="B190" s="42">
        <v>46137</v>
      </c>
      <c r="C190" s="12" t="s">
        <v>245</v>
      </c>
      <c r="D190" s="12">
        <v>554</v>
      </c>
      <c r="E190" s="12" t="s">
        <v>315</v>
      </c>
      <c r="F190" s="13">
        <v>0.56597222222222221</v>
      </c>
      <c r="G190" s="12" t="s">
        <v>246</v>
      </c>
      <c r="H190" s="13">
        <v>0.64236111111111116</v>
      </c>
      <c r="I190" s="26">
        <v>4.1666666666666664E-2</v>
      </c>
      <c r="J190" s="15" t="s">
        <v>310</v>
      </c>
      <c r="K190" s="22">
        <v>9800</v>
      </c>
      <c r="L190" s="15"/>
      <c r="M190" s="15"/>
    </row>
    <row r="191" spans="1:13">
      <c r="A191" s="14">
        <v>199</v>
      </c>
      <c r="B191" s="42">
        <v>46137</v>
      </c>
      <c r="C191" s="12" t="s">
        <v>245</v>
      </c>
      <c r="D191" s="12">
        <v>695</v>
      </c>
      <c r="E191" s="12" t="s">
        <v>246</v>
      </c>
      <c r="F191" s="13">
        <v>0.68402777777777779</v>
      </c>
      <c r="G191" s="12" t="s">
        <v>254</v>
      </c>
      <c r="H191" s="13">
        <v>0.75694444444444442</v>
      </c>
      <c r="I191" s="26">
        <v>9.7222222222222224E-2</v>
      </c>
      <c r="J191" s="15" t="s">
        <v>310</v>
      </c>
      <c r="K191" s="22">
        <v>10900</v>
      </c>
      <c r="L191" s="15"/>
      <c r="M191" s="15"/>
    </row>
    <row r="192" spans="1:13">
      <c r="A192" s="14">
        <v>200</v>
      </c>
      <c r="B192" s="42">
        <v>46137</v>
      </c>
      <c r="C192" s="12" t="s">
        <v>245</v>
      </c>
      <c r="D192" s="12">
        <v>3642</v>
      </c>
      <c r="E192" s="12" t="s">
        <v>254</v>
      </c>
      <c r="F192" s="13">
        <v>0.85416666666666663</v>
      </c>
      <c r="G192" s="12" t="s">
        <v>247</v>
      </c>
      <c r="H192" s="13">
        <v>0.89583333333333337</v>
      </c>
      <c r="I192" s="26"/>
      <c r="J192" s="15" t="s">
        <v>310</v>
      </c>
      <c r="K192" s="22">
        <v>5610</v>
      </c>
      <c r="L192" s="15"/>
      <c r="M192" s="15"/>
    </row>
    <row r="193" spans="1:13">
      <c r="A193" s="14">
        <v>201</v>
      </c>
      <c r="B193" s="42">
        <v>46138</v>
      </c>
      <c r="C193" s="12" t="s">
        <v>256</v>
      </c>
      <c r="D193" s="12">
        <v>51</v>
      </c>
      <c r="E193" s="12" t="s">
        <v>247</v>
      </c>
      <c r="F193" s="13">
        <v>0.30208333333333331</v>
      </c>
      <c r="G193" s="12" t="s">
        <v>257</v>
      </c>
      <c r="H193" s="13">
        <v>0.37847222222222221</v>
      </c>
      <c r="I193" s="26">
        <v>2.7777777777777776E-2</v>
      </c>
      <c r="J193" s="15" t="s">
        <v>310</v>
      </c>
      <c r="K193" s="22">
        <v>10250</v>
      </c>
      <c r="L193" s="15"/>
      <c r="M193" s="15"/>
    </row>
    <row r="194" spans="1:13">
      <c r="A194" s="14">
        <v>202</v>
      </c>
      <c r="B194" s="42">
        <v>46138</v>
      </c>
      <c r="C194" s="12" t="s">
        <v>256</v>
      </c>
      <c r="D194" s="12">
        <v>605</v>
      </c>
      <c r="E194" s="12" t="s">
        <v>257</v>
      </c>
      <c r="F194" s="13">
        <v>0.40625</v>
      </c>
      <c r="G194" s="12" t="s">
        <v>260</v>
      </c>
      <c r="H194" s="13">
        <v>0.44791666666666669</v>
      </c>
      <c r="I194" s="26">
        <v>7.2916666666666671E-2</v>
      </c>
      <c r="J194" s="15" t="s">
        <v>310</v>
      </c>
      <c r="K194" s="22">
        <v>4640</v>
      </c>
      <c r="L194" s="15"/>
      <c r="M194" s="15"/>
    </row>
    <row r="195" spans="1:13">
      <c r="A195" s="14">
        <v>203</v>
      </c>
      <c r="B195" s="42">
        <v>46138</v>
      </c>
      <c r="C195" s="12" t="s">
        <v>256</v>
      </c>
      <c r="D195" s="12">
        <v>608</v>
      </c>
      <c r="E195" s="12" t="s">
        <v>260</v>
      </c>
      <c r="F195" s="13">
        <v>0.52083333333333337</v>
      </c>
      <c r="G195" s="12" t="s">
        <v>257</v>
      </c>
      <c r="H195" s="13">
        <v>0.5625</v>
      </c>
      <c r="I195" s="26">
        <v>2.7777777777777776E-2</v>
      </c>
      <c r="J195" s="15" t="s">
        <v>310</v>
      </c>
      <c r="K195" s="22">
        <v>5740</v>
      </c>
      <c r="L195" s="15"/>
      <c r="M195" s="15"/>
    </row>
    <row r="196" spans="1:13">
      <c r="A196" s="14">
        <v>204</v>
      </c>
      <c r="B196" s="42">
        <v>46138</v>
      </c>
      <c r="C196" s="12" t="s">
        <v>256</v>
      </c>
      <c r="D196" s="12">
        <v>211</v>
      </c>
      <c r="E196" s="12" t="s">
        <v>257</v>
      </c>
      <c r="F196" s="13">
        <v>0.59027777777777779</v>
      </c>
      <c r="G196" s="12" t="s">
        <v>283</v>
      </c>
      <c r="H196" s="13">
        <v>0.61458333333333337</v>
      </c>
      <c r="I196" s="26">
        <v>1.0416666666666666E-2</v>
      </c>
      <c r="J196" s="15" t="s">
        <v>310</v>
      </c>
      <c r="K196" s="22">
        <v>4640</v>
      </c>
      <c r="L196" s="15"/>
      <c r="M196" s="15"/>
    </row>
    <row r="197" spans="1:13">
      <c r="A197" s="14">
        <v>205</v>
      </c>
      <c r="B197" s="42">
        <v>46138</v>
      </c>
      <c r="C197" s="12" t="s">
        <v>256</v>
      </c>
      <c r="D197" s="12">
        <v>212</v>
      </c>
      <c r="E197" s="12" t="s">
        <v>283</v>
      </c>
      <c r="F197" s="13">
        <v>0.625</v>
      </c>
      <c r="G197" s="12" t="s">
        <v>257</v>
      </c>
      <c r="H197" s="13">
        <v>0.65277777777777779</v>
      </c>
      <c r="I197" s="26">
        <v>2.7777777777777776E-2</v>
      </c>
      <c r="J197" s="15" t="s">
        <v>310</v>
      </c>
      <c r="K197" s="22">
        <v>5190</v>
      </c>
      <c r="L197" s="15"/>
      <c r="M197" s="15"/>
    </row>
    <row r="198" spans="1:13">
      <c r="A198" s="14">
        <v>206</v>
      </c>
      <c r="B198" s="42">
        <v>46138</v>
      </c>
      <c r="C198" s="12" t="s">
        <v>256</v>
      </c>
      <c r="D198" s="12">
        <v>567</v>
      </c>
      <c r="E198" s="12" t="s">
        <v>257</v>
      </c>
      <c r="F198" s="13">
        <v>0.68055555555555558</v>
      </c>
      <c r="G198" s="12" t="s">
        <v>264</v>
      </c>
      <c r="H198" s="13">
        <v>0.71875</v>
      </c>
      <c r="I198" s="26">
        <v>2.7777777777777776E-2</v>
      </c>
      <c r="J198" s="15" t="s">
        <v>310</v>
      </c>
      <c r="K198" s="22">
        <v>5190</v>
      </c>
      <c r="L198" s="15"/>
      <c r="M198" s="15"/>
    </row>
    <row r="199" spans="1:13">
      <c r="A199" s="14">
        <v>207</v>
      </c>
      <c r="B199" s="42">
        <v>46138</v>
      </c>
      <c r="C199" s="12" t="s">
        <v>256</v>
      </c>
      <c r="D199" s="12">
        <v>566</v>
      </c>
      <c r="E199" s="12" t="s">
        <v>264</v>
      </c>
      <c r="F199" s="13">
        <v>0.74652777777777779</v>
      </c>
      <c r="G199" s="12" t="s">
        <v>257</v>
      </c>
      <c r="H199" s="13">
        <v>0.78125</v>
      </c>
      <c r="I199" s="26">
        <v>7.9861111111111105E-2</v>
      </c>
      <c r="J199" s="15" t="s">
        <v>310</v>
      </c>
      <c r="K199" s="22">
        <v>5190</v>
      </c>
      <c r="L199" s="15"/>
      <c r="M199" s="15"/>
    </row>
    <row r="200" spans="1:13">
      <c r="A200" s="14">
        <v>208</v>
      </c>
      <c r="B200" s="42">
        <v>46138</v>
      </c>
      <c r="C200" s="12" t="s">
        <v>245</v>
      </c>
      <c r="D200" s="12">
        <v>922</v>
      </c>
      <c r="E200" s="12" t="s">
        <v>257</v>
      </c>
      <c r="F200" s="13">
        <v>0.86111111111111116</v>
      </c>
      <c r="G200" s="12" t="s">
        <v>246</v>
      </c>
      <c r="H200" s="13">
        <v>0.95833333333333337</v>
      </c>
      <c r="I200" s="26"/>
      <c r="J200" s="15" t="s">
        <v>310</v>
      </c>
      <c r="K200" s="22">
        <v>10590</v>
      </c>
      <c r="L200" s="15"/>
      <c r="M200" s="15"/>
    </row>
    <row r="201" spans="1:13">
      <c r="A201" s="14">
        <v>209</v>
      </c>
      <c r="B201" s="42">
        <v>46429</v>
      </c>
      <c r="C201" s="12" t="s">
        <v>245</v>
      </c>
      <c r="D201" s="23" t="s">
        <v>316</v>
      </c>
      <c r="E201" s="12" t="s">
        <v>246</v>
      </c>
      <c r="F201" s="13">
        <v>0.91319444444444442</v>
      </c>
      <c r="G201" s="12" t="s">
        <v>317</v>
      </c>
      <c r="H201" s="13">
        <v>0.40277777777777779</v>
      </c>
      <c r="I201" s="26"/>
      <c r="J201" s="15" t="s">
        <v>310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245</v>
      </c>
      <c r="D202" s="23" t="s">
        <v>318</v>
      </c>
      <c r="E202" s="12" t="s">
        <v>317</v>
      </c>
      <c r="F202" s="13">
        <v>0.4861111111111111</v>
      </c>
      <c r="G202" s="12" t="s">
        <v>246</v>
      </c>
      <c r="H202" s="13">
        <v>0.67013888888888884</v>
      </c>
      <c r="I202" s="26"/>
      <c r="J202" s="15" t="s">
        <v>310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245</v>
      </c>
      <c r="D203" s="12">
        <v>8663</v>
      </c>
      <c r="E203" s="12" t="s">
        <v>319</v>
      </c>
      <c r="F203" s="13">
        <v>0.37152777777777779</v>
      </c>
      <c r="G203" s="12" t="s">
        <v>320</v>
      </c>
      <c r="H203" s="13">
        <v>0.4826388888888889</v>
      </c>
      <c r="I203" s="26"/>
      <c r="J203" s="15" t="s">
        <v>310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245</v>
      </c>
      <c r="D204" s="12">
        <v>8664</v>
      </c>
      <c r="E204" s="12" t="s">
        <v>320</v>
      </c>
      <c r="F204" s="13">
        <v>0.53125</v>
      </c>
      <c r="G204" s="12" t="s">
        <v>319</v>
      </c>
      <c r="H204" s="13">
        <v>0.71875</v>
      </c>
      <c r="I204" s="26"/>
      <c r="J204" s="15" t="s">
        <v>310</v>
      </c>
      <c r="K204" s="22"/>
      <c r="L204" s="15"/>
      <c r="M204" s="15"/>
    </row>
    <row r="205" spans="1:13">
      <c r="A205" s="14">
        <v>213</v>
      </c>
      <c r="B205" s="42">
        <v>46081</v>
      </c>
      <c r="C205" s="12" t="s">
        <v>245</v>
      </c>
      <c r="D205" s="12">
        <v>189</v>
      </c>
      <c r="E205" s="12" t="s">
        <v>246</v>
      </c>
      <c r="F205" s="13">
        <v>0.69097222222222221</v>
      </c>
      <c r="G205" s="12" t="s">
        <v>279</v>
      </c>
      <c r="H205" s="13">
        <v>0.73958333333333337</v>
      </c>
      <c r="I205" s="26"/>
      <c r="J205" s="15" t="s">
        <v>310</v>
      </c>
      <c r="K205" s="22">
        <v>11000</v>
      </c>
      <c r="L205" s="15" t="s">
        <v>249</v>
      </c>
      <c r="M205" s="15"/>
    </row>
    <row r="206" spans="1:13">
      <c r="A206" s="14">
        <v>214</v>
      </c>
      <c r="B206" s="42">
        <v>46081</v>
      </c>
      <c r="C206" s="12" t="s">
        <v>245</v>
      </c>
      <c r="D206" s="12">
        <v>192</v>
      </c>
      <c r="E206" s="12" t="s">
        <v>279</v>
      </c>
      <c r="F206" s="13">
        <v>0.76736111111111116</v>
      </c>
      <c r="G206" s="12" t="s">
        <v>246</v>
      </c>
      <c r="H206" s="13">
        <v>0.81597222222222221</v>
      </c>
      <c r="I206" s="26"/>
      <c r="J206" s="15" t="s">
        <v>310</v>
      </c>
      <c r="K206" s="22">
        <v>11000</v>
      </c>
      <c r="L206" s="15" t="s">
        <v>249</v>
      </c>
      <c r="M206" s="15"/>
    </row>
    <row r="207" spans="1:13">
      <c r="A207" s="14">
        <v>215</v>
      </c>
      <c r="B207" s="42"/>
      <c r="C207" s="12"/>
      <c r="D207" s="12"/>
      <c r="E207" s="12"/>
      <c r="F207" s="13"/>
      <c r="G207" s="12"/>
      <c r="H207" s="13"/>
      <c r="I207" s="26"/>
      <c r="J207" s="15"/>
      <c r="K207" s="22"/>
      <c r="L207" s="15"/>
      <c r="M207" s="15"/>
    </row>
    <row r="208" spans="1:13">
      <c r="A208" s="14">
        <v>216</v>
      </c>
      <c r="B208" s="42"/>
      <c r="C208" s="12"/>
      <c r="D208" s="12"/>
      <c r="E208" s="12"/>
      <c r="F208" s="13"/>
      <c r="G208" s="12"/>
      <c r="H208" s="13"/>
      <c r="I208" s="26"/>
      <c r="J208" s="15"/>
      <c r="K208" s="22"/>
      <c r="L208" s="15"/>
      <c r="M208" s="15"/>
    </row>
    <row r="209" spans="1:13">
      <c r="A209" s="14">
        <v>217</v>
      </c>
      <c r="B209" s="42"/>
      <c r="C209" s="12"/>
      <c r="D209" s="12"/>
      <c r="E209" s="12"/>
      <c r="F209" s="13"/>
      <c r="G209" s="12"/>
      <c r="H209" s="13"/>
      <c r="I209" s="26"/>
      <c r="J209" s="15"/>
      <c r="K209" s="22"/>
      <c r="L209" s="15"/>
      <c r="M209" s="15"/>
    </row>
    <row r="210" spans="1:13">
      <c r="A210" s="14">
        <v>218</v>
      </c>
      <c r="B210" s="42"/>
      <c r="C210" s="12"/>
      <c r="D210" s="12"/>
      <c r="E210" s="12"/>
      <c r="F210" s="13"/>
      <c r="G210" s="12"/>
      <c r="H210" s="13"/>
      <c r="I210" s="26"/>
      <c r="J210" s="15"/>
      <c r="K210" s="22"/>
      <c r="L210" s="15"/>
      <c r="M210" s="15"/>
    </row>
    <row r="211" spans="1:13">
      <c r="A211" s="14">
        <v>219</v>
      </c>
      <c r="B211" s="42"/>
      <c r="C211" s="12"/>
      <c r="D211" s="12"/>
      <c r="E211" s="12"/>
      <c r="F211" s="13"/>
      <c r="G211" s="12"/>
      <c r="H211" s="13"/>
      <c r="I211" s="26"/>
      <c r="J211" s="15"/>
      <c r="K211" s="22"/>
      <c r="L211" s="15"/>
      <c r="M211" s="15"/>
    </row>
    <row r="212" spans="1:13">
      <c r="A212" s="14">
        <v>220</v>
      </c>
      <c r="B212" s="42"/>
      <c r="C212" s="12"/>
      <c r="D212" s="12"/>
      <c r="E212" s="12"/>
      <c r="F212" s="13"/>
      <c r="G212" s="12"/>
      <c r="H212" s="13"/>
      <c r="I212" s="26"/>
      <c r="J212" s="15"/>
      <c r="K212" s="22"/>
      <c r="L212" s="15"/>
      <c r="M212" s="15"/>
    </row>
    <row r="213" spans="1:13">
      <c r="A213" s="14">
        <v>221</v>
      </c>
      <c r="B213" s="42"/>
      <c r="C213" s="12"/>
      <c r="D213" s="12"/>
      <c r="E213" s="12"/>
      <c r="F213" s="13"/>
      <c r="G213" s="12"/>
      <c r="H213" s="13"/>
      <c r="I213" s="26"/>
      <c r="J213" s="15"/>
      <c r="K213" s="22"/>
      <c r="L213" s="15"/>
      <c r="M213" s="15"/>
    </row>
    <row r="214" spans="1:13">
      <c r="A214" s="14">
        <v>222</v>
      </c>
      <c r="B214" s="42"/>
      <c r="C214" s="12"/>
      <c r="D214" s="12"/>
      <c r="E214" s="12"/>
      <c r="F214" s="13"/>
      <c r="G214" s="12"/>
      <c r="H214" s="13"/>
      <c r="I214" s="26"/>
      <c r="J214" s="15"/>
      <c r="K214" s="22"/>
      <c r="L214" s="15"/>
      <c r="M214" s="15"/>
    </row>
    <row r="215" spans="1:13">
      <c r="A215" s="14">
        <v>223</v>
      </c>
      <c r="B215" s="42"/>
      <c r="C215" s="12"/>
      <c r="D215" s="12"/>
      <c r="E215" s="12"/>
      <c r="F215" s="13"/>
      <c r="G215" s="12"/>
      <c r="H215" s="13"/>
      <c r="I215" s="26"/>
      <c r="J215" s="15"/>
      <c r="K215" s="22"/>
      <c r="L215" s="15"/>
      <c r="M215" s="15"/>
    </row>
    <row r="216" spans="1:13">
      <c r="A216" s="14">
        <v>224</v>
      </c>
      <c r="B216" s="42"/>
      <c r="C216" s="12"/>
      <c r="D216" s="12"/>
      <c r="E216" s="12"/>
      <c r="F216" s="13"/>
      <c r="G216" s="12"/>
      <c r="H216" s="13"/>
      <c r="I216" s="26"/>
      <c r="J216" s="15"/>
      <c r="K216" s="22"/>
      <c r="L216" s="15"/>
      <c r="M216" s="15"/>
    </row>
    <row r="217" spans="1:13">
      <c r="A217" s="14">
        <v>225</v>
      </c>
      <c r="B217" s="42"/>
      <c r="C217" s="12"/>
      <c r="D217" s="12"/>
      <c r="E217" s="12"/>
      <c r="F217" s="13"/>
      <c r="G217" s="12"/>
      <c r="H217" s="13"/>
      <c r="I217" s="26"/>
      <c r="J217" s="15"/>
      <c r="K217" s="22"/>
      <c r="L217" s="15"/>
      <c r="M217" s="15"/>
    </row>
    <row r="218" spans="1:13">
      <c r="A218" s="14">
        <v>226</v>
      </c>
      <c r="B218" s="42"/>
      <c r="C218" s="12"/>
      <c r="D218" s="12"/>
      <c r="E218" s="12"/>
      <c r="F218" s="13"/>
      <c r="G218" s="12"/>
      <c r="H218" s="13"/>
      <c r="I218" s="26"/>
      <c r="J218" s="15"/>
      <c r="K218" s="22"/>
      <c r="L218" s="15"/>
      <c r="M218" s="15"/>
    </row>
    <row r="219" spans="1:13">
      <c r="A219" s="14">
        <v>227</v>
      </c>
      <c r="B219" s="42"/>
      <c r="C219" s="12"/>
      <c r="D219" s="12"/>
      <c r="E219" s="12"/>
      <c r="F219" s="13"/>
      <c r="G219" s="12"/>
      <c r="H219" s="13"/>
      <c r="I219" s="26"/>
      <c r="J219" s="15"/>
      <c r="K219" s="22"/>
      <c r="L219" s="15"/>
      <c r="M219" s="15"/>
    </row>
    <row r="220" spans="1:13">
      <c r="A220" s="14">
        <v>228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>
      <c r="A221" s="14">
        <v>229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321</v>
      </c>
      <c r="K281" s="11">
        <f>SUM(テーブル4[料金])</f>
        <v>1335784</v>
      </c>
    </row>
    <row r="282" spans="10:11">
      <c r="J282" t="s">
        <v>322</v>
      </c>
      <c r="K282">
        <f>COUNTA(テーブル4[料金])*5</f>
        <v>1005</v>
      </c>
    </row>
    <row r="283" spans="10:11">
      <c r="J283" t="s">
        <v>5</v>
      </c>
      <c r="K283">
        <f>COUNTA(テーブル4[料金])</f>
        <v>201</v>
      </c>
    </row>
    <row r="284" spans="10:11">
      <c r="J284" t="s">
        <v>323</v>
      </c>
      <c r="K284" s="41">
        <f>K281/K282</f>
        <v>1329.1383084577114</v>
      </c>
    </row>
    <row r="296" spans="1:8">
      <c r="A296" s="24" t="s">
        <v>233</v>
      </c>
      <c r="B296" s="24" t="s">
        <v>234</v>
      </c>
      <c r="C296" s="24" t="s">
        <v>235</v>
      </c>
      <c r="D296" s="24" t="s">
        <v>236</v>
      </c>
      <c r="E296" s="24" t="s">
        <v>237</v>
      </c>
      <c r="F296" s="24" t="s">
        <v>238</v>
      </c>
      <c r="G296" s="24" t="s">
        <v>239</v>
      </c>
      <c r="H296" s="24" t="s">
        <v>240</v>
      </c>
    </row>
    <row r="297" spans="1:8">
      <c r="A297">
        <v>1</v>
      </c>
      <c r="B297" t="s">
        <v>256</v>
      </c>
      <c r="C297">
        <v>51</v>
      </c>
      <c r="D297" t="s">
        <v>247</v>
      </c>
      <c r="E297" s="25">
        <v>0.2986111111111111</v>
      </c>
      <c r="F297" t="s">
        <v>257</v>
      </c>
      <c r="G297" s="25">
        <v>0.36805555555555558</v>
      </c>
      <c r="H297" t="s">
        <v>248</v>
      </c>
    </row>
    <row r="298" spans="1:8">
      <c r="A298">
        <v>2</v>
      </c>
      <c r="B298" t="s">
        <v>261</v>
      </c>
      <c r="C298">
        <v>873</v>
      </c>
      <c r="D298" t="s">
        <v>257</v>
      </c>
      <c r="E298" s="25">
        <v>0.41319444444444442</v>
      </c>
      <c r="F298" t="s">
        <v>283</v>
      </c>
      <c r="G298" s="25">
        <v>0.43402777777777779</v>
      </c>
      <c r="H298" t="s">
        <v>324</v>
      </c>
    </row>
    <row r="299" spans="1:8">
      <c r="A299">
        <v>3</v>
      </c>
      <c r="B299" t="s">
        <v>261</v>
      </c>
      <c r="C299">
        <v>874</v>
      </c>
      <c r="D299" t="s">
        <v>283</v>
      </c>
      <c r="E299" s="25">
        <v>0.45833333333333331</v>
      </c>
      <c r="F299" t="s">
        <v>257</v>
      </c>
      <c r="G299" s="25">
        <v>0.4826388888888889</v>
      </c>
      <c r="H299" t="s">
        <v>253</v>
      </c>
    </row>
    <row r="300" spans="1:8">
      <c r="A300">
        <v>4</v>
      </c>
      <c r="B300" t="s">
        <v>256</v>
      </c>
      <c r="C300">
        <v>609</v>
      </c>
      <c r="D300" t="s">
        <v>257</v>
      </c>
      <c r="E300" s="25">
        <v>0.53472222222222221</v>
      </c>
      <c r="F300" t="s">
        <v>260</v>
      </c>
      <c r="G300" s="25">
        <v>0.57291666666666663</v>
      </c>
      <c r="H300" t="s">
        <v>325</v>
      </c>
    </row>
    <row r="301" spans="1:8">
      <c r="A301">
        <v>5</v>
      </c>
      <c r="B301" t="s">
        <v>256</v>
      </c>
      <c r="C301">
        <v>614</v>
      </c>
      <c r="D301" t="s">
        <v>260</v>
      </c>
      <c r="E301" s="25">
        <v>0.60069444444444442</v>
      </c>
      <c r="F301" t="s">
        <v>257</v>
      </c>
      <c r="G301" s="25">
        <v>0.64583333333333337</v>
      </c>
      <c r="H301" t="s">
        <v>258</v>
      </c>
    </row>
    <row r="302" spans="1:8">
      <c r="A302">
        <v>6</v>
      </c>
      <c r="B302" t="s">
        <v>256</v>
      </c>
      <c r="C302">
        <v>567</v>
      </c>
      <c r="D302" t="s">
        <v>257</v>
      </c>
      <c r="E302" s="25">
        <v>0.67361111111111116</v>
      </c>
      <c r="F302" t="s">
        <v>264</v>
      </c>
      <c r="G302" s="25">
        <v>0.70833333333333337</v>
      </c>
      <c r="H302" t="s">
        <v>258</v>
      </c>
    </row>
    <row r="303" spans="1:8">
      <c r="A303">
        <v>7</v>
      </c>
      <c r="B303" t="s">
        <v>256</v>
      </c>
      <c r="C303">
        <v>566</v>
      </c>
      <c r="D303" t="s">
        <v>264</v>
      </c>
      <c r="E303" s="25">
        <v>0.73611111111111116</v>
      </c>
      <c r="F303" t="s">
        <v>257</v>
      </c>
      <c r="G303" s="25">
        <v>0.77430555555555558</v>
      </c>
      <c r="H303" t="s">
        <v>258</v>
      </c>
    </row>
    <row r="304" spans="1:8">
      <c r="A304">
        <v>8</v>
      </c>
      <c r="B304" t="s">
        <v>245</v>
      </c>
      <c r="C304">
        <v>920</v>
      </c>
      <c r="D304" t="s">
        <v>257</v>
      </c>
      <c r="E304" s="25">
        <v>0.80902777777777779</v>
      </c>
      <c r="F304" t="s">
        <v>246</v>
      </c>
      <c r="G304" s="25">
        <v>0.91666666666666663</v>
      </c>
      <c r="H304" t="s">
        <v>326</v>
      </c>
    </row>
    <row r="307" spans="1:9">
      <c r="A307" s="24" t="s">
        <v>233</v>
      </c>
      <c r="B307" s="24" t="s">
        <v>234</v>
      </c>
      <c r="C307" s="24" t="s">
        <v>235</v>
      </c>
      <c r="D307" s="24" t="s">
        <v>236</v>
      </c>
      <c r="E307" s="24" t="s">
        <v>237</v>
      </c>
      <c r="F307" s="24" t="s">
        <v>238</v>
      </c>
      <c r="G307" s="24" t="s">
        <v>239</v>
      </c>
      <c r="H307" s="24" t="s">
        <v>240</v>
      </c>
    </row>
    <row r="308" spans="1:9">
      <c r="A308">
        <v>1</v>
      </c>
      <c r="B308" t="s">
        <v>256</v>
      </c>
      <c r="C308">
        <v>51</v>
      </c>
      <c r="D308" t="s">
        <v>247</v>
      </c>
      <c r="E308" s="25">
        <v>0.2986111111111111</v>
      </c>
      <c r="F308" t="s">
        <v>257</v>
      </c>
      <c r="G308" s="25">
        <v>0.36805555555555558</v>
      </c>
      <c r="H308" t="s">
        <v>248</v>
      </c>
    </row>
    <row r="309" spans="1:9">
      <c r="A309">
        <v>2</v>
      </c>
      <c r="B309" t="s">
        <v>256</v>
      </c>
      <c r="C309">
        <v>605</v>
      </c>
      <c r="D309" t="s">
        <v>257</v>
      </c>
      <c r="E309" s="25">
        <v>0.39583333333333331</v>
      </c>
      <c r="F309" t="s">
        <v>260</v>
      </c>
      <c r="G309" s="25">
        <v>0.43402777777777779</v>
      </c>
      <c r="H309" t="s">
        <v>258</v>
      </c>
    </row>
    <row r="310" spans="1:9">
      <c r="A310">
        <v>3</v>
      </c>
      <c r="B310" t="s">
        <v>261</v>
      </c>
      <c r="C310">
        <v>743</v>
      </c>
      <c r="D310" t="s">
        <v>260</v>
      </c>
      <c r="E310" s="25">
        <v>0.52430555555555558</v>
      </c>
      <c r="F310" t="s">
        <v>262</v>
      </c>
      <c r="G310" s="25">
        <v>0.54513888888888884</v>
      </c>
      <c r="H310" t="s">
        <v>263</v>
      </c>
    </row>
    <row r="311" spans="1:9">
      <c r="A311">
        <v>4</v>
      </c>
      <c r="B311" t="s">
        <v>261</v>
      </c>
      <c r="C311">
        <v>744</v>
      </c>
      <c r="D311" t="s">
        <v>262</v>
      </c>
      <c r="E311" s="25">
        <v>0.56597222222222221</v>
      </c>
      <c r="F311" t="s">
        <v>260</v>
      </c>
      <c r="G311" s="25">
        <v>0.58680555555555558</v>
      </c>
      <c r="H311" t="s">
        <v>255</v>
      </c>
    </row>
    <row r="312" spans="1:9">
      <c r="A312">
        <v>5</v>
      </c>
      <c r="B312" t="s">
        <v>261</v>
      </c>
      <c r="C312">
        <v>834</v>
      </c>
      <c r="D312" t="s">
        <v>260</v>
      </c>
      <c r="E312" s="25">
        <v>0.61111111111111116</v>
      </c>
      <c r="F312" t="s">
        <v>264</v>
      </c>
      <c r="G312" s="25">
        <v>0.63194444444444442</v>
      </c>
      <c r="H312" t="s">
        <v>253</v>
      </c>
    </row>
    <row r="313" spans="1:9">
      <c r="A313">
        <v>6</v>
      </c>
      <c r="B313" t="s">
        <v>256</v>
      </c>
      <c r="C313">
        <v>564</v>
      </c>
      <c r="D313" t="s">
        <v>264</v>
      </c>
      <c r="E313" s="25">
        <v>0.69791666666666663</v>
      </c>
      <c r="F313" t="s">
        <v>257</v>
      </c>
      <c r="G313" s="25">
        <v>0.73611111111111116</v>
      </c>
      <c r="H313" t="s">
        <v>275</v>
      </c>
    </row>
    <row r="314" spans="1:9">
      <c r="A314">
        <v>7</v>
      </c>
      <c r="B314" t="s">
        <v>245</v>
      </c>
      <c r="C314">
        <v>920</v>
      </c>
      <c r="D314" t="s">
        <v>257</v>
      </c>
      <c r="E314" s="25">
        <v>0.80902777777777779</v>
      </c>
      <c r="F314" t="s">
        <v>246</v>
      </c>
      <c r="G314" s="25">
        <v>0.91666666666666663</v>
      </c>
      <c r="H314" t="s">
        <v>276</v>
      </c>
    </row>
    <row r="316" spans="1:9" ht="14.25">
      <c r="A316" s="48">
        <v>1</v>
      </c>
      <c r="B316" s="49" t="s">
        <v>245</v>
      </c>
      <c r="C316" s="49">
        <v>901</v>
      </c>
      <c r="D316" s="49" t="s">
        <v>246</v>
      </c>
      <c r="E316" s="50">
        <v>0.27083333333333331</v>
      </c>
      <c r="F316" s="49" t="s">
        <v>257</v>
      </c>
      <c r="G316" s="50">
        <v>0.375</v>
      </c>
      <c r="H316" s="51" t="s">
        <v>327</v>
      </c>
      <c r="I316" s="52"/>
    </row>
    <row r="317" spans="1:9" ht="14.25">
      <c r="A317" s="53">
        <v>2</v>
      </c>
      <c r="B317" s="54" t="s">
        <v>256</v>
      </c>
      <c r="C317" s="54">
        <v>605</v>
      </c>
      <c r="D317" s="54" t="s">
        <v>257</v>
      </c>
      <c r="E317" s="55">
        <v>0.39930555555555558</v>
      </c>
      <c r="F317" s="54" t="s">
        <v>260</v>
      </c>
      <c r="G317" s="55">
        <v>0.44097222222222221</v>
      </c>
      <c r="H317" s="54" t="s">
        <v>253</v>
      </c>
      <c r="I317" s="56"/>
    </row>
    <row r="318" spans="1:9" ht="14.25">
      <c r="A318" s="48">
        <v>3</v>
      </c>
      <c r="B318" s="49" t="s">
        <v>261</v>
      </c>
      <c r="C318" s="49">
        <v>743</v>
      </c>
      <c r="D318" s="49" t="s">
        <v>260</v>
      </c>
      <c r="E318" s="50">
        <v>0.52430555555555558</v>
      </c>
      <c r="F318" s="49" t="s">
        <v>262</v>
      </c>
      <c r="G318" s="50">
        <v>0.54513888888888884</v>
      </c>
      <c r="H318" s="49" t="s">
        <v>328</v>
      </c>
      <c r="I318" s="52"/>
    </row>
    <row r="319" spans="1:9" ht="14.25">
      <c r="A319" s="53">
        <v>4</v>
      </c>
      <c r="B319" s="54" t="s">
        <v>261</v>
      </c>
      <c r="C319" s="54">
        <v>744</v>
      </c>
      <c r="D319" s="54" t="s">
        <v>262</v>
      </c>
      <c r="E319" s="55">
        <v>0.56597222222222221</v>
      </c>
      <c r="F319" s="54" t="s">
        <v>260</v>
      </c>
      <c r="G319" s="55">
        <v>0.58680555555555558</v>
      </c>
      <c r="H319" s="54" t="s">
        <v>255</v>
      </c>
      <c r="I319" s="56"/>
    </row>
    <row r="320" spans="1:9" ht="14.25">
      <c r="A320" s="48">
        <v>5</v>
      </c>
      <c r="B320" s="49" t="s">
        <v>261</v>
      </c>
      <c r="C320" s="49">
        <v>834</v>
      </c>
      <c r="D320" s="49" t="s">
        <v>260</v>
      </c>
      <c r="E320" s="50">
        <v>0.61111111111111116</v>
      </c>
      <c r="F320" s="49" t="s">
        <v>264</v>
      </c>
      <c r="G320" s="50">
        <v>0.63194444444444442</v>
      </c>
      <c r="H320" s="49" t="s">
        <v>253</v>
      </c>
      <c r="I320" s="52"/>
    </row>
    <row r="321" spans="1:9" ht="14.25">
      <c r="A321" s="53">
        <v>6</v>
      </c>
      <c r="B321" s="54" t="s">
        <v>261</v>
      </c>
      <c r="C321" s="54">
        <v>897</v>
      </c>
      <c r="D321" s="54" t="s">
        <v>264</v>
      </c>
      <c r="E321" s="55">
        <v>0.65277777777777779</v>
      </c>
      <c r="F321" s="54" t="s">
        <v>265</v>
      </c>
      <c r="G321" s="55">
        <v>0.67013888888888884</v>
      </c>
      <c r="H321" s="54" t="s">
        <v>255</v>
      </c>
      <c r="I321" s="56"/>
    </row>
    <row r="322" spans="1:9" ht="14.25">
      <c r="A322" s="48">
        <v>7</v>
      </c>
      <c r="B322" s="49" t="s">
        <v>261</v>
      </c>
      <c r="C322" s="49">
        <v>898</v>
      </c>
      <c r="D322" s="49" t="s">
        <v>265</v>
      </c>
      <c r="E322" s="50">
        <v>0.69444444444444442</v>
      </c>
      <c r="F322" s="49" t="s">
        <v>264</v>
      </c>
      <c r="G322" s="50">
        <v>0.71180555555555558</v>
      </c>
      <c r="H322" s="49" t="s">
        <v>253</v>
      </c>
      <c r="I322" s="52"/>
    </row>
    <row r="323" spans="1:9" ht="14.25">
      <c r="A323" s="53">
        <v>8</v>
      </c>
      <c r="B323" s="54" t="s">
        <v>256</v>
      </c>
      <c r="C323" s="54">
        <v>572</v>
      </c>
      <c r="D323" s="54" t="s">
        <v>264</v>
      </c>
      <c r="E323" s="55">
        <v>0.74652777777777779</v>
      </c>
      <c r="F323" s="54" t="s">
        <v>257</v>
      </c>
      <c r="G323" s="55">
        <v>0.78472222222222221</v>
      </c>
      <c r="H323" s="54" t="s">
        <v>326</v>
      </c>
      <c r="I323" s="56"/>
    </row>
    <row r="324" spans="1:9" ht="14.25">
      <c r="A324" s="57">
        <v>9</v>
      </c>
      <c r="B324" s="58" t="s">
        <v>245</v>
      </c>
      <c r="C324" s="58">
        <v>920</v>
      </c>
      <c r="D324" s="58" t="s">
        <v>257</v>
      </c>
      <c r="E324" s="59">
        <v>0.8125</v>
      </c>
      <c r="F324" s="58" t="s">
        <v>246</v>
      </c>
      <c r="G324" s="59">
        <v>0.91666666666666663</v>
      </c>
      <c r="H324" s="58" t="s">
        <v>258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2026-03-01T11:07:55Z</dcterms:modified>
  <cp:category/>
  <cp:contentStatus/>
</cp:coreProperties>
</file>